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4.xml" ContentType="application/vnd.openxmlformats-officedocument.drawingml.chartshapes+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5.xml" ContentType="application/vnd.openxmlformats-officedocument.drawing+xml"/>
  <Override PartName="/xl/slicers/slicer3.xml" ContentType="application/vnd.ms-excel.slicer+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6.xml" ContentType="application/vnd.openxmlformats-officedocument.drawingml.chartshapes+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Dell\Desktop\"/>
    </mc:Choice>
  </mc:AlternateContent>
  <bookViews>
    <workbookView xWindow="-108" yWindow="-108" windowWidth="23256" windowHeight="12576" activeTab="4"/>
  </bookViews>
  <sheets>
    <sheet name="Data" sheetId="1" r:id="rId1"/>
    <sheet name="returns" sheetId="2" r:id="rId2"/>
    <sheet name="Rep" sheetId="3" r:id="rId3"/>
    <sheet name="Pivots" sheetId="14" r:id="rId4"/>
    <sheet name="Dashboard" sheetId="4" r:id="rId5"/>
    <sheet name="Dashboard (2)" sheetId="15" r:id="rId6"/>
    <sheet name="Dashboard (3)" sheetId="17" r:id="rId7"/>
  </sheets>
  <definedNames>
    <definedName name="_xlcn.WorksheetConnection_taskbanha_Copy1.xlsxData1" hidden="1">Data[]</definedName>
    <definedName name="_xlcn.WorksheetConnection_taskbanha_Copy1.xlsxREP1" hidden="1">REP[]</definedName>
    <definedName name="_xlcn.WorksheetConnection_taskbanha_Copy1.xlsxReturns1" hidden="1">Returns[]</definedName>
    <definedName name="_xlnm.Print_Area" localSheetId="4">Dashboard!$A$1:$AL$48</definedName>
    <definedName name="_xlnm.Print_Area" localSheetId="5">'Dashboard (2)'!$A$1:$AL$49</definedName>
    <definedName name="_xlnm.Print_Area" localSheetId="6">'Dashboard (3)'!$A$1:$AL$49</definedName>
    <definedName name="Slicer_Branch_City">#N/A</definedName>
    <definedName name="Slicer_Product_line">#N/A</definedName>
    <definedName name="Slicer_Year">#N/A</definedName>
  </definedNames>
  <calcPr calcId="162913"/>
  <pivotCaches>
    <pivotCache cacheId="0" r:id="rId8"/>
    <pivotCache cacheId="1" r:id="rId9"/>
    <pivotCache cacheId="2" r:id="rId10"/>
    <pivotCache cacheId="3" r:id="rId11"/>
    <pivotCache cacheId="4" r:id="rId12"/>
    <pivotCache cacheId="5" r:id="rId13"/>
    <pivotCache cacheId="6" r:id="rId14"/>
    <pivotCache cacheId="7" r:id="rId15"/>
    <pivotCache cacheId="8" r:id="rId16"/>
    <pivotCache cacheId="9" r:id="rId17"/>
    <pivotCache cacheId="10" r:id="rId18"/>
    <pivotCache cacheId="11" r:id="rId19"/>
    <pivotCache cacheId="12" r:id="rId20"/>
    <pivotCache cacheId="13" r:id="rId21"/>
    <pivotCache cacheId="14" r:id="rId22"/>
    <pivotCache cacheId="15" r:id="rId23"/>
    <pivotCache cacheId="16" r:id="rId24"/>
    <pivotCache cacheId="17" r:id="rId25"/>
    <pivotCache cacheId="18" r:id="rId26"/>
    <pivotCache cacheId="19" r:id="rId27"/>
    <pivotCache cacheId="20" r:id="rId28"/>
    <pivotCache cacheId="21" r:id="rId29"/>
    <pivotCache cacheId="22" r:id="rId30"/>
    <pivotCache cacheId="23" r:id="rId31"/>
    <pivotCache cacheId="24" r:id="rId32"/>
    <pivotCache cacheId="25" r:id="rId33"/>
    <pivotCache cacheId="26" r:id="rId34"/>
    <pivotCache cacheId="27" r:id="rId35"/>
    <pivotCache cacheId="28" r:id="rId36"/>
    <pivotCache cacheId="29" r:id="rId37"/>
  </pivotCaches>
  <extLst>
    <ext xmlns:x14="http://schemas.microsoft.com/office/spreadsheetml/2009/9/main" uri="{876F7934-8845-4945-9796-88D515C7AA90}">
      <x14:pivotCaches>
        <pivotCache cacheId="30" r:id="rId38"/>
      </x14:pivotCaches>
    </ext>
    <ext xmlns:x14="http://schemas.microsoft.com/office/spreadsheetml/2009/9/main" uri="{BBE1A952-AA13-448e-AADC-164F8A28A991}">
      <x14:slicerCaches>
        <x14:slicerCache r:id="rId39"/>
        <x14:slicerCache r:id="rId40"/>
        <x14:slicerCache r:id="rId4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eturns" name="Returns" connection="WorksheetConnection_task banha_Copy1.xlsx!Returns"/>
          <x15:modelTable id="REP" name="REP" connection="WorksheetConnection_task banha_Copy1.xlsx!REP"/>
          <x15:modelTable id="Data" name="Data" connection="WorksheetConnection_task banha_Copy1.xlsx!Data"/>
        </x15:modelTables>
        <x15:modelRelationships>
          <x15:modelRelationship fromTable="Data" fromColumn="City" toTable="REP" toColumn="city"/>
          <x15:modelRelationship fromTable="Data" fromColumn="Invoice ID" toTable="Returns" toColumn="Invoice ID"/>
        </x15:modelRelationships>
        <x15:extLst>
          <ext xmlns:x16="http://schemas.microsoft.com/office/spreadsheetml/2014/11/main" uri="{9835A34E-60A6-4A7C-AAB8-D5F71C897F49}">
            <x16:modelTimeGroupings>
              <x16:modelTimeGrouping tableName="Data" columnName="Time" columnId="Time">
                <x16:calculatedTimeColumn columnName="Time (Hour)" columnId="Time (Hour)" contentType="hours" isSelected="1"/>
                <x16:calculatedTimeColumn columnName="Time (Minute)" columnId="Time (Minute)" contentType="minutes" isSelected="1"/>
              </x16:modelTimeGrouping>
            </x16:modelTimeGroupings>
          </ext>
        </x15:extLst>
      </x15:dataModel>
    </ext>
  </extLst>
</workbook>
</file>

<file path=xl/calcChain.xml><?xml version="1.0" encoding="utf-8"?>
<calcChain xmlns="http://schemas.openxmlformats.org/spreadsheetml/2006/main">
  <c r="AA74" i="14" l="1"/>
  <c r="AB74" i="14"/>
  <c r="AA75" i="14"/>
  <c r="AB75" i="14"/>
  <c r="AA76" i="14"/>
  <c r="AB76" i="14"/>
  <c r="AB101" i="14"/>
  <c r="AB102" i="14"/>
  <c r="AB103" i="14"/>
  <c r="AB98" i="14"/>
  <c r="AB99" i="14"/>
  <c r="AB100" i="14"/>
  <c r="AA103" i="14"/>
  <c r="AA101" i="14"/>
  <c r="AA102" i="14"/>
  <c r="AA100" i="14"/>
  <c r="AA99" i="14"/>
  <c r="AA98" i="14"/>
  <c r="AB96" i="14"/>
  <c r="AE96" i="14" s="1"/>
  <c r="AA96" i="14"/>
  <c r="AC96" i="14" l="1"/>
  <c r="AB94" i="14" s="1"/>
  <c r="AD96" i="14"/>
  <c r="AA72" i="14"/>
  <c r="AB72" i="14"/>
  <c r="AE72" i="14" s="1"/>
  <c r="AC100" i="14" l="1"/>
  <c r="AC101" i="14"/>
  <c r="AC102" i="14"/>
  <c r="AC99" i="14"/>
  <c r="AC103" i="14"/>
  <c r="AC98" i="14"/>
  <c r="AD72" i="14"/>
  <c r="AC72" i="14"/>
  <c r="AB33" i="14"/>
  <c r="AA33" i="14"/>
  <c r="AB32" i="14"/>
  <c r="AA32" i="14"/>
  <c r="AB31" i="14"/>
  <c r="AA31" i="14"/>
  <c r="AB30" i="14"/>
  <c r="AC30" i="14" s="1"/>
  <c r="AA30" i="14"/>
  <c r="AA51" i="14"/>
  <c r="AB51" i="14"/>
  <c r="AA52" i="14"/>
  <c r="AB52" i="14"/>
  <c r="AA53" i="14"/>
  <c r="AB53" i="14"/>
  <c r="AA54" i="14"/>
  <c r="AB54" i="14"/>
  <c r="AA55" i="14"/>
  <c r="AB55" i="14"/>
  <c r="AA56" i="14"/>
  <c r="AB56" i="14"/>
  <c r="AB50" i="14"/>
  <c r="AD50" i="14" s="1"/>
  <c r="AA50" i="14"/>
  <c r="AA13" i="14"/>
  <c r="AB13" i="14"/>
  <c r="AD13" i="14" s="1"/>
  <c r="AA14" i="14"/>
  <c r="AB14" i="14"/>
  <c r="AA15" i="14"/>
  <c r="AB15" i="14"/>
  <c r="AA16" i="14"/>
  <c r="AB16" i="14"/>
  <c r="AC76" i="14" l="1"/>
  <c r="AC74" i="14"/>
  <c r="AC75" i="14"/>
  <c r="AB70" i="14"/>
  <c r="AB28" i="14"/>
  <c r="AC32" i="14"/>
  <c r="AE32" i="14" s="1"/>
  <c r="AC31" i="14"/>
  <c r="AD31" i="14" s="1"/>
  <c r="AC33" i="14"/>
  <c r="AE33" i="14" s="1"/>
  <c r="AD30" i="14"/>
  <c r="AE30" i="14"/>
  <c r="AE13" i="14"/>
  <c r="AC13" i="14"/>
  <c r="AC14" i="14" s="1"/>
  <c r="AE14" i="14" s="1"/>
  <c r="AE50" i="14"/>
  <c r="AC50" i="14"/>
  <c r="AC55" i="14" s="1"/>
  <c r="AD76" i="14" l="1"/>
  <c r="AE76" i="14"/>
  <c r="AD75" i="14"/>
  <c r="AE75" i="14"/>
  <c r="AE74" i="14"/>
  <c r="AD74" i="14"/>
  <c r="AE103" i="14"/>
  <c r="AD103" i="14"/>
  <c r="AD102" i="14"/>
  <c r="AE102" i="14"/>
  <c r="AD100" i="14"/>
  <c r="AE100" i="14"/>
  <c r="AD101" i="14"/>
  <c r="AE101" i="14"/>
  <c r="AD99" i="14"/>
  <c r="AE99" i="14"/>
  <c r="AE98" i="14"/>
  <c r="AD98" i="14"/>
  <c r="AD14" i="14"/>
  <c r="AC15" i="14"/>
  <c r="AC16" i="14"/>
  <c r="AB11" i="14"/>
  <c r="AD32" i="14"/>
  <c r="AD33" i="14"/>
  <c r="AE31" i="14"/>
  <c r="AB48" i="14"/>
  <c r="AC52" i="14"/>
  <c r="AE52" i="14" s="1"/>
  <c r="AC54" i="14"/>
  <c r="AD54" i="14" s="1"/>
  <c r="AD55" i="14"/>
  <c r="AE55" i="14"/>
  <c r="AC56" i="14"/>
  <c r="AC53" i="14"/>
  <c r="AE53" i="14" s="1"/>
  <c r="AC51" i="14"/>
  <c r="AD51" i="14" s="1"/>
  <c r="AE16" i="14" l="1"/>
  <c r="AD16" i="14"/>
  <c r="AE15" i="14"/>
  <c r="AD15" i="14"/>
  <c r="AE54" i="14"/>
  <c r="AE51" i="14"/>
  <c r="AD53" i="14"/>
  <c r="AD56" i="14"/>
  <c r="AE56" i="14"/>
  <c r="AD52" i="14"/>
  <c r="S66" i="14" l="1"/>
  <c r="T66" i="14"/>
  <c r="S67" i="14"/>
  <c r="T67" i="14"/>
  <c r="S68" i="14"/>
  <c r="T68" i="14"/>
  <c r="B17" i="14"/>
  <c r="D2" i="1" l="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N30" i="14"/>
  <c r="N31" i="14"/>
  <c r="B18" i="14"/>
  <c r="P37" i="14"/>
  <c r="P36" i="14"/>
  <c r="N29" i="14" l="1"/>
  <c r="O29" i="14" s="1"/>
  <c r="B12" i="14"/>
  <c r="B13" i="14" l="1"/>
  <c r="B14" i="14" s="1"/>
  <c r="B15" i="14"/>
  <c r="C15" i="14" s="1"/>
  <c r="C11" i="14"/>
  <c r="A16" i="14" l="1"/>
  <c r="B1" i="14"/>
  <c r="B6" i="14"/>
  <c r="B8" i="14"/>
  <c r="B7" i="14"/>
  <c r="O2" i="1" l="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B2" i="14"/>
  <c r="B5" i="14"/>
  <c r="B3" i="14"/>
  <c r="B10" i="14" l="1"/>
  <c r="B21" i="14"/>
  <c r="B19" i="14"/>
  <c r="B9" i="14"/>
  <c r="B11" i="14"/>
  <c r="D10" i="14" s="1"/>
  <c r="B4" i="14"/>
</calcChain>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task banha_Copy1.xlsx!Data" type="102" refreshedVersion="6" minRefreshableVersion="5">
    <extLst>
      <ext xmlns:x15="http://schemas.microsoft.com/office/spreadsheetml/2010/11/main" uri="{DE250136-89BD-433C-8126-D09CA5730AF9}">
        <x15:connection id="Data" autoDelete="1">
          <x15:rangePr sourceName="_xlcn.WorksheetConnection_taskbanha_Copy1.xlsxData1"/>
        </x15:connection>
      </ext>
    </extLst>
  </connection>
  <connection id="3" name="WorksheetConnection_task banha_Copy1.xlsx!REP" type="102" refreshedVersion="6" minRefreshableVersion="5">
    <extLst>
      <ext xmlns:x15="http://schemas.microsoft.com/office/spreadsheetml/2010/11/main" uri="{DE250136-89BD-433C-8126-D09CA5730AF9}">
        <x15:connection id="REP">
          <x15:rangePr sourceName="_xlcn.WorksheetConnection_taskbanha_Copy1.xlsxREP1"/>
        </x15:connection>
      </ext>
    </extLst>
  </connection>
  <connection id="4" name="WorksheetConnection_task banha_Copy1.xlsx!Returns" type="102" refreshedVersion="6" minRefreshableVersion="5">
    <extLst>
      <ext xmlns:x15="http://schemas.microsoft.com/office/spreadsheetml/2010/11/main" uri="{DE250136-89BD-433C-8126-D09CA5730AF9}">
        <x15:connection id="Returns">
          <x15:rangePr sourceName="_xlcn.WorksheetConnection_taskbanha_Copy1.xlsxReturns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Data].[Year].&amp;[2022]}"/>
  </metadataStrings>
  <mdxMetadata count="1">
    <mdx n="0" f="s">
      <ms ns="1" c="0"/>
    </mdx>
  </mdxMetadata>
  <valueMetadata count="1">
    <bk>
      <rc t="1" v="0"/>
    </bk>
  </valueMetadata>
</metadata>
</file>

<file path=xl/sharedStrings.xml><?xml version="1.0" encoding="utf-8"?>
<sst xmlns="http://schemas.openxmlformats.org/spreadsheetml/2006/main" count="7604" uniqueCount="1109">
  <si>
    <t>Invoice ID</t>
  </si>
  <si>
    <t>Branch</t>
  </si>
  <si>
    <t>City</t>
  </si>
  <si>
    <t>Customer type</t>
  </si>
  <si>
    <t>Gender</t>
  </si>
  <si>
    <t>Product line</t>
  </si>
  <si>
    <t>Unit price</t>
  </si>
  <si>
    <t>Quantity</t>
  </si>
  <si>
    <t>Tax 5%</t>
  </si>
  <si>
    <t>Total</t>
  </si>
  <si>
    <t>Date</t>
  </si>
  <si>
    <t>Time</t>
  </si>
  <si>
    <t>Payment</t>
  </si>
  <si>
    <t>cogs</t>
  </si>
  <si>
    <t>Net Profit</t>
  </si>
  <si>
    <t>Rating</t>
  </si>
  <si>
    <t>750-67-8428</t>
  </si>
  <si>
    <t>A</t>
  </si>
  <si>
    <t>Yangon</t>
  </si>
  <si>
    <t>Member</t>
  </si>
  <si>
    <t>Female</t>
  </si>
  <si>
    <t>Health and beauty</t>
  </si>
  <si>
    <t>Ewallet</t>
  </si>
  <si>
    <t>226-31-3081</t>
  </si>
  <si>
    <t>C</t>
  </si>
  <si>
    <t>Naypyitaw</t>
  </si>
  <si>
    <t>Normal</t>
  </si>
  <si>
    <t>Electronic accessories</t>
  </si>
  <si>
    <t>Cash</t>
  </si>
  <si>
    <t>631-41-3108</t>
  </si>
  <si>
    <t>Male</t>
  </si>
  <si>
    <t>Home and lifestyle</t>
  </si>
  <si>
    <t>Credit card</t>
  </si>
  <si>
    <t>123-19-1176</t>
  </si>
  <si>
    <t>373-73-7910</t>
  </si>
  <si>
    <t>Sports and travel</t>
  </si>
  <si>
    <t>699-14-3026</t>
  </si>
  <si>
    <t>355-53-5943</t>
  </si>
  <si>
    <t>315-22-5665</t>
  </si>
  <si>
    <t>665-32-9167</t>
  </si>
  <si>
    <t>692-92-5582</t>
  </si>
  <si>
    <t>B</t>
  </si>
  <si>
    <t>Mandalay</t>
  </si>
  <si>
    <t>Food and beverages</t>
  </si>
  <si>
    <t>351-62-0822</t>
  </si>
  <si>
    <t>Fashion accessories</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</si>
  <si>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</si>
  <si>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</si>
  <si>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</si>
  <si>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</si>
  <si>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</si>
  <si>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</si>
  <si>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</si>
  <si>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</si>
  <si>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</si>
  <si>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</si>
  <si>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</si>
  <si>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</si>
  <si>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</si>
  <si>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</si>
  <si>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</si>
  <si>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</si>
  <si>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</si>
  <si>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</si>
  <si>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</si>
  <si>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</si>
  <si>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</si>
  <si>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</si>
  <si>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</si>
  <si>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</si>
  <si>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</si>
  <si>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</si>
  <si>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</si>
  <si>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</si>
  <si>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</si>
  <si>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</si>
  <si>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</si>
  <si>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</si>
  <si>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</si>
  <si>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</si>
  <si>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</si>
  <si>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</si>
  <si>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</si>
  <si>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</si>
  <si>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</si>
  <si>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</si>
  <si>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</si>
  <si>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</si>
  <si>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</si>
  <si>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</si>
  <si>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</si>
  <si>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</si>
  <si>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</si>
  <si>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</si>
  <si>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</si>
  <si>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</si>
  <si>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</si>
  <si>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</si>
  <si>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</si>
  <si>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</si>
  <si>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</si>
  <si>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</si>
  <si>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</si>
  <si>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</si>
  <si>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</si>
  <si>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</si>
  <si>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</si>
  <si>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</si>
  <si>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</si>
  <si>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</si>
  <si>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</si>
  <si>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</si>
  <si>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</si>
  <si>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</si>
  <si>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</si>
  <si>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</si>
  <si>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</si>
  <si>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</si>
  <si>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</si>
  <si>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</si>
  <si>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</si>
  <si>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</si>
  <si>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</si>
  <si>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</si>
  <si>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</si>
  <si>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</si>
  <si>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</si>
  <si>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</si>
  <si>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</si>
  <si>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</si>
  <si>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</si>
  <si>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</si>
  <si>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</si>
  <si>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</si>
  <si>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</si>
  <si>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</si>
  <si>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</si>
  <si>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</si>
  <si>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</si>
  <si>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</si>
  <si>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</si>
  <si>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</si>
  <si>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</si>
  <si>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</si>
  <si>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</si>
  <si>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</si>
  <si>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</si>
  <si>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</si>
  <si>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</si>
  <si>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</si>
  <si>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</si>
  <si>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</si>
  <si>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</si>
  <si>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</si>
  <si>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</si>
  <si>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</si>
  <si>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</si>
  <si>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</si>
  <si>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</si>
  <si>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</si>
  <si>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</si>
  <si>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</si>
  <si>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</si>
  <si>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</si>
  <si>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</si>
  <si>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</si>
  <si>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</si>
  <si>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</si>
  <si>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</si>
  <si>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</si>
  <si>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</si>
  <si>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</si>
  <si>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</si>
  <si>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</si>
  <si>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</si>
  <si>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</si>
  <si>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</si>
  <si>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</si>
  <si>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</si>
  <si>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</si>
  <si>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</si>
  <si>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</si>
  <si>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</si>
  <si>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</si>
  <si>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</si>
  <si>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</si>
  <si>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</si>
  <si>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</si>
  <si>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</si>
  <si>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</si>
  <si>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</si>
  <si>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</si>
  <si>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</si>
  <si>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</si>
  <si>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</si>
  <si>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</si>
  <si>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</si>
  <si>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</si>
  <si>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</si>
  <si>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</si>
  <si>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</si>
  <si>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</si>
  <si>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</si>
  <si>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</si>
  <si>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</si>
  <si>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</si>
  <si>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</si>
  <si>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</si>
  <si>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</si>
  <si>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</si>
  <si>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</si>
  <si>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</si>
  <si>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</si>
  <si>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</si>
  <si>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</si>
  <si>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</si>
  <si>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</si>
  <si>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</si>
  <si>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</si>
  <si>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</si>
  <si>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</si>
  <si>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</si>
  <si>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</si>
  <si>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</si>
  <si>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</si>
  <si>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</si>
  <si>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</si>
  <si>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</si>
  <si>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</si>
  <si>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</si>
  <si>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</si>
  <si>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</si>
  <si>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</si>
  <si>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</si>
  <si>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</si>
  <si>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</si>
  <si>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</si>
  <si>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</si>
  <si>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</si>
  <si>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</si>
  <si>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</si>
  <si>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</si>
  <si>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</si>
  <si>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</si>
  <si>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</si>
  <si>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</si>
  <si>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</si>
  <si>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</si>
  <si>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</si>
  <si>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</si>
  <si>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</si>
  <si>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</si>
  <si>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</si>
  <si>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</si>
  <si>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</si>
  <si>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</si>
  <si>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</si>
  <si>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</si>
  <si>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</si>
  <si>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</si>
  <si>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</si>
  <si>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</si>
  <si>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</si>
  <si>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</si>
  <si>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</si>
  <si>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</si>
  <si>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</si>
  <si>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</si>
  <si>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</si>
  <si>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</si>
  <si>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</si>
  <si>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</si>
  <si>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</si>
  <si>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</si>
  <si>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</si>
  <si>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</si>
  <si>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</si>
  <si>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</si>
  <si>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</si>
  <si>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</si>
  <si>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</si>
  <si>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</si>
  <si>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</si>
  <si>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</si>
  <si>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</si>
  <si>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</si>
  <si>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</si>
  <si>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</si>
  <si>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</si>
  <si>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</si>
  <si>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</si>
  <si>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</si>
  <si>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</si>
  <si>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</si>
  <si>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</si>
  <si>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</si>
  <si>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</si>
  <si>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</si>
  <si>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</si>
  <si>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</si>
  <si>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</si>
  <si>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</si>
  <si>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</si>
  <si>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</si>
  <si>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</si>
  <si>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</si>
  <si>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</si>
  <si>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</si>
  <si>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</si>
  <si>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</si>
  <si>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</si>
  <si>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</si>
  <si>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</si>
  <si>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</si>
  <si>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</si>
  <si>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</si>
  <si>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</si>
  <si>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</si>
  <si>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</si>
  <si>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</si>
  <si>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</si>
  <si>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</si>
  <si>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</si>
  <si>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</si>
  <si>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</si>
  <si>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</si>
  <si>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</si>
  <si>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</si>
  <si>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</si>
  <si>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</si>
  <si>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</si>
  <si>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</si>
  <si>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</si>
  <si>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</si>
  <si>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</si>
  <si>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</si>
  <si>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</si>
  <si>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</si>
  <si>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</si>
  <si>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</si>
  <si>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</si>
  <si>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</si>
  <si>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</si>
  <si>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</si>
  <si>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</si>
  <si>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</si>
  <si>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</si>
  <si>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</si>
  <si>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</si>
  <si>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</si>
  <si>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</si>
  <si>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</si>
  <si>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</si>
  <si>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</si>
  <si>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</si>
  <si>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</si>
  <si>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</si>
  <si>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</si>
  <si>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</si>
  <si>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</si>
  <si>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</si>
  <si>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</si>
  <si>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</si>
  <si>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</si>
  <si>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</si>
  <si>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</si>
  <si>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</si>
  <si>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</si>
  <si>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</si>
  <si>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</si>
  <si>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</si>
  <si>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</si>
  <si>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</si>
  <si>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</si>
  <si>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</si>
  <si>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</si>
  <si>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</si>
  <si>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</si>
  <si>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</si>
  <si>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</si>
  <si>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</si>
  <si>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</si>
  <si>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</si>
  <si>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</si>
  <si>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</si>
  <si>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</si>
  <si>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</si>
  <si>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</si>
  <si>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</si>
  <si>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</si>
  <si>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</si>
  <si>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</si>
  <si>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</si>
  <si>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</si>
  <si>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</si>
  <si>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</si>
  <si>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</si>
  <si>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</si>
  <si>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</si>
  <si>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</si>
  <si>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</si>
  <si>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</si>
  <si>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</si>
  <si>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</si>
  <si>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</si>
  <si>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</si>
  <si>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</si>
  <si>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</si>
  <si>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</si>
  <si>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</si>
  <si>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</si>
  <si>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</si>
  <si>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</si>
  <si>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</si>
  <si>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</si>
  <si>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</si>
  <si>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</si>
  <si>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</si>
  <si>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</si>
  <si>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</si>
  <si>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</si>
  <si>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</si>
  <si>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</si>
  <si>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</si>
  <si>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</si>
  <si>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</si>
  <si>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</si>
  <si>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</si>
  <si>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</si>
  <si>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</si>
  <si>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</si>
  <si>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</si>
  <si>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</si>
  <si>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</si>
  <si>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</si>
  <si>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</si>
  <si>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</si>
  <si>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</si>
  <si>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</si>
  <si>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</si>
  <si>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</si>
  <si>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</si>
  <si>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</si>
  <si>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</si>
  <si>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</si>
  <si>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</si>
  <si>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</si>
  <si>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</si>
  <si>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</si>
  <si>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</si>
  <si>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</si>
  <si>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</si>
  <si>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</si>
  <si>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</si>
  <si>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</si>
  <si>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</si>
  <si>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</si>
  <si>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</si>
  <si>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</si>
  <si>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</si>
  <si>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</si>
  <si>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</si>
  <si>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</si>
  <si>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</si>
  <si>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</si>
  <si>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</si>
  <si>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</si>
  <si>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</si>
  <si>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</si>
  <si>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</si>
  <si>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</si>
  <si>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</si>
  <si>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</si>
  <si>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</si>
  <si>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</si>
  <si>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</si>
  <si>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</si>
  <si>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</si>
  <si>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</si>
  <si>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</si>
  <si>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</si>
  <si>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</si>
  <si>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</si>
  <si>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</si>
  <si>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</si>
  <si>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</si>
  <si>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</si>
  <si>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</si>
  <si>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</si>
  <si>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</si>
  <si>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</si>
  <si>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</si>
  <si>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</si>
  <si>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</si>
  <si>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</si>
  <si>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</si>
  <si>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</si>
  <si>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</si>
  <si>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</si>
  <si>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</si>
  <si>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</si>
  <si>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</si>
  <si>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</si>
  <si>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</si>
  <si>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</si>
  <si>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</si>
  <si>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</si>
  <si>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</si>
  <si>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</si>
  <si>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</si>
  <si>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</si>
  <si>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</si>
  <si>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</si>
  <si>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</si>
  <si>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</si>
  <si>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</si>
  <si>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</si>
  <si>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</si>
  <si>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</si>
  <si>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</si>
  <si>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</si>
  <si>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</si>
  <si>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</si>
  <si>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</si>
  <si>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</si>
  <si>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</si>
  <si>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</si>
  <si>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</si>
  <si>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</si>
  <si>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</si>
  <si>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</si>
  <si>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</si>
  <si>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</si>
  <si>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</si>
  <si>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</si>
  <si>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</si>
  <si>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</si>
  <si>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</si>
  <si>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</si>
  <si>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</si>
  <si>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</si>
  <si>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</si>
  <si>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</si>
  <si>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</si>
  <si>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</si>
  <si>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</si>
  <si>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</si>
  <si>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</si>
  <si>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</si>
  <si>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</si>
  <si>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</si>
  <si>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</si>
  <si>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</si>
  <si>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</si>
  <si>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</si>
  <si>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</si>
  <si>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</si>
  <si>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</si>
  <si>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</si>
  <si>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</si>
  <si>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</si>
  <si>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</si>
  <si>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</si>
  <si>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</si>
  <si>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</si>
  <si>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</si>
  <si>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</si>
  <si>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</si>
  <si>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</si>
  <si>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</si>
  <si>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</si>
  <si>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</si>
  <si>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</si>
  <si>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</si>
  <si>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</si>
  <si>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</si>
  <si>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</si>
  <si>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</si>
  <si>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</si>
  <si>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</si>
  <si>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</si>
  <si>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</si>
  <si>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</si>
  <si>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</si>
  <si>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</si>
  <si>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</si>
  <si>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</si>
  <si>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</si>
  <si>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</si>
  <si>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</si>
  <si>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</si>
  <si>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</si>
  <si>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</si>
  <si>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</si>
  <si>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</si>
  <si>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</si>
  <si>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</si>
  <si>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</si>
  <si>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</si>
  <si>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</si>
  <si>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</si>
  <si>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</si>
  <si>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</si>
  <si>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</si>
  <si>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</si>
  <si>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</si>
  <si>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</si>
  <si>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</si>
  <si>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</si>
  <si>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</si>
  <si>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</si>
  <si>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</si>
  <si>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</si>
  <si>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</si>
  <si>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</si>
  <si>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</si>
  <si>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</si>
  <si>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</si>
  <si>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</si>
  <si>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</si>
  <si>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</si>
  <si>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</si>
  <si>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</si>
  <si>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</si>
  <si>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</si>
  <si>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</si>
  <si>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</si>
  <si>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</si>
  <si>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</si>
  <si>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</si>
  <si>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</si>
  <si>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</si>
  <si>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</si>
  <si>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</si>
  <si>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</si>
  <si>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</si>
  <si>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</si>
  <si>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</si>
  <si>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</si>
  <si>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</si>
  <si>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</si>
  <si>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</si>
  <si>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</si>
  <si>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</si>
  <si>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</si>
  <si>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</si>
  <si>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</si>
  <si>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</si>
  <si>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</si>
  <si>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</si>
  <si>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</si>
  <si>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</si>
  <si>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</si>
  <si>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</si>
  <si>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</si>
  <si>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</si>
  <si>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</si>
  <si>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</si>
  <si>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</si>
  <si>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</si>
  <si>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</si>
  <si>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</si>
  <si>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</si>
  <si>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</si>
  <si>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</si>
  <si>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</si>
  <si>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</si>
  <si>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</si>
  <si>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</si>
  <si>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</si>
  <si>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</si>
  <si>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</si>
  <si>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</si>
  <si>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</si>
  <si>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</si>
  <si>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</si>
  <si>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</si>
  <si>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</si>
  <si>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</si>
  <si>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</si>
  <si>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</si>
  <si>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</si>
  <si>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</si>
  <si>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</si>
  <si>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</si>
  <si>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</si>
  <si>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</si>
  <si>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</si>
  <si>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</si>
  <si>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</si>
  <si>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</si>
  <si>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</si>
  <si>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</si>
  <si>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</si>
  <si>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</si>
  <si>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</si>
  <si>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</si>
  <si>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</si>
  <si>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</si>
  <si>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</si>
  <si>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</si>
  <si>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</si>
  <si>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</si>
  <si>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</si>
  <si>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</si>
  <si>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</si>
  <si>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</si>
  <si>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</si>
  <si>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</si>
  <si>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</si>
  <si>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</si>
  <si>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</si>
  <si>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</si>
  <si>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</si>
  <si>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</si>
  <si>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</si>
  <si>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</si>
  <si>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</si>
  <si>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</si>
  <si>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</si>
  <si>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</si>
  <si>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</si>
  <si>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</si>
  <si>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</si>
  <si>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</si>
  <si>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</si>
  <si>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</si>
  <si>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</si>
  <si>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</si>
  <si>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</si>
  <si>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</si>
  <si>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</si>
  <si>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</si>
  <si>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</si>
  <si>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</si>
  <si>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</si>
  <si>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</si>
  <si>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</si>
  <si>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</si>
  <si>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</si>
  <si>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</si>
  <si>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</si>
  <si>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</si>
  <si>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</si>
  <si>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</si>
  <si>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</si>
  <si>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</si>
  <si>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</si>
  <si>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</si>
  <si>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</si>
  <si>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</si>
  <si>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</si>
  <si>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</si>
  <si>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</si>
  <si>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</si>
  <si>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</si>
  <si>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</si>
  <si>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</si>
  <si>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</si>
  <si>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</si>
  <si>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</si>
  <si>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</si>
  <si>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</si>
  <si>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</si>
  <si>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</si>
  <si>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</si>
  <si>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</si>
  <si>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</si>
  <si>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</si>
  <si>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</si>
  <si>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</si>
  <si>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</si>
  <si>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</si>
  <si>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</si>
  <si>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</si>
  <si>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</si>
  <si>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</si>
  <si>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</si>
  <si>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</si>
  <si>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</si>
  <si>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</si>
  <si>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</si>
  <si>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</si>
  <si>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</si>
  <si>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</si>
  <si>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</si>
  <si>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</si>
  <si>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</si>
  <si>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</si>
  <si>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</si>
  <si>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</si>
  <si>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</si>
  <si>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</si>
  <si>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</si>
  <si>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</si>
  <si>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</si>
  <si>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</si>
  <si>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</si>
  <si>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</si>
  <si>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</si>
  <si>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</si>
  <si>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</si>
  <si>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</si>
  <si>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</si>
  <si>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</si>
  <si>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</si>
  <si>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</si>
  <si>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</si>
  <si>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</si>
  <si>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</si>
  <si>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</si>
  <si>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</si>
  <si>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</si>
  <si>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</si>
  <si>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</si>
  <si>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</si>
  <si>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</si>
  <si>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</si>
  <si>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</si>
  <si>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</si>
  <si>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</si>
  <si>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</si>
  <si>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</si>
  <si>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</si>
  <si>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</si>
  <si>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</si>
  <si>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</si>
  <si>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</si>
  <si>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</si>
  <si>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</si>
  <si>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</si>
  <si>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</si>
  <si>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</si>
  <si>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</si>
  <si>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</si>
  <si>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</si>
  <si>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</si>
  <si>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</si>
  <si>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</si>
  <si>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</si>
  <si>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</si>
  <si>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</si>
  <si>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</si>
  <si>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</si>
  <si>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</si>
  <si>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</si>
  <si>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</si>
  <si>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</si>
  <si>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</si>
  <si>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</si>
  <si>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</si>
  <si>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</si>
  <si>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</si>
  <si>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</si>
  <si>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</si>
  <si>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</si>
  <si>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</si>
  <si>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</si>
  <si>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</si>
  <si>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</si>
  <si>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</si>
  <si>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</si>
  <si>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</si>
  <si>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</si>
  <si>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</si>
  <si>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</si>
  <si>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</si>
  <si>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</si>
  <si>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</si>
  <si>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</si>
  <si>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</si>
  <si>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</si>
  <si>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</si>
  <si>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</si>
  <si>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</si>
  <si>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</si>
  <si>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</si>
  <si>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</si>
  <si>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</si>
  <si>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</si>
  <si>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</si>
  <si>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</si>
  <si>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</si>
  <si>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</si>
  <si>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</si>
  <si>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</si>
  <si>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</si>
  <si>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</si>
  <si>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</si>
  <si>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</si>
  <si>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</si>
  <si>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</si>
  <si>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</si>
  <si>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</si>
  <si>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</si>
  <si>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</si>
  <si>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</si>
  <si>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</si>
  <si>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</si>
  <si>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</si>
  <si>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</si>
  <si>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</si>
  <si>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</si>
  <si>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</si>
  <si>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</si>
  <si>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</si>
  <si>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</si>
  <si>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</si>
  <si>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</si>
  <si>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</si>
  <si>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</si>
  <si>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</si>
  <si>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</si>
  <si>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</si>
  <si>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</si>
  <si>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</si>
  <si>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</si>
  <si>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</si>
  <si>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</si>
  <si>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</si>
  <si>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</si>
  <si>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</si>
  <si>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</si>
  <si>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</si>
  <si>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</si>
  <si>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</si>
  <si>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</si>
  <si>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</si>
  <si>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</si>
  <si>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</si>
  <si>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</si>
  <si>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</si>
  <si>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</si>
  <si>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</si>
  <si>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</si>
  <si>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</si>
  <si>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</si>
  <si>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</si>
  <si>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</si>
  <si>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</si>
  <si>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</si>
  <si>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</si>
  <si>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</si>
  <si>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</si>
  <si>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</si>
  <si>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</si>
  <si>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</si>
  <si>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</si>
  <si>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</si>
  <si>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</si>
  <si>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</si>
  <si>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</si>
  <si>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</si>
  <si>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</si>
  <si>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</si>
  <si>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</si>
  <si>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</si>
  <si>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</si>
  <si>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</si>
  <si>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</si>
  <si>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</si>
  <si>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</si>
  <si>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</si>
  <si>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</si>
  <si>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</si>
  <si>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</si>
  <si>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</si>
  <si>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</si>
  <si>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</si>
  <si>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</si>
  <si>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</si>
  <si>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</si>
  <si>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</si>
  <si>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</si>
  <si>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</si>
  <si>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</si>
  <si>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</si>
  <si>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</si>
  <si>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</si>
  <si>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</si>
  <si>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</si>
  <si>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</si>
  <si>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</si>
  <si>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</si>
  <si>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</si>
  <si>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</si>
  <si>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</si>
  <si>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</si>
  <si>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</si>
  <si>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</si>
  <si>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</si>
  <si>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</si>
  <si>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</si>
  <si>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</si>
  <si>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</si>
  <si>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</si>
  <si>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</si>
  <si>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</si>
  <si>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</si>
  <si>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</si>
  <si>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</si>
  <si>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</si>
  <si>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</si>
  <si>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</si>
  <si>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</si>
  <si>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</si>
  <si>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</si>
  <si>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</si>
  <si>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</si>
  <si>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</si>
  <si>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</si>
  <si>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</si>
  <si>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</si>
  <si>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</si>
  <si>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</si>
  <si>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</si>
  <si>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</si>
  <si>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</si>
  <si>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</si>
  <si>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</si>
  <si>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</si>
  <si>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</si>
  <si>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</si>
  <si>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</si>
  <si>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</si>
  <si>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</si>
  <si>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</si>
  <si>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</si>
  <si>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</si>
  <si>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</si>
  <si>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</si>
  <si>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</si>
  <si>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</si>
  <si>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</si>
  <si>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</si>
  <si>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returns</t>
  </si>
  <si>
    <t>yes</t>
  </si>
  <si>
    <t>city</t>
  </si>
  <si>
    <t>Rep</t>
  </si>
  <si>
    <t>Ahmed Elminofy</t>
  </si>
  <si>
    <t>Mohamed Elbanhawy</t>
  </si>
  <si>
    <t>Mostafa Eltantawy</t>
  </si>
  <si>
    <t>:= unit price * quantity</t>
  </si>
  <si>
    <t>net profit</t>
  </si>
  <si>
    <t>:= total - cogs - tax</t>
  </si>
  <si>
    <t>Row Labels</t>
  </si>
  <si>
    <t>Grand Total</t>
  </si>
  <si>
    <t>Sum of Total</t>
  </si>
  <si>
    <t>Total Sales</t>
  </si>
  <si>
    <t>Dashboard Title</t>
  </si>
  <si>
    <t>Day</t>
  </si>
  <si>
    <t>Month</t>
  </si>
  <si>
    <t>Year</t>
  </si>
  <si>
    <t>Net Sales</t>
  </si>
  <si>
    <t>(blank)</t>
  </si>
  <si>
    <t>Total Returns</t>
  </si>
  <si>
    <t>Net %</t>
  </si>
  <si>
    <t>returns %</t>
  </si>
  <si>
    <t>Sum of Total2</t>
  </si>
  <si>
    <t>Sum of Net Profit</t>
  </si>
  <si>
    <t>Sum of cogs</t>
  </si>
  <si>
    <t>Sum of Tax 5%</t>
  </si>
  <si>
    <t>Profit %</t>
  </si>
  <si>
    <t>Cogs</t>
  </si>
  <si>
    <t>Cogs %</t>
  </si>
  <si>
    <t>Current year</t>
  </si>
  <si>
    <t>Previous Year</t>
  </si>
  <si>
    <t>Sales of Previous Year</t>
  </si>
  <si>
    <t>Sales % Previous Year</t>
  </si>
  <si>
    <t>Total Profit</t>
  </si>
  <si>
    <t>Branch City</t>
  </si>
  <si>
    <t>Br. A (Yangon)</t>
  </si>
  <si>
    <t>Br. B (Mandalay)</t>
  </si>
  <si>
    <t>Br. C (Naypyitaw)</t>
  </si>
  <si>
    <t>Sum of Quantity</t>
  </si>
  <si>
    <t>Count of Invoice ID</t>
  </si>
  <si>
    <t>No. returns</t>
  </si>
  <si>
    <t>No. orders</t>
  </si>
  <si>
    <t>No. Units Sold</t>
  </si>
  <si>
    <t>No. Units returned</t>
  </si>
  <si>
    <t>Sold</t>
  </si>
  <si>
    <t>Returned</t>
  </si>
  <si>
    <t>Column Labels</t>
  </si>
  <si>
    <t xml:space="preserve">No. orders </t>
  </si>
  <si>
    <t>AOV</t>
  </si>
  <si>
    <t>10</t>
  </si>
  <si>
    <t>12</t>
  </si>
  <si>
    <t>11</t>
  </si>
  <si>
    <t>13</t>
  </si>
  <si>
    <t>14</t>
  </si>
  <si>
    <t>15</t>
  </si>
  <si>
    <t>16</t>
  </si>
  <si>
    <t>17</t>
  </si>
  <si>
    <t>18</t>
  </si>
  <si>
    <t>19</t>
  </si>
  <si>
    <t>20</t>
  </si>
  <si>
    <t>Average of Rating</t>
  </si>
  <si>
    <t>Count of Payment</t>
  </si>
  <si>
    <t>returned orders %</t>
  </si>
  <si>
    <t>Tax</t>
  </si>
  <si>
    <t>Change rate sales</t>
  </si>
  <si>
    <t>Change rate profit</t>
  </si>
  <si>
    <t>Avg. unit price</t>
  </si>
  <si>
    <t>Average of Unit price</t>
  </si>
  <si>
    <t>Max of Unit price</t>
  </si>
  <si>
    <t>Min of Unit price</t>
  </si>
  <si>
    <t>Returns</t>
  </si>
  <si>
    <t>2022</t>
  </si>
  <si>
    <t xml:space="preserve">Title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</si>
</sst>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3" formatCode="_-* #,##0.00\ _ج_._م_._‏_-;\-* #,##0.00\ _ج_._م_._‏_-;_-* &quot;-&quot;??\ _ج_._م_._‏_-;_-@_-"/>
    <numFmt numFmtId="164" formatCode="_-* #,##0\ _ج_._م_._‏_-;\-* #,##0\ _ج_._م_._‏_-;_-* &quot;-&quot;??\ _ج_._م_._‏_-;_-@_-"/>
    <numFmt numFmtId="165" formatCode="_-* #,##0.0\ _ج_._م_._‏_-;\-* #,##0.0\ _ج_._م_._‏_-;_-* &quot;-&quot;??\ _ج_._م_._‏_-;_-@_-"/>
    <numFmt numFmtId="166" formatCode="0.0"/>
    <numFmt numFmtId="167" formatCode="0,&quot; K&quot;;\-0,&quot; K&quot;;\ &quot;&quot;"/>
    <numFmt numFmtId="168" formatCode="0,&quot; k&quot;"/>
  </numFmts>
  <fonts count="5" x14ac:knownFonts="1">
    <font>
      <sz val="11"/>
      <color theme="1"/>
      <name val="Calibri"/>
      <family val="2"/>
      <scheme val="minor"/>
    </font>
    <font>
      <sz val="11"/>
      <color theme="1"/>
      <name val="Calibri"/>
      <family val="2"/>
      <scheme val="minor"/>
    </font>
    <font>
      <sz val="24"/>
      <color theme="0"/>
      <name val="Calibri"/>
      <family val="2"/>
    </font>
    <font>
      <b/>
      <sz val="11"/>
      <color theme="0"/>
      <name val="Calibri"/>
      <family val="2"/>
      <scheme val="minor"/>
    </font>
    <font>
      <sz val="11"/>
      <color theme="0"/>
      <name val="Calibri"/>
      <family val="2"/>
      <scheme val="minor"/>
    </font>
  </fonts>
  <fills count="5">
    <fill>
      <patternFill patternType="none"/>
    </fill>
    <fill>
      <patternFill patternType="gray125"/>
    </fill>
    <fill>
      <patternFill patternType="solid">
        <fgColor rgb="FF6D6875"/>
        <bgColor indexed="64"/>
      </patternFill>
    </fill>
    <fill>
      <patternFill patternType="solid">
        <fgColor rgb="FF92D050"/>
        <bgColor indexed="64"/>
      </patternFill>
    </fill>
    <fill>
      <patternFill patternType="solid">
        <fgColor rgb="FFC9184A"/>
        <bgColor indexed="64"/>
      </patternFill>
    </fill>
  </fills>
  <borders count="1">
    <border>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34">
    <xf numFmtId="0" fontId="0" fillId="0" borderId="0" xfId="0"/>
    <xf numFmtId="14" fontId="0" fillId="0" borderId="0" xfId="0" applyNumberFormat="1"/>
    <xf numFmtId="20" fontId="0" fillId="0" borderId="0" xfId="0" applyNumberFormat="1"/>
    <xf numFmtId="0" fontId="0" fillId="2" borderId="0" xfId="0" applyFill="1"/>
    <xf numFmtId="0" fontId="2" fillId="2" borderId="0" xfId="0" applyFont="1" applyFill="1"/>
    <xf numFmtId="0" fontId="0" fillId="0" borderId="0" xfId="0" pivotButton="1"/>
    <xf numFmtId="0" fontId="0" fillId="0" borderId="0" xfId="0" applyAlignment="1">
      <alignment horizontal="left"/>
    </xf>
    <xf numFmtId="0" fontId="0" fillId="0" borderId="0" xfId="0" applyNumberFormat="1"/>
    <xf numFmtId="164" fontId="0" fillId="0" borderId="0" xfId="1" applyNumberFormat="1" applyFont="1"/>
    <xf numFmtId="164" fontId="0" fillId="0" borderId="0" xfId="0" applyNumberFormat="1"/>
    <xf numFmtId="9" fontId="0" fillId="0" borderId="0" xfId="2" applyFont="1"/>
    <xf numFmtId="10" fontId="0" fillId="0" borderId="0" xfId="0" applyNumberFormat="1"/>
    <xf numFmtId="9" fontId="0" fillId="0" borderId="0" xfId="0" applyNumberFormat="1"/>
    <xf numFmtId="0" fontId="0" fillId="3" borderId="0" xfId="0" applyFill="1"/>
    <xf numFmtId="43" fontId="0" fillId="0" borderId="0" xfId="0" applyNumberFormat="1"/>
    <xf numFmtId="165" fontId="0" fillId="0" borderId="0" xfId="0" applyNumberFormat="1"/>
    <xf numFmtId="166" fontId="0" fillId="0" borderId="0" xfId="0" applyNumberFormat="1"/>
    <xf numFmtId="164" fontId="0" fillId="0" borderId="0" xfId="1" applyNumberFormat="1" applyFont="1" applyFill="1"/>
    <xf numFmtId="9" fontId="3" fillId="4" borderId="0" xfId="2" applyFont="1" applyFill="1"/>
    <xf numFmtId="9" fontId="3" fillId="4" borderId="0" xfId="0" applyNumberFormat="1" applyFont="1" applyFill="1"/>
    <xf numFmtId="9" fontId="3" fillId="4" borderId="0" xfId="2" applyNumberFormat="1" applyFont="1" applyFill="1"/>
    <xf numFmtId="0" fontId="3" fillId="4" borderId="0" xfId="0" applyFont="1" applyFill="1"/>
    <xf numFmtId="1" fontId="0" fillId="0" borderId="0" xfId="0" applyNumberFormat="1"/>
    <xf numFmtId="0" fontId="0" fillId="4" borderId="0" xfId="0" applyFill="1"/>
    <xf numFmtId="0" fontId="4" fillId="4" borderId="0" xfId="0" applyFont="1" applyFill="1" applyAlignment="1">
      <alignment horizontal="left"/>
    </xf>
    <xf numFmtId="0" fontId="4" fillId="4" borderId="0" xfId="0" applyFont="1" applyFill="1" applyAlignment="1"/>
    <xf numFmtId="43" fontId="0" fillId="0" borderId="0" xfId="1" applyNumberFormat="1" applyFont="1"/>
    <xf numFmtId="2" fontId="0" fillId="0" borderId="0" xfId="0" applyNumberFormat="1"/>
    <xf numFmtId="167" fontId="0" fillId="0" borderId="0" xfId="1" applyNumberFormat="1" applyFont="1"/>
    <xf numFmtId="167" fontId="0" fillId="0" borderId="0" xfId="0" applyNumberFormat="1"/>
    <xf numFmtId="168" fontId="0" fillId="0" borderId="0" xfId="1" applyNumberFormat="1" applyFont="1"/>
    <xf numFmtId="0" fontId="0" fillId="0" borderId="0" xfId="0" applyAlignment="1">
      <alignment horizontal="left" indent="1"/>
    </xf>
    <xf numFmtId="0" fontId="0" fillId="0" borderId="0" xfId="0" applyFill="1"/>
    <xf numFmtId="168" fontId="0" fillId="0" borderId="0" xfId="0" applyNumberFormat="1"/>
  </cellXfs>
  <cellStyles count="3">
    <cellStyle name="Comma" xfId="1" builtinId="3"/>
    <cellStyle name="Normal" xfId="0" builtinId="0"/>
    <cellStyle name="Percent" xfId="2" builtinId="5"/>
  </cellStyles>
  <dxfs count="176">
    <dxf>
      <numFmt numFmtId="13" formatCode="0%"/>
    </dxf>
    <dxf>
      <numFmt numFmtId="169" formatCode="0.0%"/>
    </dxf>
    <dxf>
      <numFmt numFmtId="14" formatCode="0.00%"/>
    </dxf>
    <dxf>
      <numFmt numFmtId="0" formatCode="General"/>
    </dxf>
    <dxf>
      <numFmt numFmtId="13" formatCode="0%"/>
    </dxf>
    <dxf>
      <numFmt numFmtId="35" formatCode="_-* #,##0.00\ _ج_._م_._‏_-;\-* #,##0.00\ _ج_._م_._‏_-;_-* &quot;-&quot;??\ _ج_._م_._‏_-;_-@_-"/>
    </dxf>
    <dxf>
      <numFmt numFmtId="165" formatCode="_-* #,##0.0\ _ج_._م_._‏_-;\-* #,##0.0\ _ج_._م_._‏_-;_-* &quot;-&quot;??\ _ج_._م_._‏_-;_-@_-"/>
    </dxf>
    <dxf>
      <numFmt numFmtId="164" formatCode="_-* #,##0\ _ج_._م_._‏_-;\-* #,##0\ _ج_._م_._‏_-;_-* &quot;-&quot;??\ _ج_._م_._‏_-;_-@_-"/>
    </dxf>
    <dxf>
      <numFmt numFmtId="165" formatCode="_-* #,##0.0\ _ج_._م_._‏_-;\-* #,##0.0\ _ج_._م_._‏_-;_-* &quot;-&quot;??\ _ج_._م_._‏_-;_-@_-"/>
    </dxf>
    <dxf>
      <numFmt numFmtId="35" formatCode="_-* #,##0.00\ _ج_._م_._‏_-;\-* #,##0.00\ _ج_._م_._‏_-;_-* &quot;-&quot;??\ _ج_._م_._‏_-;_-@_-"/>
    </dxf>
    <dxf>
      <numFmt numFmtId="13" formatCode="0%"/>
    </dxf>
    <dxf>
      <numFmt numFmtId="35" formatCode="_-* #,##0.00\ _ج_._م_._‏_-;\-* #,##0.00\ _ج_._م_._‏_-;_-* &quot;-&quot;??\ _ج_._م_._‏_-;_-@_-"/>
    </dxf>
    <dxf>
      <numFmt numFmtId="14" formatCode="0.00%"/>
    </dxf>
    <dxf>
      <numFmt numFmtId="164" formatCode="_-* #,##0\ _ج_._م_._‏_-;\-* #,##0\ _ج_._م_._‏_-;_-* &quot;-&quot;??\ _ج_._م_._‏_-;_-@_-"/>
    </dxf>
    <dxf>
      <numFmt numFmtId="165" formatCode="_-* #,##0.0\ _ج_._م_._‏_-;\-* #,##0.0\ _ج_._م_._‏_-;_-* &quot;-&quot;??\ _ج_._م_._‏_-;_-@_-"/>
    </dxf>
    <dxf>
      <numFmt numFmtId="35" formatCode="_-* #,##0.00\ _ج_._م_._‏_-;\-* #,##0.00\ _ج_._م_._‏_-;_-* &quot;-&quot;??\ _ج_._م_._‏_-;_-@_-"/>
    </dxf>
    <dxf>
      <numFmt numFmtId="164" formatCode="_-* #,##0\ _ج_._م_._‏_-;\-* #,##0\ _ج_._م_._‏_-;_-* &quot;-&quot;??\ _ج_._م_._‏_-;_-@_-"/>
    </dxf>
    <dxf>
      <numFmt numFmtId="165" formatCode="_-* #,##0.0\ _ج_._م_._‏_-;\-* #,##0.0\ _ج_._م_._‏_-;_-* &quot;-&quot;??\ _ج_._م_._‏_-;_-@_-"/>
    </dxf>
    <dxf>
      <numFmt numFmtId="35" formatCode="_-* #,##0.00\ _ج_._م_._‏_-;\-* #,##0.00\ _ج_._م_._‏_-;_-* &quot;-&quot;??\ _ج_._م_._‏_-;_-@_-"/>
    </dxf>
    <dxf>
      <numFmt numFmtId="165" formatCode="_-* #,##0.0\ _ج_._م_._‏_-;\-* #,##0.0\ _ج_._م_._‏_-;_-* &quot;-&quot;??\ _ج_._م_._‏_-;_-@_-"/>
    </dxf>
    <dxf>
      <numFmt numFmtId="35" formatCode="_-* #,##0.00\ _ج_._م_._‏_-;\-* #,##0.00\ _ج_._م_._‏_-;_-* &quot;-&quot;??\ _ج_._م_._‏_-;_-@_-"/>
    </dxf>
    <dxf>
      <numFmt numFmtId="165" formatCode="_-* #,##0.0\ _ج_._م_._‏_-;\-* #,##0.0\ _ج_._م_._‏_-;_-* &quot;-&quot;??\ _ج_._م_._‏_-;_-@_-"/>
    </dxf>
    <dxf>
      <numFmt numFmtId="35" formatCode="_-* #,##0.00\ _ج_._م_._‏_-;\-* #,##0.00\ _ج_._م_._‏_-;_-* &quot;-&quot;??\ _ج_._م_._‏_-;_-@_-"/>
    </dxf>
    <dxf>
      <numFmt numFmtId="165" formatCode="_-* #,##0.0\ _ج_._م_._‏_-;\-* #,##0.0\ _ج_._م_._‏_-;_-* &quot;-&quot;??\ _ج_._م_._‏_-;_-@_-"/>
    </dxf>
    <dxf>
      <numFmt numFmtId="35" formatCode="_-* #,##0.00\ _ج_._م_._‏_-;\-* #,##0.00\ _ج_._م_._‏_-;_-* &quot;-&quot;??\ _ج_._م_._‏_-;_-@_-"/>
    </dxf>
    <dxf>
      <numFmt numFmtId="165" formatCode="_-* #,##0.0\ _ج_._م_._‏_-;\-* #,##0.0\ _ج_._م_._‏_-;_-* &quot;-&quot;??\ _ج_._م_._‏_-;_-@_-"/>
    </dxf>
    <dxf>
      <numFmt numFmtId="164" formatCode="_-* #,##0\ _ج_._م_._‏_-;\-* #,##0\ _ج_._م_._‏_-;_-* &quot;-&quot;??\ _ج_._م_._‏_-;_-@_-"/>
    </dxf>
    <dxf>
      <numFmt numFmtId="165" formatCode="_-* #,##0.0\ _ج_._م_._‏_-;\-* #,##0.0\ _ج_._م_._‏_-;_-* &quot;-&quot;??\ _ج_._م_._‏_-;_-@_-"/>
    </dxf>
    <dxf>
      <numFmt numFmtId="35" formatCode="_-* #,##0.00\ _ج_._م_._‏_-;\-* #,##0.00\ _ج_._م_._‏_-;_-* &quot;-&quot;??\ _ج_._م_._‏_-;_-@_-"/>
    </dxf>
    <dxf>
      <numFmt numFmtId="164" formatCode="_-* #,##0\ _ج_._م_._‏_-;\-* #,##0\ _ج_._م_._‏_-;_-* &quot;-&quot;??\ _ج_._م_._‏_-;_-@_-"/>
    </dxf>
    <dxf>
      <numFmt numFmtId="165" formatCode="_-* #,##0.0\ _ج_._م_._‏_-;\-* #,##0.0\ _ج_._م_._‏_-;_-* &quot;-&quot;??\ _ج_._م_._‏_-;_-@_-"/>
    </dxf>
    <dxf>
      <numFmt numFmtId="35" formatCode="_-* #,##0.00\ _ج_._م_._‏_-;\-* #,##0.00\ _ج_._م_._‏_-;_-* &quot;-&quot;??\ _ج_._م_._‏_-;_-@_-"/>
    </dxf>
    <dxf>
      <numFmt numFmtId="165" formatCode="_-* #,##0.0\ _ج_._م_._‏_-;\-* #,##0.0\ _ج_._م_._‏_-;_-* &quot;-&quot;??\ _ج_._م_._‏_-;_-@_-"/>
    </dxf>
    <dxf>
      <numFmt numFmtId="35" formatCode="_-* #,##0.00\ _ج_._م_._‏_-;\-* #,##0.00\ _ج_._م_._‏_-;_-* &quot;-&quot;??\ _ج_._م_._‏_-;_-@_-"/>
    </dxf>
    <dxf>
      <numFmt numFmtId="165" formatCode="_-* #,##0.0\ _ج_._م_._‏_-;\-* #,##0.0\ _ج_._م_._‏_-;_-* &quot;-&quot;??\ _ج_._م_._‏_-;_-@_-"/>
    </dxf>
    <dxf>
      <numFmt numFmtId="35" formatCode="_-* #,##0.00\ _ج_._م_._‏_-;\-* #,##0.00\ _ج_._م_._‏_-;_-* &quot;-&quot;??\ _ج_._م_._‏_-;_-@_-"/>
    </dxf>
    <dxf>
      <numFmt numFmtId="165" formatCode="_-* #,##0.0\ _ج_._م_._‏_-;\-* #,##0.0\ _ج_._م_._‏_-;_-* &quot;-&quot;??\ _ج_._م_._‏_-;_-@_-"/>
    </dxf>
    <dxf>
      <numFmt numFmtId="35" formatCode="_-* #,##0.00\ _ج_._م_._‏_-;\-* #,##0.00\ _ج_._م_._‏_-;_-* &quot;-&quot;??\ _ج_._م_._‏_-;_-@_-"/>
    </dxf>
    <dxf>
      <numFmt numFmtId="165" formatCode="_-* #,##0.0\ _ج_._م_._‏_-;\-* #,##0.0\ _ج_._م_._‏_-;_-* &quot;-&quot;??\ _ج_._م_._‏_-;_-@_-"/>
    </dxf>
    <dxf>
      <numFmt numFmtId="164" formatCode="_-* #,##0\ _ج_._م_._‏_-;\-* #,##0\ _ج_._م_._‏_-;_-* &quot;-&quot;??\ _ج_._م_._‏_-;_-@_-"/>
    </dxf>
    <dxf>
      <numFmt numFmtId="165" formatCode="_-* #,##0.0\ _ج_._م_._‏_-;\-* #,##0.0\ _ج_._م_._‏_-;_-* &quot;-&quot;??\ _ج_._م_._‏_-;_-@_-"/>
    </dxf>
    <dxf>
      <numFmt numFmtId="35" formatCode="_-* #,##0.00\ _ج_._م_._‏_-;\-* #,##0.00\ _ج_._م_._‏_-;_-* &quot;-&quot;??\ _ج_._م_._‏_-;_-@_-"/>
    </dxf>
    <dxf>
      <numFmt numFmtId="164" formatCode="_-* #,##0\ _ج_._م_._‏_-;\-* #,##0\ _ج_._م_._‏_-;_-* &quot;-&quot;??\ _ج_._م_._‏_-;_-@_-"/>
    </dxf>
    <dxf>
      <numFmt numFmtId="165" formatCode="_-* #,##0.0\ _ج_._م_._‏_-;\-* #,##0.0\ _ج_._م_._‏_-;_-* &quot;-&quot;??\ _ج_._م_._‏_-;_-@_-"/>
    </dxf>
    <dxf>
      <numFmt numFmtId="35" formatCode="_-* #,##0.00\ _ج_._م_._‏_-;\-* #,##0.00\ _ج_._م_._‏_-;_-* &quot;-&quot;??\ _ج_._م_._‏_-;_-@_-"/>
    </dxf>
    <dxf>
      <numFmt numFmtId="0" formatCode="General"/>
    </dxf>
    <dxf>
      <numFmt numFmtId="14" formatCode="0.00%"/>
    </dxf>
    <dxf>
      <numFmt numFmtId="164" formatCode="_-* #,##0\ _ج_._م_._‏_-;\-* #,##0\ _ج_._م_._‏_-;_-* &quot;-&quot;??\ _ج_._م_._‏_-;_-@_-"/>
    </dxf>
    <dxf>
      <numFmt numFmtId="165" formatCode="_-* #,##0.0\ _ج_._م_._‏_-;\-* #,##0.0\ _ج_._م_._‏_-;_-* &quot;-&quot;??\ _ج_._م_._‏_-;_-@_-"/>
    </dxf>
    <dxf>
      <numFmt numFmtId="35" formatCode="_-* #,##0.00\ _ج_._م_._‏_-;\-* #,##0.00\ _ج_._م_._‏_-;_-* &quot;-&quot;??\ _ج_._م_._‏_-;_-@_-"/>
    </dxf>
    <dxf>
      <numFmt numFmtId="165" formatCode="_-* #,##0.0\ _ج_._م_._‏_-;\-* #,##0.0\ _ج_._م_._‏_-;_-* &quot;-&quot;??\ _ج_._م_._‏_-;_-@_-"/>
    </dxf>
    <dxf>
      <numFmt numFmtId="35" formatCode="_-* #,##0.00\ _ج_._م_._‏_-;\-* #,##0.00\ _ج_._م_._‏_-;_-* &quot;-&quot;??\ _ج_._م_._‏_-;_-@_-"/>
    </dxf>
    <dxf>
      <numFmt numFmtId="14" formatCode="0.00%"/>
    </dxf>
    <dxf>
      <numFmt numFmtId="164" formatCode="_-* #,##0\ _ج_._م_._‏_-;\-* #,##0\ _ج_._م_._‏_-;_-* &quot;-&quot;??\ _ج_._م_._‏_-;_-@_-"/>
    </dxf>
    <dxf>
      <numFmt numFmtId="165" formatCode="_-* #,##0.0\ _ج_._م_._‏_-;\-* #,##0.0\ _ج_._م_._‏_-;_-* &quot;-&quot;??\ _ج_._م_._‏_-;_-@_-"/>
    </dxf>
    <dxf>
      <numFmt numFmtId="35" formatCode="_-* #,##0.00\ _ج_._م_._‏_-;\-* #,##0.00\ _ج_._م_._‏_-;_-* &quot;-&quot;??\ _ج_._م_._‏_-;_-@_-"/>
    </dxf>
    <dxf>
      <numFmt numFmtId="164" formatCode="_-* #,##0\ _ج_._م_._‏_-;\-* #,##0\ _ج_._م_._‏_-;_-* &quot;-&quot;??\ _ج_._م_._‏_-;_-@_-"/>
    </dxf>
    <dxf>
      <numFmt numFmtId="165" formatCode="_-* #,##0.0\ _ج_._م_._‏_-;\-* #,##0.0\ _ج_._م_._‏_-;_-* &quot;-&quot;??\ _ج_._م_._‏_-;_-@_-"/>
    </dxf>
    <dxf>
      <numFmt numFmtId="35" formatCode="_-* #,##0.00\ _ج_._م_._‏_-;\-* #,##0.00\ _ج_._م_._‏_-;_-* &quot;-&quot;??\ _ج_._م_._‏_-;_-@_-"/>
    </dxf>
    <dxf>
      <numFmt numFmtId="164" formatCode="_-* #,##0\ _ج_._م_._‏_-;\-* #,##0\ _ج_._م_._‏_-;_-* &quot;-&quot;??\ _ج_._م_._‏_-;_-@_-"/>
    </dxf>
    <dxf>
      <numFmt numFmtId="165" formatCode="_-* #,##0.0\ _ج_._م_._‏_-;\-* #,##0.0\ _ج_._م_._‏_-;_-* &quot;-&quot;??\ _ج_._م_._‏_-;_-@_-"/>
    </dxf>
    <dxf>
      <numFmt numFmtId="35" formatCode="_-* #,##0.00\ _ج_._م_._‏_-;\-* #,##0.00\ _ج_._م_._‏_-;_-* &quot;-&quot;??\ _ج_._م_._‏_-;_-@_-"/>
    </dxf>
    <dxf>
      <numFmt numFmtId="164" formatCode="_-* #,##0\ _ج_._م_._‏_-;\-* #,##0\ _ج_._م_._‏_-;_-* &quot;-&quot;??\ _ج_._م_._‏_-;_-@_-"/>
    </dxf>
    <dxf>
      <numFmt numFmtId="165" formatCode="_-* #,##0.0\ _ج_._م_._‏_-;\-* #,##0.0\ _ج_._م_._‏_-;_-* &quot;-&quot;??\ _ج_._م_._‏_-;_-@_-"/>
    </dxf>
    <dxf>
      <numFmt numFmtId="35" formatCode="_-* #,##0.00\ _ج_._م_._‏_-;\-* #,##0.00\ _ج_._م_._‏_-;_-* &quot;-&quot;??\ _ج_._م_._‏_-;_-@_-"/>
    </dxf>
    <dxf>
      <numFmt numFmtId="164" formatCode="_-* #,##0\ _ج_._م_._‏_-;\-* #,##0\ _ج_._م_._‏_-;_-* &quot;-&quot;??\ _ج_._م_._‏_-;_-@_-"/>
    </dxf>
    <dxf>
      <numFmt numFmtId="165" formatCode="_-* #,##0.0\ _ج_._م_._‏_-;\-* #,##0.0\ _ج_._م_._‏_-;_-* &quot;-&quot;??\ _ج_._م_._‏_-;_-@_-"/>
    </dxf>
    <dxf>
      <numFmt numFmtId="35" formatCode="_-* #,##0.00\ _ج_._م_._‏_-;\-* #,##0.00\ _ج_._م_._‏_-;_-* &quot;-&quot;??\ _ج_._م_._‏_-;_-@_-"/>
    </dxf>
    <dxf>
      <numFmt numFmtId="14" formatCode="0.00%"/>
    </dxf>
    <dxf>
      <numFmt numFmtId="164" formatCode="_-* #,##0\ _ج_._م_._‏_-;\-* #,##0\ _ج_._م_._‏_-;_-* &quot;-&quot;??\ _ج_._م_._‏_-;_-@_-"/>
    </dxf>
    <dxf>
      <numFmt numFmtId="165" formatCode="_-* #,##0.0\ _ج_._م_._‏_-;\-* #,##0.0\ _ج_._م_._‏_-;_-* &quot;-&quot;??\ _ج_._م_._‏_-;_-@_-"/>
    </dxf>
    <dxf>
      <numFmt numFmtId="35" formatCode="_-* #,##0.00\ _ج_._م_._‏_-;\-* #,##0.00\ _ج_._م_._‏_-;_-* &quot;-&quot;??\ _ج_._م_._‏_-;_-@_-"/>
    </dxf>
    <dxf>
      <numFmt numFmtId="165" formatCode="_-* #,##0.0\ _ج_._م_._‏_-;\-* #,##0.0\ _ج_._م_._‏_-;_-* &quot;-&quot;??\ _ج_._م_._‏_-;_-@_-"/>
    </dxf>
    <dxf>
      <numFmt numFmtId="35" formatCode="_-* #,##0.00\ _ج_._م_._‏_-;\-* #,##0.00\ _ج_._م_._‏_-;_-* &quot;-&quot;??\ _ج_._م_._‏_-;_-@_-"/>
    </dxf>
    <dxf>
      <numFmt numFmtId="35" formatCode="_-* #,##0.00\ _ج_._م_._‏_-;\-* #,##0.00\ _ج_._م_._‏_-;_-* &quot;-&quot;??\ _ج_._م_._‏_-;_-@_-"/>
    </dxf>
    <dxf>
      <numFmt numFmtId="165" formatCode="_-* #,##0.0\ _ج_._م_._‏_-;\-* #,##0.0\ _ج_._م_._‏_-;_-* &quot;-&quot;??\ _ج_._م_._‏_-;_-@_-"/>
    </dxf>
    <dxf>
      <numFmt numFmtId="164" formatCode="_-* #,##0\ _ج_._م_._‏_-;\-* #,##0\ _ج_._م_._‏_-;_-* &quot;-&quot;??\ _ج_._م_._‏_-;_-@_-"/>
    </dxf>
    <dxf>
      <numFmt numFmtId="165" formatCode="_-* #,##0.0\ _ج_._م_._‏_-;\-* #,##0.0\ _ج_._م_._‏_-;_-* &quot;-&quot;??\ _ج_._م_._‏_-;_-@_-"/>
    </dxf>
    <dxf>
      <numFmt numFmtId="35" formatCode="_-* #,##0.00\ _ج_._م_._‏_-;\-* #,##0.00\ _ج_._م_._‏_-;_-* &quot;-&quot;??\ _ج_._م_._‏_-;_-@_-"/>
    </dxf>
    <dxf>
      <numFmt numFmtId="14" formatCode="0.00%"/>
    </dxf>
    <dxf>
      <numFmt numFmtId="164" formatCode="_-* #,##0\ _ج_._م_._‏_-;\-* #,##0\ _ج_._م_._‏_-;_-* &quot;-&quot;??\ _ج_._م_._‏_-;_-@_-"/>
    </dxf>
    <dxf>
      <numFmt numFmtId="165" formatCode="_-* #,##0.0\ _ج_._م_._‏_-;\-* #,##0.0\ _ج_._م_._‏_-;_-* &quot;-&quot;??\ _ج_._م_._‏_-;_-@_-"/>
    </dxf>
    <dxf>
      <numFmt numFmtId="35" formatCode="_-* #,##0.00\ _ج_._م_._‏_-;\-* #,##0.00\ _ج_._م_._‏_-;_-* &quot;-&quot;??\ _ج_._م_._‏_-;_-@_-"/>
    </dxf>
    <dxf>
      <numFmt numFmtId="164" formatCode="_-* #,##0\ _ج_._م_._‏_-;\-* #,##0\ _ج_._م_._‏_-;_-* &quot;-&quot;??\ _ج_._م_._‏_-;_-@_-"/>
    </dxf>
    <dxf>
      <numFmt numFmtId="165" formatCode="_-* #,##0.0\ _ج_._م_._‏_-;\-* #,##0.0\ _ج_._م_._‏_-;_-* &quot;-&quot;??\ _ج_._م_._‏_-;_-@_-"/>
    </dxf>
    <dxf>
      <numFmt numFmtId="35" formatCode="_-* #,##0.00\ _ج_._م_._‏_-;\-* #,##0.00\ _ج_._م_._‏_-;_-* &quot;-&quot;??\ _ج_._م_._‏_-;_-@_-"/>
    </dxf>
    <dxf>
      <numFmt numFmtId="164" formatCode="_-* #,##0\ _ج_._م_._‏_-;\-* #,##0\ _ج_._م_._‏_-;_-* &quot;-&quot;??\ _ج_._م_._‏_-;_-@_-"/>
    </dxf>
    <dxf>
      <numFmt numFmtId="165" formatCode="_-* #,##0.0\ _ج_._م_._‏_-;\-* #,##0.0\ _ج_._م_._‏_-;_-* &quot;-&quot;??\ _ج_._م_._‏_-;_-@_-"/>
    </dxf>
    <dxf>
      <numFmt numFmtId="35" formatCode="_-* #,##0.00\ _ج_._م_._‏_-;\-* #,##0.00\ _ج_._م_._‏_-;_-* &quot;-&quot;??\ _ج_._م_._‏_-;_-@_-"/>
    </dxf>
    <dxf>
      <numFmt numFmtId="164" formatCode="_-* #,##0\ _ج_._م_._‏_-;\-* #,##0\ _ج_._م_._‏_-;_-* &quot;-&quot;??\ _ج_._م_._‏_-;_-@_-"/>
    </dxf>
    <dxf>
      <numFmt numFmtId="165" formatCode="_-* #,##0.0\ _ج_._م_._‏_-;\-* #,##0.0\ _ج_._م_._‏_-;_-* &quot;-&quot;??\ _ج_._م_._‏_-;_-@_-"/>
    </dxf>
    <dxf>
      <numFmt numFmtId="35" formatCode="_-* #,##0.00\ _ج_._م_._‏_-;\-* #,##0.00\ _ج_._م_._‏_-;_-* &quot;-&quot;??\ _ج_._م_._‏_-;_-@_-"/>
    </dxf>
    <dxf>
      <numFmt numFmtId="13" formatCode="0%"/>
    </dxf>
    <dxf>
      <numFmt numFmtId="13" formatCode="0%"/>
    </dxf>
    <dxf>
      <numFmt numFmtId="14" formatCode="0.00%"/>
    </dxf>
    <dxf>
      <numFmt numFmtId="164" formatCode="_-* #,##0\ _ج_._م_._‏_-;\-* #,##0\ _ج_._م_._‏_-;_-* &quot;-&quot;??\ _ج_._م_._‏_-;_-@_-"/>
    </dxf>
    <dxf>
      <numFmt numFmtId="165" formatCode="_-* #,##0.0\ _ج_._م_._‏_-;\-* #,##0.0\ _ج_._م_._‏_-;_-* &quot;-&quot;??\ _ج_._م_._‏_-;_-@_-"/>
    </dxf>
    <dxf>
      <numFmt numFmtId="35" formatCode="_-* #,##0.00\ _ج_._م_._‏_-;\-* #,##0.00\ _ج_._م_._‏_-;_-* &quot;-&quot;??\ _ج_._م_._‏_-;_-@_-"/>
    </dxf>
    <dxf>
      <numFmt numFmtId="164" formatCode="_-* #,##0\ _ج_._م_._‏_-;\-* #,##0\ _ج_._م_._‏_-;_-* &quot;-&quot;??\ _ج_._م_._‏_-;_-@_-"/>
    </dxf>
    <dxf>
      <numFmt numFmtId="165" formatCode="_-* #,##0.0\ _ج_._م_._‏_-;\-* #,##0.0\ _ج_._م_._‏_-;_-* &quot;-&quot;??\ _ج_._م_._‏_-;_-@_-"/>
    </dxf>
    <dxf>
      <numFmt numFmtId="35" formatCode="_-* #,##0.00\ _ج_._م_._‏_-;\-* #,##0.00\ _ج_._م_._‏_-;_-* &quot;-&quot;??\ _ج_._م_._‏_-;_-@_-"/>
    </dxf>
    <dxf>
      <numFmt numFmtId="35" formatCode="_-* #,##0.00\ _ج_._م_._‏_-;\-* #,##0.00\ _ج_._م_._‏_-;_-* &quot;-&quot;??\ _ج_._م_._‏_-;_-@_-"/>
    </dxf>
    <dxf>
      <numFmt numFmtId="165" formatCode="_-* #,##0.0\ _ج_._م_._‏_-;\-* #,##0.0\ _ج_._م_._‏_-;_-* &quot;-&quot;??\ _ج_._م_._‏_-;_-@_-"/>
    </dxf>
    <dxf>
      <numFmt numFmtId="164" formatCode="_-* #,##0\ _ج_._م_._‏_-;\-* #,##0\ _ج_._م_._‏_-;_-* &quot;-&quot;??\ _ج_._م_._‏_-;_-@_-"/>
    </dxf>
    <dxf>
      <numFmt numFmtId="165" formatCode="_-* #,##0.0\ _ج_._م_._‏_-;\-* #,##0.0\ _ج_._م_._‏_-;_-* &quot;-&quot;??\ _ج_._م_._‏_-;_-@_-"/>
    </dxf>
    <dxf>
      <numFmt numFmtId="35" formatCode="_-* #,##0.00\ _ج_._م_._‏_-;\-* #,##0.00\ _ج_._م_._‏_-;_-* &quot;-&quot;??\ _ج_._م_._‏_-;_-@_-"/>
    </dxf>
    <dxf>
      <numFmt numFmtId="164" formatCode="_-* #,##0\ _ج_._م_._‏_-;\-* #,##0\ _ج_._م_._‏_-;_-* &quot;-&quot;??\ _ج_._م_._‏_-;_-@_-"/>
    </dxf>
    <dxf>
      <numFmt numFmtId="165" formatCode="_-* #,##0.0\ _ج_._م_._‏_-;\-* #,##0.0\ _ج_._م_._‏_-;_-* &quot;-&quot;??\ _ج_._م_._‏_-;_-@_-"/>
    </dxf>
    <dxf>
      <numFmt numFmtId="35" formatCode="_-* #,##0.00\ _ج_._م_._‏_-;\-* #,##0.00\ _ج_._م_._‏_-;_-* &quot;-&quot;??\ _ج_._م_._‏_-;_-@_-"/>
    </dxf>
    <dxf>
      <numFmt numFmtId="35" formatCode="_-* #,##0.00\ _ج_._م_._‏_-;\-* #,##0.00\ _ج_._م_._‏_-;_-* &quot;-&quot;??\ _ج_._م_._‏_-;_-@_-"/>
    </dxf>
    <dxf>
      <numFmt numFmtId="165" formatCode="_-* #,##0.0\ _ج_._م_._‏_-;\-* #,##0.0\ _ج_._م_._‏_-;_-* &quot;-&quot;??\ _ج_._م_._‏_-;_-@_-"/>
    </dxf>
    <dxf>
      <numFmt numFmtId="164" formatCode="_-* #,##0\ _ج_._م_._‏_-;\-* #,##0\ _ج_._م_._‏_-;_-* &quot;-&quot;??\ _ج_._م_._‏_-;_-@_-"/>
    </dxf>
    <dxf>
      <numFmt numFmtId="165" formatCode="_-* #,##0.0\ _ج_._م_._‏_-;\-* #,##0.0\ _ج_._م_._‏_-;_-* &quot;-&quot;??\ _ج_._م_._‏_-;_-@_-"/>
    </dxf>
    <dxf>
      <numFmt numFmtId="35" formatCode="_-* #,##0.00\ _ج_._م_._‏_-;\-* #,##0.00\ _ج_._م_._‏_-;_-* &quot;-&quot;??\ _ج_._م_._‏_-;_-@_-"/>
    </dxf>
    <dxf>
      <numFmt numFmtId="164" formatCode="_-* #,##0\ _ج_._م_._‏_-;\-* #,##0\ _ج_._م_._‏_-;_-* &quot;-&quot;??\ _ج_._م_._‏_-;_-@_-"/>
    </dxf>
    <dxf>
      <numFmt numFmtId="165" formatCode="_-* #,##0.0\ _ج_._م_._‏_-;\-* #,##0.0\ _ج_._م_._‏_-;_-* &quot;-&quot;??\ _ج_._م_._‏_-;_-@_-"/>
    </dxf>
    <dxf>
      <numFmt numFmtId="35" formatCode="_-* #,##0.00\ _ج_._م_._‏_-;\-* #,##0.00\ _ج_._م_._‏_-;_-* &quot;-&quot;??\ _ج_._م_._‏_-;_-@_-"/>
    </dxf>
    <dxf>
      <numFmt numFmtId="35" formatCode="_-* #,##0.00\ _ج_._م_._‏_-;\-* #,##0.00\ _ج_._م_._‏_-;_-* &quot;-&quot;??\ _ج_._م_._‏_-;_-@_-"/>
    </dxf>
    <dxf>
      <numFmt numFmtId="165" formatCode="_-* #,##0.0\ _ج_._م_._‏_-;\-* #,##0.0\ _ج_._م_._‏_-;_-* &quot;-&quot;??\ _ج_._م_._‏_-;_-@_-"/>
    </dxf>
    <dxf>
      <numFmt numFmtId="164" formatCode="_-* #,##0\ _ج_._م_._‏_-;\-* #,##0\ _ج_._م_._‏_-;_-* &quot;-&quot;??\ _ج_._م_._‏_-;_-@_-"/>
    </dxf>
    <dxf>
      <numFmt numFmtId="165" formatCode="_-* #,##0.0\ _ج_._م_._‏_-;\-* #,##0.0\ _ج_._م_._‏_-;_-* &quot;-&quot;??\ _ج_._م_._‏_-;_-@_-"/>
    </dxf>
    <dxf>
      <numFmt numFmtId="35" formatCode="_-* #,##0.00\ _ج_._م_._‏_-;\-* #,##0.00\ _ج_._م_._‏_-;_-* &quot;-&quot;??\ _ج_._م_._‏_-;_-@_-"/>
    </dxf>
    <dxf>
      <numFmt numFmtId="164" formatCode="_-* #,##0\ _ج_._م_._‏_-;\-* #,##0\ _ج_._م_._‏_-;_-* &quot;-&quot;??\ _ج_._م_._‏_-;_-@_-"/>
    </dxf>
    <dxf>
      <numFmt numFmtId="165" formatCode="_-* #,##0.0\ _ج_._م_._‏_-;\-* #,##0.0\ _ج_._م_._‏_-;_-* &quot;-&quot;??\ _ج_._م_._‏_-;_-@_-"/>
    </dxf>
    <dxf>
      <numFmt numFmtId="35" formatCode="_-* #,##0.00\ _ج_._م_._‏_-;\-* #,##0.00\ _ج_._م_._‏_-;_-* &quot;-&quot;??\ _ج_._م_._‏_-;_-@_-"/>
    </dxf>
    <dxf>
      <numFmt numFmtId="164" formatCode="_-* #,##0\ _ج_._م_._‏_-;\-* #,##0\ _ج_._م_._‏_-;_-* &quot;-&quot;??\ _ج_._م_._‏_-;_-@_-"/>
    </dxf>
    <dxf>
      <numFmt numFmtId="165" formatCode="_-* #,##0.0\ _ج_._م_._‏_-;\-* #,##0.0\ _ج_._م_._‏_-;_-* &quot;-&quot;??\ _ج_._م_._‏_-;_-@_-"/>
    </dxf>
    <dxf>
      <numFmt numFmtId="35" formatCode="_-* #,##0.00\ _ج_._م_._‏_-;\-* #,##0.00\ _ج_._م_._‏_-;_-* &quot;-&quot;??\ _ج_._م_._‏_-;_-@_-"/>
    </dxf>
    <dxf>
      <numFmt numFmtId="164" formatCode="_-* #,##0\ _ج_._م_._‏_-;\-* #,##0\ _ج_._م_._‏_-;_-* &quot;-&quot;??\ _ج_._م_._‏_-;_-@_-"/>
    </dxf>
    <dxf>
      <numFmt numFmtId="165" formatCode="_-* #,##0.0\ _ج_._م_._‏_-;\-* #,##0.0\ _ج_._م_._‏_-;_-* &quot;-&quot;??\ _ج_._م_._‏_-;_-@_-"/>
    </dxf>
    <dxf>
      <numFmt numFmtId="35" formatCode="_-* #,##0.00\ _ج_._م_._‏_-;\-* #,##0.00\ _ج_._م_._‏_-;_-* &quot;-&quot;??\ _ج_._م_._‏_-;_-@_-"/>
    </dxf>
    <dxf>
      <numFmt numFmtId="35" formatCode="_-* #,##0.00\ _ج_._م_._‏_-;\-* #,##0.00\ _ج_._م_._‏_-;_-* &quot;-&quot;??\ _ج_._م_._‏_-;_-@_-"/>
    </dxf>
    <dxf>
      <numFmt numFmtId="165" formatCode="_-* #,##0.0\ _ج_._م_._‏_-;\-* #,##0.0\ _ج_._م_._‏_-;_-* &quot;-&quot;??\ _ج_._م_._‏_-;_-@_-"/>
    </dxf>
    <dxf>
      <numFmt numFmtId="164" formatCode="_-* #,##0\ _ج_._م_._‏_-;\-* #,##0\ _ج_._م_._‏_-;_-* &quot;-&quot;??\ _ج_._م_._‏_-;_-@_-"/>
    </dxf>
    <dxf>
      <numFmt numFmtId="165" formatCode="_-* #,##0.0\ _ج_._م_._‏_-;\-* #,##0.0\ _ج_._م_._‏_-;_-* &quot;-&quot;??\ _ج_._م_._‏_-;_-@_-"/>
    </dxf>
    <dxf>
      <numFmt numFmtId="35" formatCode="_-* #,##0.00\ _ج_._م_._‏_-;\-* #,##0.00\ _ج_._م_._‏_-;_-* &quot;-&quot;??\ _ج_._م_._‏_-;_-@_-"/>
    </dxf>
    <dxf>
      <numFmt numFmtId="164" formatCode="_-* #,##0\ _ج_._م_._‏_-;\-* #,##0\ _ج_._م_._‏_-;_-* &quot;-&quot;??\ _ج_._م_._‏_-;_-@_-"/>
    </dxf>
    <dxf>
      <numFmt numFmtId="165" formatCode="_-* #,##0.0\ _ج_._م_._‏_-;\-* #,##0.0\ _ج_._م_._‏_-;_-* &quot;-&quot;??\ _ج_._م_._‏_-;_-@_-"/>
    </dxf>
    <dxf>
      <numFmt numFmtId="35" formatCode="_-* #,##0.00\ _ج_._م_._‏_-;\-* #,##0.00\ _ج_._م_._‏_-;_-* &quot;-&quot;??\ _ج_._م_._‏_-;_-@_-"/>
    </dxf>
    <dxf>
      <numFmt numFmtId="164" formatCode="_-* #,##0\ _ج_._م_._‏_-;\-* #,##0\ _ج_._م_._‏_-;_-* &quot;-&quot;??\ _ج_._م_._‏_-;_-@_-"/>
    </dxf>
    <dxf>
      <numFmt numFmtId="165" formatCode="_-* #,##0.0\ _ج_._م_._‏_-;\-* #,##0.0\ _ج_._م_._‏_-;_-* &quot;-&quot;??\ _ج_._م_._‏_-;_-@_-"/>
    </dxf>
    <dxf>
      <numFmt numFmtId="35" formatCode="_-* #,##0.00\ _ج_._م_._‏_-;\-* #,##0.00\ _ج_._م_._‏_-;_-* &quot;-&quot;??\ _ج_._م_._‏_-;_-@_-"/>
    </dxf>
    <dxf>
      <numFmt numFmtId="164" formatCode="_-* #,##0\ _ج_._م_._‏_-;\-* #,##0\ _ج_._م_._‏_-;_-* &quot;-&quot;??\ _ج_._م_._‏_-;_-@_-"/>
    </dxf>
    <dxf>
      <numFmt numFmtId="165" formatCode="_-* #,##0.0\ _ج_._م_._‏_-;\-* #,##0.0\ _ج_._م_._‏_-;_-* &quot;-&quot;??\ _ج_._م_._‏_-;_-@_-"/>
    </dxf>
    <dxf>
      <numFmt numFmtId="35" formatCode="_-* #,##0.00\ _ج_._م_._‏_-;\-* #,##0.00\ _ج_._م_._‏_-;_-* &quot;-&quot;??\ _ج_._م_._‏_-;_-@_-"/>
    </dxf>
    <dxf>
      <numFmt numFmtId="164" formatCode="_-* #,##0\ _ج_._م_._‏_-;\-* #,##0\ _ج_._م_._‏_-;_-* &quot;-&quot;??\ _ج_._م_._‏_-;_-@_-"/>
    </dxf>
    <dxf>
      <numFmt numFmtId="165" formatCode="_-* #,##0.0\ _ج_._م_._‏_-;\-* #,##0.0\ _ج_._م_._‏_-;_-* &quot;-&quot;??\ _ج_._م_._‏_-;_-@_-"/>
    </dxf>
    <dxf>
      <numFmt numFmtId="35" formatCode="_-* #,##0.00\ _ج_._م_._‏_-;\-* #,##0.00\ _ج_._م_._‏_-;_-* &quot;-&quot;??\ _ج_._م_._‏_-;_-@_-"/>
    </dxf>
    <dxf>
      <numFmt numFmtId="13" formatCode="0%"/>
    </dxf>
    <dxf>
      <numFmt numFmtId="169" formatCode="0.0%"/>
    </dxf>
    <dxf>
      <numFmt numFmtId="14" formatCode="0.00%"/>
    </dxf>
    <dxf>
      <numFmt numFmtId="169" formatCode="0.0%"/>
    </dxf>
    <dxf>
      <numFmt numFmtId="13" formatCode="0%"/>
    </dxf>
    <dxf>
      <numFmt numFmtId="169" formatCode="0.0%"/>
    </dxf>
    <dxf>
      <numFmt numFmtId="14" formatCode="0.00%"/>
    </dxf>
    <dxf>
      <numFmt numFmtId="164" formatCode="_-* #,##0\ _ج_._م_._‏_-;\-* #,##0\ _ج_._م_._‏_-;_-* &quot;-&quot;??\ _ج_._م_._‏_-;_-@_-"/>
    </dxf>
    <dxf>
      <numFmt numFmtId="165" formatCode="_-* #,##0.0\ _ج_._م_._‏_-;\-* #,##0.0\ _ج_._م_._‏_-;_-* &quot;-&quot;??\ _ج_._م_._‏_-;_-@_-"/>
    </dxf>
    <dxf>
      <numFmt numFmtId="35" formatCode="_-* #,##0.00\ _ج_._م_._‏_-;\-* #,##0.00\ _ج_._م_._‏_-;_-* &quot;-&quot;??\ _ج_._م_._‏_-;_-@_-"/>
    </dxf>
    <dxf>
      <numFmt numFmtId="164" formatCode="_-* #,##0\ _ج_._م_._‏_-;\-* #,##0\ _ج_._م_._‏_-;_-* &quot;-&quot;??\ _ج_._م_._‏_-;_-@_-"/>
    </dxf>
    <dxf>
      <numFmt numFmtId="165" formatCode="_-* #,##0.0\ _ج_._م_._‏_-;\-* #,##0.0\ _ج_._م_._‏_-;_-* &quot;-&quot;??\ _ج_._م_._‏_-;_-@_-"/>
    </dxf>
    <dxf>
      <numFmt numFmtId="35" formatCode="_-* #,##0.00\ _ج_._م_._‏_-;\-* #,##0.00\ _ج_._م_._‏_-;_-* &quot;-&quot;??\ _ج_._م_._‏_-;_-@_-"/>
    </dxf>
    <dxf>
      <numFmt numFmtId="35" formatCode="_-* #,##0.00\ _ج_._م_._‏_-;\-* #,##0.00\ _ج_._م_._‏_-;_-* &quot;-&quot;??\ _ج_._م_._‏_-;_-@_-"/>
    </dxf>
    <dxf>
      <numFmt numFmtId="165" formatCode="_-* #,##0.0\ _ج_._م_._‏_-;\-* #,##0.0\ _ج_._م_._‏_-;_-* &quot;-&quot;??\ _ج_._م_._‏_-;_-@_-"/>
    </dxf>
    <dxf>
      <numFmt numFmtId="164" formatCode="_-* #,##0\ _ج_._م_._‏_-;\-* #,##0\ _ج_._م_._‏_-;_-* &quot;-&quot;??\ _ج_._م_._‏_-;_-@_-"/>
    </dxf>
    <dxf>
      <numFmt numFmtId="165" formatCode="_-* #,##0.0\ _ج_._م_._‏_-;\-* #,##0.0\ _ج_._م_._‏_-;_-* &quot;-&quot;??\ _ج_._م_._‏_-;_-@_-"/>
    </dxf>
    <dxf>
      <numFmt numFmtId="35" formatCode="_-* #,##0.00\ _ج_._م_._‏_-;\-* #,##0.00\ _ج_._م_._‏_-;_-* &quot;-&quot;??\ _ج_._م_._‏_-;_-@_-"/>
    </dxf>
    <dxf>
      <numFmt numFmtId="25" formatCode="hh:mm"/>
    </dxf>
    <dxf>
      <numFmt numFmtId="0" formatCode="General"/>
    </dxf>
    <dxf>
      <numFmt numFmtId="0" formatCode="General"/>
    </dxf>
    <dxf>
      <numFmt numFmtId="0" formatCode="General"/>
    </dxf>
    <dxf>
      <numFmt numFmtId="19" formatCode="dd/mm/yyyy"/>
    </dxf>
    <dxf>
      <numFmt numFmtId="0" formatCode="General"/>
    </dxf>
    <dxf>
      <font>
        <color rgb="FF6D6875"/>
      </font>
    </dxf>
    <dxf>
      <font>
        <color rgb="FFB5838D"/>
      </font>
    </dxf>
    <dxf>
      <font>
        <b/>
        <i val="0"/>
        <sz val="14"/>
        <color theme="0"/>
        <name val="Andalus"/>
        <scheme val="none"/>
      </font>
      <fill>
        <gradientFill degree="135">
          <stop position="0">
            <color rgb="FF6D6875"/>
          </stop>
          <stop position="1">
            <color theme="0" tint="-0.1490218817712943"/>
          </stop>
        </gradientFill>
      </fill>
      <border>
        <bottom style="thin">
          <color theme="4"/>
        </bottom>
        <vertical/>
        <horizontal/>
      </border>
    </dxf>
    <dxf>
      <font>
        <color theme="1"/>
      </font>
      <fill>
        <patternFill patternType="solid">
          <fgColor auto="1"/>
          <bgColor rgb="FF6D6875"/>
        </patternFill>
      </fill>
      <border>
        <left style="thin">
          <color rgb="FF6D687F"/>
        </left>
        <right style="thin">
          <color rgb="FF6D687F"/>
        </right>
        <top style="thin">
          <color rgb="FF6D687F"/>
        </top>
        <bottom style="thin">
          <color rgb="FF6D687F"/>
        </bottom>
        <vertical/>
        <horizontal/>
      </border>
    </dxf>
  </dxfs>
  <tableStyles count="3" defaultTableStyle="Table Style 2" defaultPivotStyle="PivotStyleLight16">
    <tableStyle name="MySlicer" pivot="0" table="0" count="10">
      <tableStyleElement type="wholeTable" dxfId="175"/>
      <tableStyleElement type="headerRow" dxfId="174"/>
    </tableStyle>
    <tableStyle name="Table Style 1" pivot="0" count="1">
      <tableStyleElement type="wholeTable" dxfId="173"/>
    </tableStyle>
    <tableStyle name="Table Style 2" pivot="0" count="1">
      <tableStyleElement type="wholeTable" dxfId="172"/>
    </tableStyle>
  </tableStyles>
  <colors>
    <mruColors>
      <color rgb="FF6D6875"/>
      <color rgb="FFADC10C"/>
      <color rgb="FFC9184A"/>
      <color rgb="FFFAE1DD"/>
      <color rgb="FFADC178"/>
      <color rgb="FF87C38F"/>
      <color rgb="FFB5838D"/>
      <color rgb="FFFFB4A2"/>
      <color rgb="FF6D687F"/>
      <color rgb="FFFAE1DE"/>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sz val="14"/>
            <color theme="0"/>
            <name val="Calibri"/>
            <scheme val="minor"/>
          </font>
          <fill>
            <gradientFill degree="135">
              <stop position="0">
                <color rgb="FF6D6875"/>
              </stop>
              <stop position="1">
                <color theme="0" tint="-0.25098422193060094"/>
              </stop>
            </gradientFill>
          </fill>
          <border>
            <left style="thin">
              <color rgb="FF999999"/>
            </left>
            <right style="thin">
              <color rgb="FF999999"/>
            </right>
            <top style="thin">
              <color rgb="FF999999"/>
            </top>
            <bottom style="thin">
              <color rgb="FF999999"/>
            </bottom>
            <vertical/>
            <horizontal/>
          </border>
        </dxf>
        <dxf>
          <font>
            <color rgb="FF828282"/>
          </font>
          <fill>
            <gradientFill degree="135">
              <stop position="0">
                <color rgb="FF6D6875"/>
              </stop>
              <stop position="0.5">
                <color theme="0" tint="-0.1490218817712943"/>
              </stop>
              <stop position="1">
                <color rgb="FF6D6875"/>
              </stop>
            </gradientFill>
          </fill>
          <border>
            <left style="thin">
              <color rgb="FFE0E0E0"/>
            </left>
            <right style="thin">
              <color rgb="FFE0E0E0"/>
            </right>
            <top style="thin">
              <color rgb="FFE0E0E0"/>
            </top>
            <bottom style="thin">
              <color rgb="FFE0E0E0"/>
            </bottom>
            <vertical/>
            <horizontal/>
          </border>
        </dxf>
        <dxf>
          <font>
            <b/>
            <i val="0"/>
            <sz val="14"/>
            <color theme="0"/>
            <name val="Andalus"/>
            <scheme val="none"/>
          </font>
          <fill>
            <patternFill patternType="solid">
              <fgColor indexed="64"/>
              <bgColor rgb="FF6D6875"/>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MySlicer">
        <x14:slicerStyle name="My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pivotCacheDefinition" Target="pivotCache/pivotCacheDefinition19.xml"/><Relationship Id="rId39"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pivotCacheDefinition" Target="pivotCache/pivotCacheDefinition14.xml"/><Relationship Id="rId34" Type="http://schemas.openxmlformats.org/officeDocument/2006/relationships/pivotCacheDefinition" Target="pivotCache/pivotCacheDefinition27.xml"/><Relationship Id="rId42" Type="http://schemas.openxmlformats.org/officeDocument/2006/relationships/theme" Target="theme/theme1.xml"/><Relationship Id="rId47" Type="http://schemas.openxmlformats.org/officeDocument/2006/relationships/powerPivotData" Target="model/item.data"/><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pivotCacheDefinition" Target="pivotCache/pivotCacheDefinition18.xml"/><Relationship Id="rId33" Type="http://schemas.openxmlformats.org/officeDocument/2006/relationships/pivotCacheDefinition" Target="pivotCache/pivotCacheDefinition26.xml"/><Relationship Id="rId38" Type="http://schemas.openxmlformats.org/officeDocument/2006/relationships/pivotCacheDefinition" Target="pivotCache/pivotCacheDefinition31.xml"/><Relationship Id="rId46"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openxmlformats.org/officeDocument/2006/relationships/pivotCacheDefinition" Target="pivotCache/pivotCacheDefinition13.xml"/><Relationship Id="rId29" Type="http://schemas.openxmlformats.org/officeDocument/2006/relationships/pivotCacheDefinition" Target="pivotCache/pivotCacheDefinition22.xml"/><Relationship Id="rId41"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pivotCacheDefinition" Target="pivotCache/pivotCacheDefinition17.xml"/><Relationship Id="rId32" Type="http://schemas.openxmlformats.org/officeDocument/2006/relationships/pivotCacheDefinition" Target="pivotCache/pivotCacheDefinition25.xml"/><Relationship Id="rId37" Type="http://schemas.openxmlformats.org/officeDocument/2006/relationships/pivotCacheDefinition" Target="pivotCache/pivotCacheDefinition30.xml"/><Relationship Id="rId40" Type="http://schemas.microsoft.com/office/2007/relationships/slicerCache" Target="slicerCaches/slicerCache2.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pivotCacheDefinition" Target="pivotCache/pivotCacheDefinition16.xml"/><Relationship Id="rId28" Type="http://schemas.openxmlformats.org/officeDocument/2006/relationships/pivotCacheDefinition" Target="pivotCache/pivotCacheDefinition21.xml"/><Relationship Id="rId36" Type="http://schemas.openxmlformats.org/officeDocument/2006/relationships/pivotCacheDefinition" Target="pivotCache/pivotCacheDefinition29.xml"/><Relationship Id="rId49" Type="http://schemas.openxmlformats.org/officeDocument/2006/relationships/customXml" Target="../customXml/item1.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openxmlformats.org/officeDocument/2006/relationships/pivotCacheDefinition" Target="pivotCache/pivotCacheDefinition24.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pivotCacheDefinition" Target="pivotCache/pivotCacheDefinition15.xml"/><Relationship Id="rId27" Type="http://schemas.openxmlformats.org/officeDocument/2006/relationships/pivotCacheDefinition" Target="pivotCache/pivotCacheDefinition20.xml"/><Relationship Id="rId30" Type="http://schemas.openxmlformats.org/officeDocument/2006/relationships/pivotCacheDefinition" Target="pivotCache/pivotCacheDefinition23.xml"/><Relationship Id="rId35" Type="http://schemas.openxmlformats.org/officeDocument/2006/relationships/pivotCacheDefinition" Target="pivotCache/pivotCacheDefinition28.xml"/><Relationship Id="rId43" Type="http://schemas.openxmlformats.org/officeDocument/2006/relationships/connections" Target="connections.xml"/><Relationship Id="rId48" Type="http://schemas.openxmlformats.org/officeDocument/2006/relationships/calcChain" Target="calcChain.xml"/><Relationship Id="rId8"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rgbClr val="B5838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Pivots!$B$4</c:f>
              <c:numCache>
                <c:formatCode>0%</c:formatCode>
                <c:ptCount val="1"/>
                <c:pt idx="0">
                  <c:v>0.88692427436860866</c:v>
                </c:pt>
              </c:numCache>
            </c:numRef>
          </c:val>
          <c:extLst>
            <c:ext xmlns:c16="http://schemas.microsoft.com/office/drawing/2014/chart" uri="{C3380CC4-5D6E-409C-BE32-E72D297353CC}">
              <c16:uniqueId val="{00000000-F922-421E-A0E9-04522E1FFDB5}"/>
            </c:ext>
          </c:extLst>
        </c:ser>
        <c:ser>
          <c:idx val="1"/>
          <c:order val="1"/>
          <c:spPr>
            <a:solidFill>
              <a:srgbClr val="FFB4A2"/>
            </a:solidFill>
            <a:ln>
              <a:noFill/>
            </a:ln>
            <a:effectLst/>
          </c:spPr>
          <c:invertIfNegative val="0"/>
          <c:dPt>
            <c:idx val="0"/>
            <c:invertIfNegative val="0"/>
            <c:bubble3D val="0"/>
            <c:spPr>
              <a:solidFill>
                <a:srgbClr val="FAE1DD"/>
              </a:solidFill>
              <a:ln>
                <a:noFill/>
              </a:ln>
              <a:effectLst/>
            </c:spPr>
            <c:extLst>
              <c:ext xmlns:c16="http://schemas.microsoft.com/office/drawing/2014/chart" uri="{C3380CC4-5D6E-409C-BE32-E72D297353CC}">
                <c16:uniqueId val="{00000002-F922-421E-A0E9-04522E1FFDB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Pivots!$C$4</c:f>
              <c:numCache>
                <c:formatCode>0%</c:formatCode>
                <c:ptCount val="1"/>
                <c:pt idx="0">
                  <c:v>1</c:v>
                </c:pt>
              </c:numCache>
            </c:numRef>
          </c:val>
          <c:extLst>
            <c:ext xmlns:c16="http://schemas.microsoft.com/office/drawing/2014/chart" uri="{C3380CC4-5D6E-409C-BE32-E72D297353CC}">
              <c16:uniqueId val="{00000001-F922-421E-A0E9-04522E1FFDB5}"/>
            </c:ext>
          </c:extLst>
        </c:ser>
        <c:dLbls>
          <c:dLblPos val="ctr"/>
          <c:showLegendKey val="0"/>
          <c:showVal val="1"/>
          <c:showCatName val="0"/>
          <c:showSerName val="0"/>
          <c:showPercent val="0"/>
          <c:showBubbleSize val="0"/>
        </c:dLbls>
        <c:gapWidth val="150"/>
        <c:overlap val="100"/>
        <c:axId val="919596664"/>
        <c:axId val="919604208"/>
      </c:barChart>
      <c:catAx>
        <c:axId val="919596664"/>
        <c:scaling>
          <c:orientation val="minMax"/>
        </c:scaling>
        <c:delete val="1"/>
        <c:axPos val="l"/>
        <c:numFmt formatCode="General" sourceLinked="1"/>
        <c:majorTickMark val="none"/>
        <c:minorTickMark val="none"/>
        <c:tickLblPos val="nextTo"/>
        <c:crossAx val="919604208"/>
        <c:crosses val="autoZero"/>
        <c:auto val="1"/>
        <c:lblAlgn val="ctr"/>
        <c:lblOffset val="100"/>
        <c:noMultiLvlLbl val="0"/>
      </c:catAx>
      <c:valAx>
        <c:axId val="919604208"/>
        <c:scaling>
          <c:orientation val="minMax"/>
          <c:max val="1"/>
          <c:min val="0"/>
        </c:scaling>
        <c:delete val="1"/>
        <c:axPos val="b"/>
        <c:numFmt formatCode="0%" sourceLinked="1"/>
        <c:majorTickMark val="none"/>
        <c:minorTickMark val="none"/>
        <c:tickLblPos val="nextTo"/>
        <c:crossAx val="91959666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Pivots!$A$16</c:f>
          <c:strCache>
            <c:ptCount val="1"/>
            <c:pt idx="0">
              <c:v>Sales % 2022 VS. 2021</c:v>
            </c:pt>
          </c:strCache>
        </c:strRef>
      </c:tx>
      <c:layout>
        <c:manualLayout>
          <c:xMode val="edge"/>
          <c:yMode val="edge"/>
          <c:x val="0.1742911506664864"/>
          <c:y val="0.12183223048912685"/>
        </c:manualLayout>
      </c:layout>
      <c:overlay val="0"/>
      <c:spPr>
        <a:noFill/>
        <a:ln>
          <a:noFill/>
        </a:ln>
        <a:effectLst/>
      </c:spPr>
      <c:txPr>
        <a:bodyPr rot="0" spcFirstLastPara="1" vertOverflow="ellipsis" vert="horz" wrap="square" anchor="ctr" anchorCtr="1"/>
        <a:lstStyle/>
        <a:p>
          <a:pPr>
            <a:defRPr sz="2400" b="1" i="0" u="none" strike="noStrike" kern="1200" spc="0" baseline="0">
              <a:solidFill>
                <a:srgbClr val="6D6875"/>
              </a:solidFill>
              <a:latin typeface="Andalus" panose="02020603050405020304" pitchFamily="18" charset="-78"/>
              <a:ea typeface="+mn-ea"/>
              <a:cs typeface="Andalus" panose="02020603050405020304" pitchFamily="18" charset="-78"/>
            </a:defRPr>
          </a:pPr>
          <a:endParaRPr lang="en-US"/>
        </a:p>
      </c:txPr>
    </c:title>
    <c:autoTitleDeleted val="0"/>
    <c:plotArea>
      <c:layout>
        <c:manualLayout>
          <c:layoutTarget val="inner"/>
          <c:xMode val="edge"/>
          <c:yMode val="edge"/>
          <c:x val="0.29375797076180044"/>
          <c:y val="0.31841783349058783"/>
          <c:w val="0.45284711286089241"/>
          <c:h val="0.75474518810148727"/>
        </c:manualLayout>
      </c:layout>
      <c:doughnutChart>
        <c:varyColors val="1"/>
        <c:ser>
          <c:idx val="0"/>
          <c:order val="0"/>
          <c:spPr>
            <a:ln>
              <a:noFill/>
            </a:ln>
          </c:spPr>
          <c:dPt>
            <c:idx val="0"/>
            <c:bubble3D val="0"/>
            <c:spPr>
              <a:solidFill>
                <a:srgbClr val="FAE1DD"/>
              </a:solidFill>
              <a:ln w="19050">
                <a:solidFill>
                  <a:schemeClr val="bg1"/>
                </a:solidFill>
              </a:ln>
              <a:effectLst/>
            </c:spPr>
            <c:extLst>
              <c:ext xmlns:c16="http://schemas.microsoft.com/office/drawing/2014/chart" uri="{C3380CC4-5D6E-409C-BE32-E72D297353CC}">
                <c16:uniqueId val="{00000001-F3C2-43E7-8EC2-1DF19AB8225B}"/>
              </c:ext>
            </c:extLst>
          </c:dPt>
          <c:dPt>
            <c:idx val="1"/>
            <c:bubble3D val="0"/>
            <c:spPr>
              <a:solidFill>
                <a:srgbClr val="6D6875"/>
              </a:solidFill>
              <a:ln w="19050">
                <a:noFill/>
              </a:ln>
              <a:effectLst/>
            </c:spPr>
            <c:extLst>
              <c:ext xmlns:c16="http://schemas.microsoft.com/office/drawing/2014/chart" uri="{C3380CC4-5D6E-409C-BE32-E72D297353CC}">
                <c16:uniqueId val="{00000003-F3C2-43E7-8EC2-1DF19AB8225B}"/>
              </c:ext>
            </c:extLst>
          </c:dPt>
          <c:dLbls>
            <c:delete val="1"/>
          </c:dLbls>
          <c:val>
            <c:numRef>
              <c:f>Pivots!$B$15:$C$15</c:f>
              <c:numCache>
                <c:formatCode>0%</c:formatCode>
                <c:ptCount val="2"/>
                <c:pt idx="0">
                  <c:v>0.42054253348446963</c:v>
                </c:pt>
                <c:pt idx="1">
                  <c:v>0.57945746651553032</c:v>
                </c:pt>
              </c:numCache>
            </c:numRef>
          </c:val>
          <c:extLst>
            <c:ext xmlns:c16="http://schemas.microsoft.com/office/drawing/2014/chart" uri="{C3380CC4-5D6E-409C-BE32-E72D297353CC}">
              <c16:uniqueId val="{00000004-F3C2-43E7-8EC2-1DF19AB8225B}"/>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[Amira Essam final.xlsx]Pivots!BranchProfit</c:name>
    <c:fmtId val="7"/>
  </c:pivotSource>
  <c:chart>
    <c:title>
      <c:tx>
        <c:rich>
          <a:bodyPr rot="0" spcFirstLastPara="1" vertOverflow="ellipsis" vert="horz" wrap="square" anchor="ctr" anchorCtr="1"/>
          <a:lstStyle/>
          <a:p>
            <a:pPr>
              <a:defRPr sz="1800" b="1" i="0" u="none" strike="noStrike" kern="1200" spc="0" baseline="0">
                <a:solidFill>
                  <a:srgbClr val="6D6875"/>
                </a:solidFill>
                <a:latin typeface="+mn-lt"/>
                <a:ea typeface="+mn-ea"/>
                <a:cs typeface="+mn-cs"/>
              </a:defRPr>
            </a:pPr>
            <a:r>
              <a:rPr lang="en-US" sz="1800" b="1">
                <a:solidFill>
                  <a:srgbClr val="6D6875"/>
                </a:solidFill>
              </a:rPr>
              <a:t>PROFIT % PER</a:t>
            </a:r>
            <a:r>
              <a:rPr lang="en-US" sz="1800" b="1" baseline="0">
                <a:solidFill>
                  <a:srgbClr val="6D6875"/>
                </a:solidFill>
              </a:rPr>
              <a:t> BRANCH</a:t>
            </a:r>
            <a:endParaRPr lang="en-US" sz="1800" b="1">
              <a:solidFill>
                <a:srgbClr val="6D6875"/>
              </a:solidFill>
            </a:endParaRPr>
          </a:p>
        </c:rich>
      </c:tx>
      <c:layout/>
      <c:overlay val="0"/>
      <c:spPr>
        <a:noFill/>
        <a:ln>
          <a:noFill/>
        </a:ln>
        <a:effectLst/>
      </c:spPr>
      <c:txPr>
        <a:bodyPr rot="0" spcFirstLastPara="1" vertOverflow="ellipsis" vert="horz" wrap="square" anchor="ctr" anchorCtr="1"/>
        <a:lstStyle/>
        <a:p>
          <a:pPr>
            <a:defRPr sz="1800" b="1" i="0" u="none" strike="noStrike" kern="1200" spc="0" baseline="0">
              <a:solidFill>
                <a:srgbClr val="6D6875"/>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D6875"/>
          </a:solidFill>
          <a:ln w="19050">
            <a:solidFill>
              <a:srgbClr val="6D6875"/>
            </a:solidFill>
          </a:ln>
          <a:effectLst/>
        </c:spPr>
      </c:pivotFmt>
      <c:pivotFmt>
        <c:idx val="3"/>
        <c:spPr>
          <a:solidFill>
            <a:srgbClr val="B5838D"/>
          </a:solidFill>
          <a:ln w="19050">
            <a:solidFill>
              <a:srgbClr val="B5838D"/>
            </a:solidFill>
          </a:ln>
          <a:effectLst/>
        </c:spPr>
      </c:pivotFmt>
      <c:pivotFmt>
        <c:idx val="4"/>
        <c:spPr>
          <a:solidFill>
            <a:srgbClr val="FAE1DD"/>
          </a:solidFill>
          <a:ln w="19050">
            <a:solidFill>
              <a:srgbClr val="FAE1DD"/>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6D6875"/>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6D6875"/>
          </a:solidFill>
          <a:ln w="19050">
            <a:solidFill>
              <a:srgbClr val="6D6875"/>
            </a:solidFill>
          </a:ln>
          <a:effectLst/>
        </c:spPr>
      </c:pivotFmt>
      <c:pivotFmt>
        <c:idx val="7"/>
        <c:spPr>
          <a:solidFill>
            <a:srgbClr val="B5838D"/>
          </a:solidFill>
          <a:ln w="19050">
            <a:solidFill>
              <a:srgbClr val="B5838D"/>
            </a:solidFill>
          </a:ln>
          <a:effectLst/>
        </c:spPr>
      </c:pivotFmt>
      <c:pivotFmt>
        <c:idx val="8"/>
        <c:spPr>
          <a:solidFill>
            <a:srgbClr val="FAE1DD"/>
          </a:solidFill>
          <a:ln w="19050">
            <a:solidFill>
              <a:srgbClr val="FAE1DD"/>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6D6875"/>
          </a:solidFill>
          <a:ln w="19050">
            <a:solidFill>
              <a:srgbClr val="6D6875"/>
            </a:solidFill>
          </a:ln>
          <a:effectLst/>
        </c:spPr>
      </c:pivotFmt>
      <c:pivotFmt>
        <c:idx val="11"/>
        <c:spPr>
          <a:solidFill>
            <a:srgbClr val="B5838D"/>
          </a:solidFill>
          <a:ln w="19050">
            <a:solidFill>
              <a:srgbClr val="B5838D"/>
            </a:solidFill>
          </a:ln>
          <a:effectLst/>
        </c:spPr>
      </c:pivotFmt>
      <c:pivotFmt>
        <c:idx val="12"/>
        <c:spPr>
          <a:solidFill>
            <a:srgbClr val="FAE1DD"/>
          </a:solidFill>
          <a:ln w="19050">
            <a:solidFill>
              <a:srgbClr val="FAE1DD"/>
            </a:solidFill>
          </a:ln>
          <a:effectLst/>
        </c:spPr>
      </c:pivotFmt>
      <c:pivotFmt>
        <c:idx val="13"/>
        <c:spPr>
          <a:solidFill>
            <a:srgbClr val="B5838D"/>
          </a:solidFill>
          <a:ln w="19050">
            <a:solidFill>
              <a:schemeClr val="bg1"/>
            </a:solidFill>
          </a:ln>
          <a:effectLst/>
        </c:spPr>
      </c:pivotFmt>
      <c:pivotFmt>
        <c:idx val="14"/>
        <c:spPr>
          <a:solidFill>
            <a:srgbClr val="FAE1DD"/>
          </a:solidFill>
          <a:ln w="19050">
            <a:solidFill>
              <a:schemeClr val="bg1"/>
            </a:solidFill>
          </a:ln>
          <a:effectLst/>
        </c:spPr>
      </c:pivotFmt>
      <c:pivotFmt>
        <c:idx val="15"/>
        <c:spPr>
          <a:solidFill>
            <a:srgbClr val="6D6875"/>
          </a:solidFill>
          <a:ln w="19050">
            <a:solidFill>
              <a:schemeClr val="bg1"/>
            </a:solidFill>
          </a:ln>
          <a:effectLst/>
        </c:spPr>
      </c:pivotFmt>
      <c:pivotFmt>
        <c:idx val="1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noFill/>
          </a:ln>
          <a:effectLst>
            <a:outerShdw blurRad="50800" dist="38100" dir="2700000" algn="tl" rotWithShape="0">
              <a:prstClr val="black">
                <a:alpha val="40000"/>
              </a:prst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8"/>
        <c:spPr>
          <a:solidFill>
            <a:srgbClr val="FAE1DD"/>
          </a:solidFill>
          <a:ln w="19050">
            <a:noFill/>
          </a:ln>
          <a:effectLst>
            <a:outerShdw blurRad="50800" dist="38100" dir="2700000" algn="tl" rotWithShape="0">
              <a:prstClr val="black">
                <a:alpha val="40000"/>
              </a:prstClr>
            </a:outerShdw>
          </a:effectLst>
        </c:spPr>
        <c:dLbl>
          <c:idx val="0"/>
          <c:layout>
            <c:manualLayout>
              <c:x val="2.875947311842346E-3"/>
              <c:y val="-0.20884377799647949"/>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6D6875"/>
                  </a:solidFill>
                  <a:latin typeface="+mn-lt"/>
                  <a:ea typeface="+mn-ea"/>
                  <a:cs typeface="+mn-cs"/>
                </a:defRPr>
              </a:pPr>
              <a:endParaRPr lang="en-US"/>
            </a:p>
          </c:txPr>
          <c:showLegendKey val="0"/>
          <c:showVal val="0"/>
          <c:showCatName val="0"/>
          <c:showSerName val="0"/>
          <c:showPercent val="1"/>
          <c:showBubbleSize val="1"/>
          <c:extLst>
            <c:ext xmlns:c15="http://schemas.microsoft.com/office/drawing/2012/chart" uri="{CE6537A1-D6FC-4f65-9D91-7224C49458BB}">
              <c15:layout/>
            </c:ext>
          </c:extLst>
        </c:dLbl>
      </c:pivotFmt>
      <c:pivotFmt>
        <c:idx val="19"/>
        <c:spPr>
          <a:solidFill>
            <a:srgbClr val="6D6875"/>
          </a:solidFill>
          <a:ln w="19050">
            <a:noFill/>
          </a:ln>
          <a:effectLst>
            <a:outerShdw blurRad="50800" dist="38100" dir="2700000" algn="tl" rotWithShape="0">
              <a:prstClr val="black">
                <a:alpha val="40000"/>
              </a:prstClr>
            </a:outerShdw>
          </a:effectLst>
        </c:spPr>
      </c:pivotFmt>
      <c:pivotFmt>
        <c:idx val="20"/>
        <c:spPr>
          <a:solidFill>
            <a:srgbClr val="B5838D"/>
          </a:solidFill>
          <a:ln w="19050">
            <a:noFill/>
          </a:ln>
          <a:effectLst>
            <a:outerShdw blurRad="50800" dist="38100" dir="2700000" algn="tl" rotWithShape="0">
              <a:prstClr val="black">
                <a:alpha val="40000"/>
              </a:prstClr>
            </a:outerShdw>
          </a:effectLst>
        </c:spPr>
      </c:pivotFmt>
    </c:pivotFmts>
    <c:plotArea>
      <c:layout/>
      <c:pieChart>
        <c:varyColors val="1"/>
        <c:ser>
          <c:idx val="0"/>
          <c:order val="0"/>
          <c:tx>
            <c:strRef>
              <c:f>Pivots!$L$27</c:f>
              <c:strCache>
                <c:ptCount val="1"/>
                <c:pt idx="0">
                  <c:v>Total</c:v>
                </c:pt>
              </c:strCache>
            </c:strRef>
          </c:tx>
          <c:spPr>
            <a:ln>
              <a:noFill/>
            </a:ln>
            <a:effectLst>
              <a:outerShdw blurRad="50800" dist="38100" dir="2700000" algn="tl" rotWithShape="0">
                <a:prstClr val="black">
                  <a:alpha val="40000"/>
                </a:prstClr>
              </a:outerShdw>
            </a:effectLst>
          </c:spPr>
          <c:dPt>
            <c:idx val="0"/>
            <c:bubble3D val="0"/>
            <c:spPr>
              <a:solidFill>
                <a:srgbClr val="B5838D"/>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1846-432D-83BE-01DF17A0012D}"/>
              </c:ext>
            </c:extLst>
          </c:dPt>
          <c:dPt>
            <c:idx val="1"/>
            <c:bubble3D val="0"/>
            <c:spPr>
              <a:solidFill>
                <a:srgbClr val="FAE1DD"/>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1846-432D-83BE-01DF17A0012D}"/>
              </c:ext>
            </c:extLst>
          </c:dPt>
          <c:dPt>
            <c:idx val="2"/>
            <c:bubble3D val="0"/>
            <c:spPr>
              <a:solidFill>
                <a:srgbClr val="6D6875"/>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1846-432D-83BE-01DF17A0012D}"/>
              </c:ext>
            </c:extLst>
          </c:dPt>
          <c:dLbls>
            <c:dLbl>
              <c:idx val="1"/>
              <c:layout>
                <c:manualLayout>
                  <c:x val="2.875947311842346E-3"/>
                  <c:y val="-0.20884377799647949"/>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6D6875"/>
                      </a:solidFill>
                      <a:latin typeface="+mn-lt"/>
                      <a:ea typeface="+mn-ea"/>
                      <a:cs typeface="+mn-cs"/>
                    </a:defRPr>
                  </a:pPr>
                  <a:endParaRPr lang="en-US"/>
                </a:p>
              </c:txPr>
              <c:showLegendKey val="0"/>
              <c:showVal val="0"/>
              <c:showCatName val="0"/>
              <c:showSerName val="0"/>
              <c:showPercent val="1"/>
              <c:showBubbleSize val="1"/>
              <c:extLst>
                <c:ext xmlns:c15="http://schemas.microsoft.com/office/drawing/2012/chart" uri="{CE6537A1-D6FC-4f65-9D91-7224C49458BB}">
                  <c15:layout/>
                </c:ext>
                <c:ext xmlns:c16="http://schemas.microsoft.com/office/drawing/2014/chart" uri="{C3380CC4-5D6E-409C-BE32-E72D297353CC}">
                  <c16:uniqueId val="{00000003-1846-432D-83BE-01DF17A0012D}"/>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Pivots!$K$28:$K$31</c:f>
              <c:strCache>
                <c:ptCount val="3"/>
                <c:pt idx="0">
                  <c:v>Br. A (Yangon)</c:v>
                </c:pt>
                <c:pt idx="1">
                  <c:v>Br. B (Mandalay)</c:v>
                </c:pt>
                <c:pt idx="2">
                  <c:v>Br. C (Naypyitaw)</c:v>
                </c:pt>
              </c:strCache>
            </c:strRef>
          </c:cat>
          <c:val>
            <c:numRef>
              <c:f>Pivots!$L$28:$L$31</c:f>
              <c:numCache>
                <c:formatCode>0%</c:formatCode>
                <c:ptCount val="3"/>
                <c:pt idx="0">
                  <c:v>0.32657088162194919</c:v>
                </c:pt>
                <c:pt idx="1">
                  <c:v>0.34542766081010584</c:v>
                </c:pt>
                <c:pt idx="2">
                  <c:v>0.32800145756794497</c:v>
                </c:pt>
              </c:numCache>
            </c:numRef>
          </c:val>
          <c:extLst>
            <c:ext xmlns:c16="http://schemas.microsoft.com/office/drawing/2014/chart" uri="{C3380CC4-5D6E-409C-BE32-E72D297353CC}">
              <c16:uniqueId val="{00000006-1846-432D-83BE-01DF17A0012D}"/>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1100" b="1" i="0" u="none" strike="noStrike" kern="1200" baseline="0">
              <a:solidFill>
                <a:srgbClr val="6D6875"/>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[Amira Essam final.xlsx]Pivots!SalesTrend</c:name>
    <c:fmtId val="12"/>
  </c:pivotSource>
  <c:chart>
    <c:title>
      <c:tx>
        <c:rich>
          <a:bodyPr rot="0" spcFirstLastPara="1" vertOverflow="ellipsis" vert="horz" wrap="square" anchor="ctr" anchorCtr="1"/>
          <a:lstStyle/>
          <a:p>
            <a:pPr>
              <a:defRPr sz="1800" b="1" i="0" u="none" strike="noStrike" kern="1200" spc="0" baseline="0">
                <a:solidFill>
                  <a:srgbClr val="6D6875"/>
                </a:solidFill>
                <a:latin typeface="+mn-lt"/>
                <a:ea typeface="+mn-ea"/>
                <a:cs typeface="+mn-cs"/>
              </a:defRPr>
            </a:pPr>
            <a:r>
              <a:rPr lang="en-US" sz="1800" b="1">
                <a:solidFill>
                  <a:srgbClr val="6D6875"/>
                </a:solidFill>
              </a:rPr>
              <a:t>SALES</a:t>
            </a:r>
            <a:r>
              <a:rPr lang="en-US" sz="1800" b="1" baseline="0">
                <a:solidFill>
                  <a:srgbClr val="6D6875"/>
                </a:solidFill>
              </a:rPr>
              <a:t> PERFORMANCE OVER YEARS</a:t>
            </a:r>
            <a:endParaRPr lang="en-US" sz="1800" b="1">
              <a:solidFill>
                <a:srgbClr val="6D6875"/>
              </a:solidFill>
            </a:endParaRPr>
          </a:p>
        </c:rich>
      </c:tx>
      <c:layout>
        <c:manualLayout>
          <c:xMode val="edge"/>
          <c:yMode val="edge"/>
          <c:x val="0.12324962582187048"/>
          <c:y val="1.279317697228145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rgbClr val="6D6875"/>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38100" cap="rnd">
            <a:solidFill>
              <a:srgbClr val="B5838D"/>
            </a:solidFill>
            <a:round/>
          </a:ln>
          <a:effectLst/>
        </c:spPr>
        <c:marker>
          <c:symbol val="circle"/>
          <c:size val="5"/>
          <c:spPr>
            <a:solidFill>
              <a:srgbClr val="FAE1DD"/>
            </a:solidFill>
            <a:ln w="38100">
              <a:solidFill>
                <a:srgbClr val="B5838D"/>
              </a:solid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6D6875"/>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372496662216287E-2"/>
          <c:y val="0.15310502283105024"/>
          <c:w val="0.95727636849132181"/>
          <c:h val="0.72823463847840941"/>
        </c:manualLayout>
      </c:layout>
      <c:lineChart>
        <c:grouping val="standard"/>
        <c:varyColors val="0"/>
        <c:ser>
          <c:idx val="0"/>
          <c:order val="0"/>
          <c:tx>
            <c:strRef>
              <c:f>Pivots!$G$19</c:f>
              <c:strCache>
                <c:ptCount val="1"/>
                <c:pt idx="0">
                  <c:v>Total</c:v>
                </c:pt>
              </c:strCache>
            </c:strRef>
          </c:tx>
          <c:spPr>
            <a:ln w="38100" cap="rnd">
              <a:solidFill>
                <a:srgbClr val="B5838D"/>
              </a:solidFill>
              <a:round/>
            </a:ln>
            <a:effectLst/>
          </c:spPr>
          <c:marker>
            <c:symbol val="circle"/>
            <c:size val="5"/>
            <c:spPr>
              <a:solidFill>
                <a:srgbClr val="FAE1DD"/>
              </a:solidFill>
              <a:ln w="38100">
                <a:solidFill>
                  <a:srgbClr val="B5838D"/>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6D6875"/>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Pivots!$F$20:$F$24</c:f>
              <c:strCache>
                <c:ptCount val="4"/>
                <c:pt idx="0">
                  <c:v>2019</c:v>
                </c:pt>
                <c:pt idx="1">
                  <c:v>2020</c:v>
                </c:pt>
                <c:pt idx="2">
                  <c:v>2021</c:v>
                </c:pt>
                <c:pt idx="3">
                  <c:v>2022</c:v>
                </c:pt>
              </c:strCache>
            </c:strRef>
          </c:cat>
          <c:val>
            <c:numRef>
              <c:f>Pivots!$G$20:$G$24</c:f>
              <c:numCache>
                <c:formatCode>_-* #,##0\ _ج_._م_._‏_-;\-* #,##0\ _ج_._م_._‏_-;_-* "-"??\ _ج_._م_._‏_-;_-@_-</c:formatCode>
                <c:ptCount val="4"/>
                <c:pt idx="0">
                  <c:v>37832.230000000003</c:v>
                </c:pt>
                <c:pt idx="1">
                  <c:v>67744.899999999994</c:v>
                </c:pt>
                <c:pt idx="2">
                  <c:v>83456.600000000006</c:v>
                </c:pt>
                <c:pt idx="3">
                  <c:v>118553.65</c:v>
                </c:pt>
              </c:numCache>
            </c:numRef>
          </c:val>
          <c:smooth val="0"/>
          <c:extLst>
            <c:ext xmlns:c16="http://schemas.microsoft.com/office/drawing/2014/chart" uri="{C3380CC4-5D6E-409C-BE32-E72D297353CC}">
              <c16:uniqueId val="{00000006-BEF9-45C8-A2D4-2DAC85268B9C}"/>
            </c:ext>
          </c:extLst>
        </c:ser>
        <c:dLbls>
          <c:dLblPos val="t"/>
          <c:showLegendKey val="0"/>
          <c:showVal val="1"/>
          <c:showCatName val="0"/>
          <c:showSerName val="0"/>
          <c:showPercent val="0"/>
          <c:showBubbleSize val="0"/>
        </c:dLbls>
        <c:marker val="1"/>
        <c:smooth val="0"/>
        <c:axId val="842862736"/>
        <c:axId val="842867328"/>
      </c:lineChart>
      <c:catAx>
        <c:axId val="842862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rgbClr val="6D6875"/>
                </a:solidFill>
                <a:latin typeface="+mn-lt"/>
                <a:ea typeface="+mn-ea"/>
                <a:cs typeface="+mn-cs"/>
              </a:defRPr>
            </a:pPr>
            <a:endParaRPr lang="en-US"/>
          </a:p>
        </c:txPr>
        <c:crossAx val="842867328"/>
        <c:crosses val="autoZero"/>
        <c:auto val="1"/>
        <c:lblAlgn val="ctr"/>
        <c:lblOffset val="100"/>
        <c:noMultiLvlLbl val="0"/>
      </c:catAx>
      <c:valAx>
        <c:axId val="842867328"/>
        <c:scaling>
          <c:orientation val="minMax"/>
        </c:scaling>
        <c:delete val="1"/>
        <c:axPos val="l"/>
        <c:numFmt formatCode="_-* #,##0\ _ج_._م_._‏_-;\-* #,##0\ _ج_._م_._‏_-;_-* &quot;-&quot;??\ _ج_._م_._‏_-;_-@_-" sourceLinked="1"/>
        <c:majorTickMark val="none"/>
        <c:minorTickMark val="none"/>
        <c:tickLblPos val="nextTo"/>
        <c:crossAx val="84286273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[Amira Essam final.xlsx]Pivots!ProfitTrend</c:name>
    <c:fmtId val="12"/>
  </c:pivotSource>
  <c:chart>
    <c:title>
      <c:tx>
        <c:rich>
          <a:bodyPr rot="0" spcFirstLastPara="1" vertOverflow="ellipsis" vert="horz" wrap="square" anchor="ctr" anchorCtr="1"/>
          <a:lstStyle/>
          <a:p>
            <a:pPr>
              <a:defRPr sz="1800" b="1" i="0" u="none" strike="noStrike" kern="1200" spc="0" baseline="0">
                <a:solidFill>
                  <a:srgbClr val="6D6875"/>
                </a:solidFill>
                <a:latin typeface="+mn-lt"/>
                <a:ea typeface="+mn-ea"/>
                <a:cs typeface="+mn-cs"/>
              </a:defRPr>
            </a:pPr>
            <a:r>
              <a:rPr lang="en-US" sz="1800" b="1">
                <a:solidFill>
                  <a:srgbClr val="6D6875"/>
                </a:solidFill>
              </a:rPr>
              <a:t>PROFIT</a:t>
            </a:r>
            <a:r>
              <a:rPr lang="en-US" sz="1800" b="1" baseline="0">
                <a:solidFill>
                  <a:srgbClr val="6D6875"/>
                </a:solidFill>
              </a:rPr>
              <a:t> PERFORMANCE OVER YEARS</a:t>
            </a:r>
            <a:endParaRPr lang="en-US" sz="1800" b="1">
              <a:solidFill>
                <a:srgbClr val="6D6875"/>
              </a:solidFill>
            </a:endParaRPr>
          </a:p>
        </c:rich>
      </c:tx>
      <c:layout>
        <c:manualLayout>
          <c:xMode val="edge"/>
          <c:yMode val="edge"/>
          <c:x val="0.15197279861033455"/>
          <c:y val="0"/>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rgbClr val="6D6875"/>
              </a:solidFill>
              <a:latin typeface="+mn-lt"/>
              <a:ea typeface="+mn-ea"/>
              <a:cs typeface="+mn-cs"/>
            </a:defRPr>
          </a:pPr>
          <a:endParaRPr lang="en-US"/>
        </a:p>
      </c:txPr>
    </c:title>
    <c:autoTitleDeleted val="0"/>
    <c:pivotFmts>
      <c:pivotFmt>
        <c:idx val="0"/>
        <c:spPr>
          <a:solidFill>
            <a:schemeClr val="accent1"/>
          </a:solidFill>
          <a:ln w="28575" cap="rnd">
            <a:solidFill>
              <a:srgbClr val="B5838D"/>
            </a:solidFill>
            <a:round/>
          </a:ln>
          <a:effectLst/>
        </c:spPr>
        <c:marker>
          <c:spPr>
            <a:solidFill>
              <a:srgbClr val="FAE1DD"/>
            </a:solidFill>
            <a:ln w="9525">
              <a:solidFill>
                <a:srgbClr val="B5838D"/>
              </a:solidFill>
            </a:ln>
            <a:effectLst/>
          </c:spPr>
        </c:marker>
      </c:pivotFmt>
      <c:pivotFmt>
        <c:idx val="1"/>
        <c:spPr>
          <a:solidFill>
            <a:schemeClr val="accent1"/>
          </a:solidFill>
          <a:ln w="28575" cap="rnd">
            <a:solidFill>
              <a:srgbClr val="B5838D"/>
            </a:solidFill>
            <a:round/>
          </a:ln>
          <a:effectLst/>
        </c:spPr>
        <c:marker>
          <c:symbol val="circle"/>
          <c:size val="5"/>
          <c:spPr>
            <a:solidFill>
              <a:srgbClr val="FAE1DD"/>
            </a:solidFill>
            <a:ln w="9525">
              <a:solidFill>
                <a:srgbClr val="B5838D"/>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6D6875"/>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B5838D"/>
            </a:solidFill>
            <a:round/>
          </a:ln>
          <a:effectLst/>
        </c:spPr>
        <c:marker>
          <c:symbol val="circle"/>
          <c:size val="5"/>
          <c:spPr>
            <a:solidFill>
              <a:srgbClr val="FAE1DD"/>
            </a:solidFill>
            <a:ln w="9525">
              <a:solidFill>
                <a:srgbClr val="B5838D"/>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6D6875"/>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B5838D"/>
            </a:solidFill>
            <a:round/>
          </a:ln>
          <a:effectLst/>
        </c:spPr>
        <c:marker>
          <c:symbol val="circle"/>
          <c:size val="5"/>
          <c:spPr>
            <a:solidFill>
              <a:srgbClr val="FAE1DD"/>
            </a:solidFill>
            <a:ln w="9525">
              <a:solidFill>
                <a:srgbClr val="B5838D"/>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6D6875"/>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38100" cap="rnd">
            <a:solidFill>
              <a:srgbClr val="B5838D"/>
            </a:solidFill>
            <a:round/>
          </a:ln>
          <a:effectLst/>
        </c:spPr>
        <c:marker>
          <c:symbol val="circle"/>
          <c:size val="5"/>
          <c:spPr>
            <a:solidFill>
              <a:srgbClr val="FAE1DD"/>
            </a:solidFill>
            <a:ln w="38100">
              <a:solidFill>
                <a:srgbClr val="B5838D"/>
              </a:solid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6D6875"/>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3.0555555555555555E-2"/>
          <c:y val="0.11819444444444445"/>
          <c:w val="0.96111111111111114"/>
          <c:h val="0.7572065470982795"/>
        </c:manualLayout>
      </c:layout>
      <c:lineChart>
        <c:grouping val="standard"/>
        <c:varyColors val="0"/>
        <c:ser>
          <c:idx val="0"/>
          <c:order val="0"/>
          <c:tx>
            <c:strRef>
              <c:f>Pivots!$G$27</c:f>
              <c:strCache>
                <c:ptCount val="1"/>
                <c:pt idx="0">
                  <c:v>Total</c:v>
                </c:pt>
              </c:strCache>
            </c:strRef>
          </c:tx>
          <c:spPr>
            <a:ln w="38100" cap="rnd">
              <a:solidFill>
                <a:srgbClr val="B5838D"/>
              </a:solidFill>
              <a:round/>
            </a:ln>
            <a:effectLst/>
          </c:spPr>
          <c:marker>
            <c:symbol val="circle"/>
            <c:size val="5"/>
            <c:spPr>
              <a:solidFill>
                <a:srgbClr val="FAE1DD"/>
              </a:solidFill>
              <a:ln w="38100">
                <a:solidFill>
                  <a:srgbClr val="B5838D"/>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6D6875"/>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Pivots!$F$28:$F$32</c:f>
              <c:strCache>
                <c:ptCount val="4"/>
                <c:pt idx="0">
                  <c:v>2019</c:v>
                </c:pt>
                <c:pt idx="1">
                  <c:v>2020</c:v>
                </c:pt>
                <c:pt idx="2">
                  <c:v>2021</c:v>
                </c:pt>
                <c:pt idx="3">
                  <c:v>2022</c:v>
                </c:pt>
              </c:strCache>
            </c:strRef>
          </c:cat>
          <c:val>
            <c:numRef>
              <c:f>Pivots!$G$28:$G$32</c:f>
              <c:numCache>
                <c:formatCode>_-* #,##0\ _ج_._م_._‏_-;\-* #,##0\ _ج_._م_._‏_-;_-* "-"??\ _ج_._م_._‏_-;_-@_-</c:formatCode>
                <c:ptCount val="4"/>
                <c:pt idx="0">
                  <c:v>9458.0575000000008</c:v>
                </c:pt>
                <c:pt idx="1">
                  <c:v>16936.224999999999</c:v>
                </c:pt>
                <c:pt idx="2">
                  <c:v>20864.150000000001</c:v>
                </c:pt>
                <c:pt idx="3">
                  <c:v>29638.412499999999</c:v>
                </c:pt>
              </c:numCache>
            </c:numRef>
          </c:val>
          <c:smooth val="0"/>
          <c:extLst>
            <c:ext xmlns:c16="http://schemas.microsoft.com/office/drawing/2014/chart" uri="{C3380CC4-5D6E-409C-BE32-E72D297353CC}">
              <c16:uniqueId val="{00000000-E79C-4728-A56B-0AFFFF856FFA}"/>
            </c:ext>
          </c:extLst>
        </c:ser>
        <c:dLbls>
          <c:dLblPos val="t"/>
          <c:showLegendKey val="0"/>
          <c:showVal val="1"/>
          <c:showCatName val="0"/>
          <c:showSerName val="0"/>
          <c:showPercent val="0"/>
          <c:showBubbleSize val="0"/>
        </c:dLbls>
        <c:marker val="1"/>
        <c:smooth val="0"/>
        <c:axId val="981181272"/>
        <c:axId val="981183896"/>
      </c:lineChart>
      <c:catAx>
        <c:axId val="9811812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rgbClr val="6D6875"/>
                </a:solidFill>
                <a:latin typeface="+mn-lt"/>
                <a:ea typeface="+mn-ea"/>
                <a:cs typeface="+mn-cs"/>
              </a:defRPr>
            </a:pPr>
            <a:endParaRPr lang="en-US"/>
          </a:p>
        </c:txPr>
        <c:crossAx val="981183896"/>
        <c:crosses val="autoZero"/>
        <c:auto val="1"/>
        <c:lblAlgn val="ctr"/>
        <c:lblOffset val="100"/>
        <c:noMultiLvlLbl val="0"/>
      </c:catAx>
      <c:valAx>
        <c:axId val="981183896"/>
        <c:scaling>
          <c:orientation val="minMax"/>
        </c:scaling>
        <c:delete val="1"/>
        <c:axPos val="l"/>
        <c:numFmt formatCode="_-* #,##0\ _ج_._م_._‏_-;\-* #,##0\ _ج_._م_._‏_-;_-* &quot;-&quot;??\ _ج_._م_._‏_-;_-@_-" sourceLinked="1"/>
        <c:majorTickMark val="out"/>
        <c:minorTickMark val="none"/>
        <c:tickLblPos val="nextTo"/>
        <c:crossAx val="98118127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[Amira Essam final.xlsx]Pivots!ProductLineProfit</c:name>
    <c:fmtId val="7"/>
  </c:pivotSource>
  <c:chart>
    <c:title>
      <c:tx>
        <c:rich>
          <a:bodyPr rot="0" spcFirstLastPara="1" vertOverflow="ellipsis" vert="horz" wrap="square" anchor="ctr" anchorCtr="1"/>
          <a:lstStyle/>
          <a:p>
            <a:pPr>
              <a:defRPr sz="1800" b="1" i="0" u="none" strike="noStrike" kern="1200" spc="0" baseline="0">
                <a:solidFill>
                  <a:srgbClr val="6D6875"/>
                </a:solidFill>
                <a:latin typeface="+mn-lt"/>
                <a:ea typeface="+mn-ea"/>
                <a:cs typeface="+mn-cs"/>
              </a:defRPr>
            </a:pPr>
            <a:r>
              <a:rPr lang="en-US" sz="1800" b="1">
                <a:solidFill>
                  <a:srgbClr val="6D6875"/>
                </a:solidFill>
              </a:rPr>
              <a:t>PROFIT</a:t>
            </a:r>
            <a:r>
              <a:rPr lang="en-US" sz="1800" b="1" baseline="0">
                <a:solidFill>
                  <a:srgbClr val="6D6875"/>
                </a:solidFill>
              </a:rPr>
              <a:t> % PER PRODUCT LINE</a:t>
            </a:r>
            <a:endParaRPr lang="en-US" sz="1800" b="1">
              <a:solidFill>
                <a:srgbClr val="6D6875"/>
              </a:solidFill>
            </a:endParaRPr>
          </a:p>
        </c:rich>
      </c:tx>
      <c:layout>
        <c:manualLayout>
          <c:xMode val="edge"/>
          <c:yMode val="edge"/>
          <c:x val="0.25937093741144951"/>
          <c:y val="8.3491460574470447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rgbClr val="6D6875"/>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rgbClr val="6D6875"/>
          </a:solidFill>
          <a:ln w="19050">
            <a:solidFill>
              <a:schemeClr val="lt1"/>
            </a:solidFill>
          </a:ln>
          <a:effectLst/>
        </c:spPr>
      </c:pivotFmt>
      <c:pivotFmt>
        <c:idx val="2"/>
        <c:spPr>
          <a:solidFill>
            <a:srgbClr val="B5838D"/>
          </a:solidFill>
          <a:ln w="19050">
            <a:solidFill>
              <a:schemeClr val="lt1"/>
            </a:solidFill>
          </a:ln>
          <a:effectLst/>
        </c:spPr>
      </c:pivotFmt>
      <c:pivotFmt>
        <c:idx val="3"/>
        <c:spPr>
          <a:solidFill>
            <a:srgbClr val="FAE1DD"/>
          </a:solidFill>
          <a:ln w="19050">
            <a:solidFill>
              <a:schemeClr val="lt1"/>
            </a:solidFill>
          </a:ln>
          <a:effectLst/>
        </c:spPr>
      </c:pivotFmt>
      <c:pivotFmt>
        <c:idx val="4"/>
        <c:spPr>
          <a:solidFill>
            <a:srgbClr val="E5989B"/>
          </a:solidFill>
          <a:ln w="19050">
            <a:solidFill>
              <a:schemeClr val="lt1"/>
            </a:solidFill>
          </a:ln>
          <a:effectLst/>
        </c:spPr>
      </c:pivotFmt>
      <c:pivotFmt>
        <c:idx val="5"/>
        <c:spPr>
          <a:solidFill>
            <a:srgbClr val="FCD5CE"/>
          </a:solidFill>
          <a:ln w="19050">
            <a:solidFill>
              <a:schemeClr val="lt1"/>
            </a:solidFill>
          </a:ln>
          <a:effectLst/>
        </c:spPr>
      </c:pivotFmt>
      <c:pivotFmt>
        <c:idx val="6"/>
        <c:spPr>
          <a:solidFill>
            <a:srgbClr val="FFB4A2"/>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dLbl>
          <c:idx val="0"/>
          <c:spPr>
            <a:noFill/>
            <a:ln>
              <a:noFill/>
            </a:ln>
            <a:effectLst/>
          </c:spPr>
          <c:txPr>
            <a:bodyPr rot="0" spcFirstLastPara="1" vertOverflow="overflow" horzOverflow="overflow"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overflow" horzOverflow="overflow"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
        <c:spPr>
          <a:solidFill>
            <a:srgbClr val="6D6875"/>
          </a:solidFill>
          <a:ln w="19050">
            <a:solidFill>
              <a:schemeClr val="lt1"/>
            </a:solidFill>
          </a:ln>
          <a:effectLst/>
        </c:spPr>
      </c:pivotFmt>
      <c:pivotFmt>
        <c:idx val="11"/>
        <c:spPr>
          <a:solidFill>
            <a:srgbClr val="B5838D"/>
          </a:solidFill>
          <a:ln w="19050">
            <a:solidFill>
              <a:schemeClr val="lt1"/>
            </a:solidFill>
          </a:ln>
          <a:effectLst/>
        </c:spPr>
      </c:pivotFmt>
      <c:pivotFmt>
        <c:idx val="12"/>
        <c:spPr>
          <a:solidFill>
            <a:srgbClr val="FAE1DD"/>
          </a:solidFill>
          <a:ln w="19050">
            <a:solidFill>
              <a:schemeClr val="lt1"/>
            </a:solidFill>
          </a:ln>
          <a:effectLst/>
        </c:spPr>
      </c:pivotFmt>
      <c:pivotFmt>
        <c:idx val="13"/>
        <c:spPr>
          <a:solidFill>
            <a:srgbClr val="E5989B"/>
          </a:solidFill>
          <a:ln w="19050">
            <a:solidFill>
              <a:schemeClr val="lt1"/>
            </a:solidFill>
          </a:ln>
          <a:effectLst/>
        </c:spPr>
      </c:pivotFmt>
      <c:pivotFmt>
        <c:idx val="14"/>
        <c:spPr>
          <a:solidFill>
            <a:srgbClr val="FCD5CE"/>
          </a:solidFill>
          <a:ln w="19050">
            <a:solidFill>
              <a:schemeClr val="lt1"/>
            </a:solidFill>
          </a:ln>
          <a:effectLst/>
        </c:spPr>
      </c:pivotFmt>
      <c:pivotFmt>
        <c:idx val="15"/>
        <c:spPr>
          <a:solidFill>
            <a:srgbClr val="FFB4A2"/>
          </a:solidFill>
          <a:ln w="19050">
            <a:solidFill>
              <a:schemeClr val="lt1"/>
            </a:solidFill>
          </a:ln>
          <a:effectLst/>
        </c:spPr>
      </c:pivotFmt>
      <c:pivotFmt>
        <c:idx val="16"/>
        <c:spPr>
          <a:solidFill>
            <a:schemeClr val="accent1"/>
          </a:solidFill>
          <a:ln w="19050">
            <a:solidFill>
              <a:schemeClr val="bg1"/>
            </a:solidFill>
          </a:ln>
          <a:effectLst/>
        </c:spPr>
        <c:marker>
          <c:symbol val="none"/>
        </c:marker>
        <c:dLbl>
          <c:idx val="0"/>
          <c:layout/>
          <c:spPr>
            <a:noFill/>
            <a:ln>
              <a:noFill/>
            </a:ln>
            <a:effectLst/>
          </c:spPr>
          <c:txPr>
            <a:bodyPr rot="0" spcFirstLastPara="1" vertOverflow="overflow" horzOverflow="overflow"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ext>
          </c:extLst>
        </c:dLbl>
      </c:pivotFmt>
      <c:pivotFmt>
        <c:idx val="17"/>
        <c:spPr>
          <a:solidFill>
            <a:srgbClr val="6D6875"/>
          </a:solidFill>
          <a:ln w="19050">
            <a:solidFill>
              <a:schemeClr val="bg1"/>
            </a:solidFill>
          </a:ln>
          <a:effectLst/>
        </c:spPr>
      </c:pivotFmt>
      <c:pivotFmt>
        <c:idx val="18"/>
        <c:spPr>
          <a:solidFill>
            <a:srgbClr val="FFB4A2"/>
          </a:solidFill>
          <a:ln w="19050">
            <a:solidFill>
              <a:schemeClr val="bg1"/>
            </a:solidFill>
          </a:ln>
          <a:effectLst/>
        </c:spPr>
      </c:pivotFmt>
      <c:pivotFmt>
        <c:idx val="19"/>
        <c:spPr>
          <a:solidFill>
            <a:srgbClr val="FAE1DD"/>
          </a:solidFill>
          <a:ln w="19050">
            <a:solidFill>
              <a:schemeClr val="bg1"/>
            </a:solidFill>
          </a:ln>
          <a:effectLst/>
        </c:spPr>
      </c:pivotFmt>
      <c:pivotFmt>
        <c:idx val="20"/>
        <c:spPr>
          <a:solidFill>
            <a:srgbClr val="E5989B"/>
          </a:solidFill>
          <a:ln w="19050">
            <a:solidFill>
              <a:schemeClr val="bg1"/>
            </a:solidFill>
          </a:ln>
          <a:effectLst/>
        </c:spPr>
      </c:pivotFmt>
      <c:pivotFmt>
        <c:idx val="21"/>
        <c:spPr>
          <a:solidFill>
            <a:srgbClr val="B5838D"/>
          </a:solidFill>
          <a:ln w="19050">
            <a:solidFill>
              <a:schemeClr val="bg1"/>
            </a:solidFill>
          </a:ln>
          <a:effectLst/>
        </c:spPr>
      </c:pivotFmt>
      <c:pivotFmt>
        <c:idx val="22"/>
        <c:spPr>
          <a:solidFill>
            <a:srgbClr val="FFCAD4"/>
          </a:solidFill>
          <a:ln w="19050">
            <a:solidFill>
              <a:schemeClr val="bg1"/>
            </a:solidFill>
          </a:ln>
          <a:effectLst/>
        </c:spPr>
      </c:pivotFmt>
    </c:pivotFmts>
    <c:plotArea>
      <c:layout/>
      <c:doughnutChart>
        <c:varyColors val="1"/>
        <c:ser>
          <c:idx val="0"/>
          <c:order val="0"/>
          <c:tx>
            <c:strRef>
              <c:f>Pivots!$K$40</c:f>
              <c:strCache>
                <c:ptCount val="1"/>
                <c:pt idx="0">
                  <c:v>Total</c:v>
                </c:pt>
              </c:strCache>
            </c:strRef>
          </c:tx>
          <c:spPr>
            <a:ln>
              <a:solidFill>
                <a:schemeClr val="bg1"/>
              </a:solidFill>
            </a:ln>
          </c:spPr>
          <c:dPt>
            <c:idx val="0"/>
            <c:bubble3D val="0"/>
            <c:spPr>
              <a:solidFill>
                <a:srgbClr val="6D6875"/>
              </a:solidFill>
              <a:ln w="19050">
                <a:solidFill>
                  <a:schemeClr val="bg1"/>
                </a:solidFill>
              </a:ln>
              <a:effectLst/>
            </c:spPr>
            <c:extLst>
              <c:ext xmlns:c16="http://schemas.microsoft.com/office/drawing/2014/chart" uri="{C3380CC4-5D6E-409C-BE32-E72D297353CC}">
                <c16:uniqueId val="{00000001-3E40-45BF-B755-AC386392E78C}"/>
              </c:ext>
            </c:extLst>
          </c:dPt>
          <c:dPt>
            <c:idx val="1"/>
            <c:bubble3D val="0"/>
            <c:spPr>
              <a:solidFill>
                <a:srgbClr val="FFB4A2"/>
              </a:solidFill>
              <a:ln w="19050">
                <a:solidFill>
                  <a:schemeClr val="bg1"/>
                </a:solidFill>
              </a:ln>
              <a:effectLst/>
            </c:spPr>
            <c:extLst>
              <c:ext xmlns:c16="http://schemas.microsoft.com/office/drawing/2014/chart" uri="{C3380CC4-5D6E-409C-BE32-E72D297353CC}">
                <c16:uniqueId val="{00000003-3E40-45BF-B755-AC386392E78C}"/>
              </c:ext>
            </c:extLst>
          </c:dPt>
          <c:dPt>
            <c:idx val="2"/>
            <c:bubble3D val="0"/>
            <c:spPr>
              <a:solidFill>
                <a:srgbClr val="FAE1DD"/>
              </a:solidFill>
              <a:ln w="19050">
                <a:solidFill>
                  <a:schemeClr val="bg1"/>
                </a:solidFill>
              </a:ln>
              <a:effectLst/>
            </c:spPr>
            <c:extLst>
              <c:ext xmlns:c16="http://schemas.microsoft.com/office/drawing/2014/chart" uri="{C3380CC4-5D6E-409C-BE32-E72D297353CC}">
                <c16:uniqueId val="{00000005-3E40-45BF-B755-AC386392E78C}"/>
              </c:ext>
            </c:extLst>
          </c:dPt>
          <c:dPt>
            <c:idx val="3"/>
            <c:bubble3D val="0"/>
            <c:spPr>
              <a:solidFill>
                <a:srgbClr val="E5989B"/>
              </a:solidFill>
              <a:ln w="19050">
                <a:solidFill>
                  <a:schemeClr val="bg1"/>
                </a:solidFill>
              </a:ln>
              <a:effectLst/>
            </c:spPr>
            <c:extLst>
              <c:ext xmlns:c16="http://schemas.microsoft.com/office/drawing/2014/chart" uri="{C3380CC4-5D6E-409C-BE32-E72D297353CC}">
                <c16:uniqueId val="{00000007-3E40-45BF-B755-AC386392E78C}"/>
              </c:ext>
            </c:extLst>
          </c:dPt>
          <c:dPt>
            <c:idx val="4"/>
            <c:bubble3D val="0"/>
            <c:spPr>
              <a:solidFill>
                <a:srgbClr val="B5838D"/>
              </a:solidFill>
              <a:ln w="19050">
                <a:solidFill>
                  <a:schemeClr val="bg1"/>
                </a:solidFill>
              </a:ln>
              <a:effectLst/>
            </c:spPr>
            <c:extLst>
              <c:ext xmlns:c16="http://schemas.microsoft.com/office/drawing/2014/chart" uri="{C3380CC4-5D6E-409C-BE32-E72D297353CC}">
                <c16:uniqueId val="{00000009-3E40-45BF-B755-AC386392E78C}"/>
              </c:ext>
            </c:extLst>
          </c:dPt>
          <c:dPt>
            <c:idx val="5"/>
            <c:bubble3D val="0"/>
            <c:spPr>
              <a:solidFill>
                <a:srgbClr val="FFCAD4"/>
              </a:solidFill>
              <a:ln w="19050">
                <a:solidFill>
                  <a:schemeClr val="bg1"/>
                </a:solidFill>
              </a:ln>
              <a:effectLst/>
            </c:spPr>
            <c:extLst>
              <c:ext xmlns:c16="http://schemas.microsoft.com/office/drawing/2014/chart" uri="{C3380CC4-5D6E-409C-BE32-E72D297353CC}">
                <c16:uniqueId val="{0000000B-3E40-45BF-B755-AC386392E78C}"/>
              </c:ext>
            </c:extLst>
          </c:dPt>
          <c:dLbls>
            <c:spPr>
              <a:noFill/>
              <a:ln>
                <a:noFill/>
              </a:ln>
              <a:effectLst/>
            </c:spPr>
            <c:txPr>
              <a:bodyPr rot="0" spcFirstLastPara="1" vertOverflow="overflow" horzOverflow="overflow"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a:noFill/>
                  <a:ln>
                    <a:noFill/>
                  </a:ln>
                </c15:spPr>
                <c15:layout/>
              </c:ext>
            </c:extLst>
          </c:dLbls>
          <c:cat>
            <c:strRef>
              <c:f>Pivots!$J$41:$J$47</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Pivots!$K$41:$K$47</c:f>
              <c:numCache>
                <c:formatCode>0.00%</c:formatCode>
                <c:ptCount val="6"/>
                <c:pt idx="0">
                  <c:v>0.20546056574386365</c:v>
                </c:pt>
                <c:pt idx="1">
                  <c:v>0.15351876555466659</c:v>
                </c:pt>
                <c:pt idx="2">
                  <c:v>0.1544574966692295</c:v>
                </c:pt>
                <c:pt idx="3">
                  <c:v>0.17301339941874416</c:v>
                </c:pt>
                <c:pt idx="4">
                  <c:v>0.17668549218012267</c:v>
                </c:pt>
                <c:pt idx="5">
                  <c:v>0.13686428043337343</c:v>
                </c:pt>
              </c:numCache>
            </c:numRef>
          </c:val>
          <c:extLst>
            <c:ext xmlns:c16="http://schemas.microsoft.com/office/drawing/2014/chart" uri="{C3380CC4-5D6E-409C-BE32-E72D297353CC}">
              <c16:uniqueId val="{0000000C-3E40-45BF-B755-AC386392E78C}"/>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1568242900935088"/>
          <c:y val="0.30655123655317734"/>
          <c:w val="0.24424956422431929"/>
          <c:h val="0.39489575246756126"/>
        </c:manualLayout>
      </c:layout>
      <c:overlay val="0"/>
      <c:spPr>
        <a:noFill/>
        <a:ln>
          <a:noFill/>
        </a:ln>
        <a:effectLst/>
      </c:spPr>
      <c:txPr>
        <a:bodyPr rot="0" spcFirstLastPara="1" vertOverflow="ellipsis" vert="horz" wrap="square" anchor="ctr" anchorCtr="1"/>
        <a:lstStyle/>
        <a:p>
          <a:pPr>
            <a:defRPr sz="1100" b="1" i="0" u="none" strike="noStrike" kern="1200" baseline="0">
              <a:solidFill>
                <a:srgbClr val="6D6875"/>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[Amira Essam final.xlsx]Pivots!ProductLineMeasures</c:name>
    <c:fmtId val="17"/>
  </c:pivotSource>
  <c:chart>
    <c:title>
      <c:tx>
        <c:rich>
          <a:bodyPr rot="0" spcFirstLastPara="1" vertOverflow="ellipsis" vert="horz" wrap="square" anchor="ctr" anchorCtr="1"/>
          <a:lstStyle/>
          <a:p>
            <a:pPr>
              <a:defRPr sz="1800" b="1" i="0" u="none" strike="noStrike" kern="1200" spc="0" baseline="0">
                <a:solidFill>
                  <a:srgbClr val="6D6875"/>
                </a:solidFill>
                <a:latin typeface="+mn-lt"/>
                <a:ea typeface="+mn-ea"/>
                <a:cs typeface="+mn-cs"/>
              </a:defRPr>
            </a:pPr>
            <a:r>
              <a:rPr lang="en-US" sz="1800" b="1">
                <a:solidFill>
                  <a:srgbClr val="6D6875"/>
                </a:solidFill>
              </a:rPr>
              <a:t>PRODUCT</a:t>
            </a:r>
            <a:r>
              <a:rPr lang="en-US" sz="1800" b="1" baseline="0">
                <a:solidFill>
                  <a:srgbClr val="6D6875"/>
                </a:solidFill>
              </a:rPr>
              <a:t> LINE MEASURES</a:t>
            </a:r>
            <a:endParaRPr lang="en-US" sz="1800" b="1">
              <a:solidFill>
                <a:srgbClr val="6D6875"/>
              </a:solidFill>
            </a:endParaRPr>
          </a:p>
        </c:rich>
      </c:tx>
      <c:layout>
        <c:manualLayout>
          <c:xMode val="edge"/>
          <c:yMode val="edge"/>
          <c:x val="0.34949744975372227"/>
          <c:y val="3.9658117878811142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rgbClr val="6D6875"/>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
        <c:idx val="5"/>
        <c:spPr>
          <a:solidFill>
            <a:schemeClr val="accent1"/>
          </a:solidFill>
          <a:ln>
            <a:noFill/>
          </a:ln>
          <a:effectLst/>
          <a:sp3d/>
        </c:spPr>
        <c:marker>
          <c:symbol val="none"/>
        </c:marker>
      </c:pivotFmt>
      <c:pivotFmt>
        <c:idx val="6"/>
        <c:spPr>
          <a:solidFill>
            <a:schemeClr val="accent1"/>
          </a:solidFill>
          <a:ln>
            <a:noFill/>
          </a:ln>
          <a:effectLst/>
          <a:sp3d/>
        </c:spPr>
        <c:marker>
          <c:symbol val="none"/>
        </c:marker>
      </c:pivotFmt>
      <c:pivotFmt>
        <c:idx val="7"/>
        <c:spPr>
          <a:solidFill>
            <a:schemeClr val="accent1"/>
          </a:solidFill>
          <a:ln>
            <a:noFill/>
          </a:ln>
          <a:effectLst/>
          <a:sp3d/>
        </c:spPr>
        <c:marker>
          <c:symbol val="none"/>
        </c:marker>
      </c:pivotFmt>
      <c:pivotFmt>
        <c:idx val="8"/>
        <c:spPr>
          <a:solidFill>
            <a:schemeClr val="accent1"/>
          </a:solidFill>
          <a:ln>
            <a:noFill/>
          </a:ln>
          <a:effectLst/>
          <a:sp3d/>
        </c:spPr>
        <c:marker>
          <c:symbol val="none"/>
        </c:marker>
      </c:pivotFmt>
      <c:pivotFmt>
        <c:idx val="9"/>
        <c:spPr>
          <a:solidFill>
            <a:schemeClr val="accent1"/>
          </a:solidFill>
          <a:ln>
            <a:noFill/>
          </a:ln>
          <a:effectLst/>
          <a:sp3d/>
        </c:spPr>
        <c:marker>
          <c:symbol val="none"/>
        </c:marker>
      </c:pivotFmt>
      <c:pivotFmt>
        <c:idx val="10"/>
        <c:spPr>
          <a:solidFill>
            <a:schemeClr val="accent1"/>
          </a:solidFill>
          <a:ln>
            <a:noFill/>
          </a:ln>
          <a:effectLst/>
          <a:sp3d/>
        </c:spPr>
        <c:marker>
          <c:symbol val="none"/>
        </c:marker>
      </c:pivotFmt>
      <c:pivotFmt>
        <c:idx val="11"/>
        <c:spPr>
          <a:solidFill>
            <a:schemeClr val="accent1"/>
          </a:solidFill>
          <a:ln>
            <a:noFill/>
          </a:ln>
          <a:effectLst/>
          <a:sp3d/>
        </c:spPr>
        <c:marker>
          <c:symbol val="none"/>
        </c:marker>
      </c:pivotFmt>
      <c:pivotFmt>
        <c:idx val="12"/>
        <c:spPr>
          <a:solidFill>
            <a:schemeClr val="accent1"/>
          </a:solidFill>
          <a:ln>
            <a:noFill/>
          </a:ln>
          <a:effectLst/>
          <a:sp3d/>
        </c:spPr>
        <c:marker>
          <c:symbol val="none"/>
        </c:marker>
      </c:pivotFmt>
      <c:pivotFmt>
        <c:idx val="13"/>
        <c:spPr>
          <a:solidFill>
            <a:schemeClr val="accent1"/>
          </a:solidFill>
          <a:ln>
            <a:noFill/>
          </a:ln>
          <a:effectLst/>
          <a:sp3d/>
        </c:spPr>
        <c:marker>
          <c:symbol val="none"/>
        </c:marker>
      </c:pivotFmt>
      <c:pivotFmt>
        <c:idx val="14"/>
        <c:spPr>
          <a:solidFill>
            <a:schemeClr val="accent1"/>
          </a:solidFill>
          <a:ln>
            <a:noFill/>
          </a:ln>
          <a:effectLst/>
          <a:sp3d/>
        </c:spPr>
        <c:marker>
          <c:symbol val="none"/>
        </c:marker>
      </c:pivotFmt>
      <c:pivotFmt>
        <c:idx val="15"/>
        <c:spPr>
          <a:solidFill>
            <a:schemeClr val="accent1"/>
          </a:solidFill>
          <a:ln>
            <a:noFill/>
          </a:ln>
          <a:effectLst/>
          <a:sp3d/>
        </c:spPr>
        <c:marker>
          <c:symbol val="none"/>
        </c:marker>
      </c:pivotFmt>
      <c:pivotFmt>
        <c:idx val="16"/>
        <c:spPr>
          <a:solidFill>
            <a:schemeClr val="accent1"/>
          </a:solidFill>
          <a:ln>
            <a:noFill/>
          </a:ln>
          <a:effectLst/>
          <a:sp3d/>
        </c:spPr>
        <c:marker>
          <c:symbol val="none"/>
        </c:marker>
      </c:pivotFmt>
      <c:pivotFmt>
        <c:idx val="17"/>
        <c:spPr>
          <a:solidFill>
            <a:schemeClr val="accent1"/>
          </a:solidFill>
          <a:ln>
            <a:noFill/>
          </a:ln>
          <a:effectLst/>
          <a:sp3d/>
        </c:spPr>
        <c:marker>
          <c:symbol val="none"/>
        </c:marker>
      </c:pivotFmt>
      <c:pivotFmt>
        <c:idx val="18"/>
        <c:spPr>
          <a:solidFill>
            <a:schemeClr val="accent1"/>
          </a:solidFill>
          <a:ln>
            <a:noFill/>
          </a:ln>
          <a:effectLst/>
          <a:sp3d/>
        </c:spPr>
        <c:marker>
          <c:symbol val="none"/>
        </c:marker>
      </c:pivotFmt>
      <c:pivotFmt>
        <c:idx val="19"/>
        <c:spPr>
          <a:solidFill>
            <a:schemeClr val="accent1"/>
          </a:solidFill>
          <a:ln>
            <a:noFill/>
          </a:ln>
          <a:effectLst/>
          <a:sp3d/>
        </c:spPr>
        <c:marker>
          <c:symbol val="none"/>
        </c:marker>
      </c:pivotFmt>
      <c:pivotFmt>
        <c:idx val="20"/>
        <c:spPr>
          <a:solidFill>
            <a:schemeClr val="accent1"/>
          </a:solidFill>
          <a:ln>
            <a:noFill/>
          </a:ln>
          <a:effectLst/>
          <a:sp3d/>
        </c:spPr>
        <c:marker>
          <c:symbol val="none"/>
        </c:marker>
      </c:pivotFmt>
      <c:pivotFmt>
        <c:idx val="21"/>
        <c:spPr>
          <a:solidFill>
            <a:schemeClr val="accent1"/>
          </a:solidFill>
          <a:ln>
            <a:noFill/>
          </a:ln>
          <a:effectLst/>
          <a:sp3d/>
        </c:spPr>
        <c:marker>
          <c:symbol val="none"/>
        </c:marker>
      </c:pivotFmt>
      <c:pivotFmt>
        <c:idx val="22"/>
        <c:spPr>
          <a:solidFill>
            <a:schemeClr val="accent1"/>
          </a:solidFill>
          <a:ln>
            <a:noFill/>
          </a:ln>
          <a:effectLst/>
          <a:sp3d/>
        </c:spPr>
        <c:marker>
          <c:symbol val="none"/>
        </c:marker>
      </c:pivotFmt>
      <c:pivotFmt>
        <c:idx val="23"/>
        <c:spPr>
          <a:solidFill>
            <a:schemeClr val="accent1"/>
          </a:solidFill>
          <a:ln>
            <a:noFill/>
          </a:ln>
          <a:effectLst/>
          <a:sp3d/>
        </c:spPr>
        <c:marker>
          <c:symbol val="none"/>
        </c:marker>
      </c:pivotFmt>
      <c:pivotFmt>
        <c:idx val="24"/>
        <c:spPr>
          <a:solidFill>
            <a:schemeClr val="accent1"/>
          </a:solidFill>
          <a:ln>
            <a:noFill/>
          </a:ln>
          <a:effectLst/>
          <a:sp3d/>
        </c:spPr>
        <c:marker>
          <c:symbol val="none"/>
        </c:marker>
      </c:pivotFmt>
      <c:pivotFmt>
        <c:idx val="25"/>
        <c:spPr>
          <a:solidFill>
            <a:schemeClr val="accent1"/>
          </a:solidFill>
          <a:ln>
            <a:noFill/>
          </a:ln>
          <a:effectLst/>
          <a:sp3d/>
        </c:spPr>
        <c:marker>
          <c:symbol val="none"/>
        </c:marker>
      </c:pivotFmt>
      <c:pivotFmt>
        <c:idx val="26"/>
        <c:spPr>
          <a:solidFill>
            <a:schemeClr val="accent1"/>
          </a:solidFill>
          <a:ln>
            <a:noFill/>
          </a:ln>
          <a:effectLst/>
          <a:sp3d/>
        </c:spPr>
        <c:marker>
          <c:symbol val="none"/>
        </c:marker>
      </c:pivotFmt>
      <c:pivotFmt>
        <c:idx val="27"/>
        <c:spPr>
          <a:solidFill>
            <a:schemeClr val="accent1"/>
          </a:solidFill>
          <a:ln>
            <a:noFill/>
          </a:ln>
          <a:effectLst/>
          <a:sp3d/>
        </c:spPr>
        <c:marker>
          <c:symbol val="none"/>
        </c:marker>
      </c:pivotFmt>
      <c:pivotFmt>
        <c:idx val="28"/>
        <c:spPr>
          <a:solidFill>
            <a:schemeClr val="accent1"/>
          </a:solidFill>
          <a:ln>
            <a:noFill/>
          </a:ln>
          <a:effectLst/>
          <a:sp3d/>
        </c:spPr>
        <c:marker>
          <c:symbol val="none"/>
        </c:marker>
      </c:pivotFmt>
      <c:pivotFmt>
        <c:idx val="29"/>
        <c:spPr>
          <a:solidFill>
            <a:schemeClr val="accent1"/>
          </a:solidFill>
          <a:ln>
            <a:noFill/>
          </a:ln>
          <a:effectLst/>
          <a:sp3d/>
        </c:spPr>
        <c:marker>
          <c:symbol val="none"/>
        </c:marker>
      </c:pivotFmt>
      <c:pivotFmt>
        <c:idx val="30"/>
        <c:spPr>
          <a:solidFill>
            <a:schemeClr val="accent1"/>
          </a:solidFill>
          <a:ln>
            <a:noFill/>
          </a:ln>
          <a:effectLst/>
          <a:sp3d/>
        </c:spPr>
        <c:marker>
          <c:symbol val="none"/>
        </c:marker>
      </c:pivotFmt>
      <c:pivotFmt>
        <c:idx val="31"/>
        <c:spPr>
          <a:solidFill>
            <a:schemeClr val="accent1"/>
          </a:solidFill>
          <a:ln>
            <a:noFill/>
          </a:ln>
          <a:effectLst/>
          <a:sp3d/>
        </c:spPr>
        <c:marker>
          <c:symbol val="none"/>
        </c:marker>
      </c:pivotFmt>
      <c:pivotFmt>
        <c:idx val="32"/>
        <c:spPr>
          <a:solidFill>
            <a:srgbClr val="6D6875"/>
          </a:solidFill>
          <a:ln>
            <a:noFill/>
          </a:ln>
          <a:effectLst/>
          <a:sp3d/>
        </c:spPr>
        <c:marker>
          <c:symbol val="none"/>
        </c:marker>
      </c:pivotFmt>
      <c:pivotFmt>
        <c:idx val="33"/>
        <c:spPr>
          <a:solidFill>
            <a:srgbClr val="B5838D"/>
          </a:solidFill>
          <a:ln>
            <a:noFill/>
          </a:ln>
          <a:effectLst/>
          <a:sp3d/>
        </c:spPr>
        <c:marker>
          <c:symbol val="none"/>
        </c:marker>
      </c:pivotFmt>
      <c:pivotFmt>
        <c:idx val="34"/>
        <c:spPr>
          <a:solidFill>
            <a:srgbClr val="FAE1DD"/>
          </a:solidFill>
          <a:ln>
            <a:noFill/>
          </a:ln>
          <a:effectLst/>
          <a:sp3d/>
        </c:spPr>
        <c:marker>
          <c:symbol val="none"/>
        </c:marker>
      </c:pivotFmt>
      <c:pivotFmt>
        <c:idx val="35"/>
        <c:spPr>
          <a:solidFill>
            <a:srgbClr val="E5989B"/>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845956346959898"/>
          <c:y val="4.4798351818925858E-2"/>
          <c:w val="0.83154043653040099"/>
          <c:h val="0.59841419016171371"/>
        </c:manualLayout>
      </c:layout>
      <c:bar3DChart>
        <c:barDir val="col"/>
        <c:grouping val="clustered"/>
        <c:varyColors val="0"/>
        <c:ser>
          <c:idx val="0"/>
          <c:order val="0"/>
          <c:tx>
            <c:strRef>
              <c:f>Pivots!$M$14</c:f>
              <c:strCache>
                <c:ptCount val="1"/>
                <c:pt idx="0">
                  <c:v>Sum of Total</c:v>
                </c:pt>
              </c:strCache>
            </c:strRef>
          </c:tx>
          <c:spPr>
            <a:solidFill>
              <a:srgbClr val="6D6875"/>
            </a:solidFill>
            <a:ln>
              <a:noFill/>
            </a:ln>
            <a:effectLst/>
            <a:sp3d/>
          </c:spPr>
          <c:invertIfNegative val="0"/>
          <c:cat>
            <c:strRef>
              <c:f>Pivots!$L$15:$L$21</c:f>
              <c:strCache>
                <c:ptCount val="6"/>
                <c:pt idx="0">
                  <c:v>Electronic accessories</c:v>
                </c:pt>
                <c:pt idx="1">
                  <c:v>Home and lifestyle</c:v>
                </c:pt>
                <c:pt idx="2">
                  <c:v>Health and beauty</c:v>
                </c:pt>
                <c:pt idx="3">
                  <c:v>Food and beverages</c:v>
                </c:pt>
                <c:pt idx="4">
                  <c:v>Fashion accessories</c:v>
                </c:pt>
                <c:pt idx="5">
                  <c:v>Sports and travel</c:v>
                </c:pt>
              </c:strCache>
            </c:strRef>
          </c:cat>
          <c:val>
            <c:numRef>
              <c:f>Pivots!$M$15:$M$21</c:f>
              <c:numCache>
                <c:formatCode>_-* #,##0\ _ج_._م_._‏_-;\-* #,##0\ _ج_._م_._‏_-;_-* "-"??\ _ج_._م_._‏_-;_-@_-</c:formatCode>
                <c:ptCount val="6"/>
                <c:pt idx="0">
                  <c:v>24358.1</c:v>
                </c:pt>
                <c:pt idx="1">
                  <c:v>20946.71</c:v>
                </c:pt>
                <c:pt idx="2">
                  <c:v>20511.37</c:v>
                </c:pt>
                <c:pt idx="3">
                  <c:v>18311.5</c:v>
                </c:pt>
                <c:pt idx="4">
                  <c:v>18200.21</c:v>
                </c:pt>
                <c:pt idx="5">
                  <c:v>16225.76</c:v>
                </c:pt>
              </c:numCache>
            </c:numRef>
          </c:val>
          <c:extLst>
            <c:ext xmlns:c16="http://schemas.microsoft.com/office/drawing/2014/chart" uri="{C3380CC4-5D6E-409C-BE32-E72D297353CC}">
              <c16:uniqueId val="{00000000-6C03-4E90-A6CB-97A64663B048}"/>
            </c:ext>
          </c:extLst>
        </c:ser>
        <c:ser>
          <c:idx val="1"/>
          <c:order val="1"/>
          <c:tx>
            <c:strRef>
              <c:f>Pivots!$N$14</c:f>
              <c:strCache>
                <c:ptCount val="1"/>
                <c:pt idx="0">
                  <c:v>Sum of Net Profit</c:v>
                </c:pt>
              </c:strCache>
            </c:strRef>
          </c:tx>
          <c:spPr>
            <a:solidFill>
              <a:srgbClr val="FAE1DD"/>
            </a:solidFill>
            <a:ln>
              <a:noFill/>
            </a:ln>
            <a:effectLst/>
            <a:sp3d/>
          </c:spPr>
          <c:invertIfNegative val="0"/>
          <c:cat>
            <c:strRef>
              <c:f>Pivots!$L$15:$L$21</c:f>
              <c:strCache>
                <c:ptCount val="6"/>
                <c:pt idx="0">
                  <c:v>Electronic accessories</c:v>
                </c:pt>
                <c:pt idx="1">
                  <c:v>Home and lifestyle</c:v>
                </c:pt>
                <c:pt idx="2">
                  <c:v>Health and beauty</c:v>
                </c:pt>
                <c:pt idx="3">
                  <c:v>Food and beverages</c:v>
                </c:pt>
                <c:pt idx="4">
                  <c:v>Fashion accessories</c:v>
                </c:pt>
                <c:pt idx="5">
                  <c:v>Sports and travel</c:v>
                </c:pt>
              </c:strCache>
            </c:strRef>
          </c:cat>
          <c:val>
            <c:numRef>
              <c:f>Pivots!$N$15:$N$21</c:f>
              <c:numCache>
                <c:formatCode>_-* #,##0\ _ج_._م_._‏_-;\-* #,##0\ _ج_._م_._‏_-;_-* "-"??\ _ج_._م_._‏_-;_-@_-</c:formatCode>
                <c:ptCount val="6"/>
                <c:pt idx="0">
                  <c:v>6089.5249999999996</c:v>
                </c:pt>
                <c:pt idx="1">
                  <c:v>5236.6774999999998</c:v>
                </c:pt>
                <c:pt idx="2">
                  <c:v>5127.8424999999997</c:v>
                </c:pt>
                <c:pt idx="3">
                  <c:v>4577.875</c:v>
                </c:pt>
                <c:pt idx="4">
                  <c:v>4550.0524999999998</c:v>
                </c:pt>
                <c:pt idx="5">
                  <c:v>4056.44</c:v>
                </c:pt>
              </c:numCache>
            </c:numRef>
          </c:val>
          <c:extLst>
            <c:ext xmlns:c16="http://schemas.microsoft.com/office/drawing/2014/chart" uri="{C3380CC4-5D6E-409C-BE32-E72D297353CC}">
              <c16:uniqueId val="{00000001-6C03-4E90-A6CB-97A64663B048}"/>
            </c:ext>
          </c:extLst>
        </c:ser>
        <c:ser>
          <c:idx val="2"/>
          <c:order val="2"/>
          <c:tx>
            <c:strRef>
              <c:f>Pivots!$O$14</c:f>
              <c:strCache>
                <c:ptCount val="1"/>
                <c:pt idx="0">
                  <c:v>Sum of cogs</c:v>
                </c:pt>
              </c:strCache>
            </c:strRef>
          </c:tx>
          <c:spPr>
            <a:solidFill>
              <a:srgbClr val="B5838D"/>
            </a:solidFill>
            <a:ln>
              <a:noFill/>
            </a:ln>
            <a:effectLst/>
            <a:sp3d/>
          </c:spPr>
          <c:invertIfNegative val="0"/>
          <c:cat>
            <c:strRef>
              <c:f>Pivots!$L$15:$L$21</c:f>
              <c:strCache>
                <c:ptCount val="6"/>
                <c:pt idx="0">
                  <c:v>Electronic accessories</c:v>
                </c:pt>
                <c:pt idx="1">
                  <c:v>Home and lifestyle</c:v>
                </c:pt>
                <c:pt idx="2">
                  <c:v>Health and beauty</c:v>
                </c:pt>
                <c:pt idx="3">
                  <c:v>Food and beverages</c:v>
                </c:pt>
                <c:pt idx="4">
                  <c:v>Fashion accessories</c:v>
                </c:pt>
                <c:pt idx="5">
                  <c:v>Sports and travel</c:v>
                </c:pt>
              </c:strCache>
            </c:strRef>
          </c:cat>
          <c:val>
            <c:numRef>
              <c:f>Pivots!$O$15:$O$21</c:f>
              <c:numCache>
                <c:formatCode>_-* #,##0\ _ج_._م_._‏_-;\-* #,##0\ _ج_._م_._‏_-;_-* "-"??\ _ج_._م_._‏_-;_-@_-</c:formatCode>
                <c:ptCount val="6"/>
                <c:pt idx="0">
                  <c:v>17050.669999999998</c:v>
                </c:pt>
                <c:pt idx="1">
                  <c:v>14662.697</c:v>
                </c:pt>
                <c:pt idx="2">
                  <c:v>14357.959000000001</c:v>
                </c:pt>
                <c:pt idx="3">
                  <c:v>12818.05</c:v>
                </c:pt>
                <c:pt idx="4">
                  <c:v>12740.147000000001</c:v>
                </c:pt>
                <c:pt idx="5">
                  <c:v>11358.031999999999</c:v>
                </c:pt>
              </c:numCache>
            </c:numRef>
          </c:val>
          <c:extLst>
            <c:ext xmlns:c16="http://schemas.microsoft.com/office/drawing/2014/chart" uri="{C3380CC4-5D6E-409C-BE32-E72D297353CC}">
              <c16:uniqueId val="{00000002-6C03-4E90-A6CB-97A64663B048}"/>
            </c:ext>
          </c:extLst>
        </c:ser>
        <c:ser>
          <c:idx val="3"/>
          <c:order val="3"/>
          <c:tx>
            <c:strRef>
              <c:f>Pivots!$P$14</c:f>
              <c:strCache>
                <c:ptCount val="1"/>
                <c:pt idx="0">
                  <c:v>Sum of Quantity</c:v>
                </c:pt>
              </c:strCache>
            </c:strRef>
          </c:tx>
          <c:spPr>
            <a:solidFill>
              <a:srgbClr val="E5989B"/>
            </a:solidFill>
            <a:ln>
              <a:noFill/>
            </a:ln>
            <a:effectLst/>
            <a:sp3d/>
          </c:spPr>
          <c:invertIfNegative val="0"/>
          <c:cat>
            <c:strRef>
              <c:f>Pivots!$L$15:$L$21</c:f>
              <c:strCache>
                <c:ptCount val="6"/>
                <c:pt idx="0">
                  <c:v>Electronic accessories</c:v>
                </c:pt>
                <c:pt idx="1">
                  <c:v>Home and lifestyle</c:v>
                </c:pt>
                <c:pt idx="2">
                  <c:v>Health and beauty</c:v>
                </c:pt>
                <c:pt idx="3">
                  <c:v>Food and beverages</c:v>
                </c:pt>
                <c:pt idx="4">
                  <c:v>Fashion accessories</c:v>
                </c:pt>
                <c:pt idx="5">
                  <c:v>Sports and travel</c:v>
                </c:pt>
              </c:strCache>
            </c:strRef>
          </c:cat>
          <c:val>
            <c:numRef>
              <c:f>Pivots!$P$15:$P$21</c:f>
              <c:numCache>
                <c:formatCode>_-* #,##0\ _ج_._م_._‏_-;\-* #,##0\ _ج_._م_._‏_-;_-* "-"??\ _ج_._م_._‏_-;_-@_-</c:formatCode>
                <c:ptCount val="6"/>
                <c:pt idx="0">
                  <c:v>415</c:v>
                </c:pt>
                <c:pt idx="1">
                  <c:v>357</c:v>
                </c:pt>
                <c:pt idx="2">
                  <c:v>356</c:v>
                </c:pt>
                <c:pt idx="3">
                  <c:v>337</c:v>
                </c:pt>
                <c:pt idx="4">
                  <c:v>326</c:v>
                </c:pt>
                <c:pt idx="5">
                  <c:v>300</c:v>
                </c:pt>
              </c:numCache>
            </c:numRef>
          </c:val>
          <c:extLst>
            <c:ext xmlns:c16="http://schemas.microsoft.com/office/drawing/2014/chart" uri="{C3380CC4-5D6E-409C-BE32-E72D297353CC}">
              <c16:uniqueId val="{00000003-6C03-4E90-A6CB-97A64663B048}"/>
            </c:ext>
          </c:extLst>
        </c:ser>
        <c:dLbls>
          <c:showLegendKey val="0"/>
          <c:showVal val="0"/>
          <c:showCatName val="0"/>
          <c:showSerName val="0"/>
          <c:showPercent val="0"/>
          <c:showBubbleSize val="0"/>
        </c:dLbls>
        <c:gapWidth val="150"/>
        <c:shape val="box"/>
        <c:axId val="381300944"/>
        <c:axId val="381304224"/>
        <c:axId val="0"/>
      </c:bar3DChart>
      <c:catAx>
        <c:axId val="3813009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304224"/>
        <c:crosses val="autoZero"/>
        <c:auto val="1"/>
        <c:lblAlgn val="ctr"/>
        <c:lblOffset val="100"/>
        <c:noMultiLvlLbl val="0"/>
      </c:catAx>
      <c:valAx>
        <c:axId val="381304224"/>
        <c:scaling>
          <c:orientation val="minMax"/>
        </c:scaling>
        <c:delete val="1"/>
        <c:axPos val="l"/>
        <c:numFmt formatCode="_-* #,##0\ _ج_._م_._‏_-;\-* #,##0\ _ج_._م_._‏_-;_-* &quot;-&quot;??\ _ج_._م_._‏_-;_-@_-" sourceLinked="1"/>
        <c:majorTickMark val="none"/>
        <c:minorTickMark val="none"/>
        <c:tickLblPos val="nextTo"/>
        <c:crossAx val="38130094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200" b="1" i="0" u="none" strike="noStrike" kern="1200" baseline="0">
                <a:solidFill>
                  <a:srgbClr val="6D6875"/>
                </a:solidFill>
                <a:latin typeface="+mn-lt"/>
                <a:ea typeface="+mn-ea"/>
                <a:cs typeface="+mn-cs"/>
              </a:defRPr>
            </a:pPr>
            <a:endParaRPr lang="en-US"/>
          </a:p>
        </c:txPr>
      </c:dTable>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[Amira Essam final.xlsx]Pivots!CitySales</c:name>
    <c:fmtId val="11"/>
  </c:pivotSource>
  <c:chart>
    <c:title>
      <c:tx>
        <c:rich>
          <a:bodyPr rot="0" spcFirstLastPara="1" vertOverflow="ellipsis" vert="horz" wrap="square" anchor="ctr" anchorCtr="1"/>
          <a:lstStyle/>
          <a:p>
            <a:pPr>
              <a:defRPr sz="1800" b="1" i="0" u="none" strike="noStrike" kern="1200" spc="0" baseline="0">
                <a:solidFill>
                  <a:srgbClr val="6D6875"/>
                </a:solidFill>
                <a:latin typeface="+mn-lt"/>
                <a:ea typeface="+mn-ea"/>
                <a:cs typeface="+mn-cs"/>
              </a:defRPr>
            </a:pPr>
            <a:r>
              <a:rPr lang="en-US" sz="1800" b="1" baseline="0">
                <a:solidFill>
                  <a:srgbClr val="6D6875"/>
                </a:solidFill>
              </a:rPr>
              <a:t>TOP PERFORMING BRANCH</a:t>
            </a:r>
            <a:endParaRPr lang="en-US" sz="1800" b="1">
              <a:solidFill>
                <a:srgbClr val="6D6875"/>
              </a:solidFill>
            </a:endParaRPr>
          </a:p>
        </c:rich>
      </c:tx>
      <c:layout>
        <c:manualLayout>
          <c:xMode val="edge"/>
          <c:yMode val="edge"/>
          <c:x val="0.19956888367677444"/>
          <c:y val="5.6394482178277333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rgbClr val="6D6875"/>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dLbl>
          <c:idx val="0"/>
          <c:layout>
            <c:manualLayout>
              <c:x val="2.4999999999999897E-2"/>
              <c:y val="-5.5555555555555552E-2"/>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1.3888888888888888E-2"/>
              <c:y val="-9.2592592592592546E-2"/>
            </c:manualLayout>
          </c:layout>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rgbClr val="6D6875"/>
              </a:gs>
              <a:gs pos="23000">
                <a:srgbClr val="6D6875"/>
              </a:gs>
              <a:gs pos="61000">
                <a:srgbClr val="B5838D"/>
              </a:gs>
              <a:gs pos="92000">
                <a:srgbClr val="E5989B"/>
              </a:gs>
            </a:gsLst>
            <a:lin ang="5400000" scaled="1"/>
          </a:gradFill>
          <a:ln w="9525" cap="flat">
            <a:gradFill>
              <a:gsLst>
                <a:gs pos="0">
                  <a:schemeClr val="accent1">
                    <a:lumMod val="5000"/>
                    <a:lumOff val="95000"/>
                  </a:schemeClr>
                </a:gs>
                <a:gs pos="70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pivotFmt>
      <c:pivotFmt>
        <c:idx val="7"/>
        <c:spPr>
          <a:gradFill>
            <a:gsLst>
              <a:gs pos="0">
                <a:srgbClr val="6D6875"/>
              </a:gs>
              <a:gs pos="23000">
                <a:srgbClr val="6D6875"/>
              </a:gs>
              <a:gs pos="61000">
                <a:srgbClr val="B5838D"/>
              </a:gs>
              <a:gs pos="92000">
                <a:srgbClr val="E5989B"/>
              </a:gs>
            </a:gsLst>
            <a:lin ang="5400000" scaled="1"/>
          </a:gradFill>
          <a:ln w="9525" cap="flat">
            <a:gradFill>
              <a:gsLst>
                <a:gs pos="0">
                  <a:schemeClr val="accent1">
                    <a:lumMod val="5000"/>
                    <a:lumOff val="95000"/>
                  </a:schemeClr>
                </a:gs>
                <a:gs pos="70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6D687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0">
                <a:srgbClr val="6D6875"/>
              </a:gs>
              <a:gs pos="23000">
                <a:srgbClr val="6D6875"/>
              </a:gs>
              <a:gs pos="61000">
                <a:srgbClr val="B5838D"/>
              </a:gs>
              <a:gs pos="92000">
                <a:srgbClr val="E5989B"/>
              </a:gs>
            </a:gsLst>
            <a:lin ang="5400000" scaled="1"/>
          </a:gradFill>
          <a:ln w="9525" cap="flat">
            <a:gradFill>
              <a:gsLst>
                <a:gs pos="0">
                  <a:schemeClr val="accent1">
                    <a:lumMod val="5000"/>
                    <a:lumOff val="95000"/>
                  </a:schemeClr>
                </a:gs>
                <a:gs pos="70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6D687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a:gsLst>
              <a:gs pos="0">
                <a:srgbClr val="6D6875"/>
              </a:gs>
              <a:gs pos="23000">
                <a:srgbClr val="6D6875"/>
              </a:gs>
              <a:gs pos="61000">
                <a:srgbClr val="B5838D"/>
              </a:gs>
              <a:gs pos="92000">
                <a:srgbClr val="E5989B"/>
              </a:gs>
            </a:gsLst>
            <a:lin ang="5400000" scaled="1"/>
          </a:gradFill>
          <a:ln w="9525" cap="flat">
            <a:gradFill>
              <a:gsLst>
                <a:gs pos="0">
                  <a:schemeClr val="accent1">
                    <a:lumMod val="5000"/>
                    <a:lumOff val="95000"/>
                  </a:schemeClr>
                </a:gs>
                <a:gs pos="70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6D687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a:gsLst>
              <a:gs pos="0">
                <a:srgbClr val="6D6875"/>
              </a:gs>
              <a:gs pos="72000">
                <a:srgbClr val="B5838D"/>
              </a:gs>
              <a:gs pos="96000">
                <a:srgbClr val="B5838D"/>
              </a:gs>
            </a:gsLst>
            <a:lin ang="5400000" scaled="1"/>
          </a:gradFill>
          <a:ln w="9525" cap="flat">
            <a:gradFill>
              <a:gsLst>
                <a:gs pos="0">
                  <a:schemeClr val="accent1">
                    <a:lumMod val="5000"/>
                    <a:lumOff val="95000"/>
                  </a:schemeClr>
                </a:gs>
                <a:gs pos="70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6D687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a:gsLst>
              <a:gs pos="0">
                <a:srgbClr val="6D6875"/>
              </a:gs>
              <a:gs pos="72000">
                <a:srgbClr val="B5838D"/>
              </a:gs>
              <a:gs pos="96000">
                <a:srgbClr val="B5838D"/>
              </a:gs>
            </a:gsLst>
            <a:lin ang="5400000" scaled="1"/>
          </a:gradFill>
          <a:ln w="9525" cap="flat">
            <a:gradFill>
              <a:gsLst>
                <a:gs pos="0">
                  <a:schemeClr val="accent1">
                    <a:lumMod val="5000"/>
                    <a:lumOff val="95000"/>
                  </a:schemeClr>
                </a:gs>
                <a:gs pos="70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6D687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a:gsLst>
              <a:gs pos="0">
                <a:srgbClr val="6D6875"/>
              </a:gs>
              <a:gs pos="72000">
                <a:srgbClr val="B5838D"/>
              </a:gs>
              <a:gs pos="96000">
                <a:srgbClr val="B5838D"/>
              </a:gs>
            </a:gsLst>
            <a:lin ang="5400000" scaled="1"/>
          </a:gradFill>
          <a:ln w="9525" cap="flat">
            <a:gradFill>
              <a:gsLst>
                <a:gs pos="0">
                  <a:schemeClr val="accent1">
                    <a:lumMod val="5000"/>
                    <a:lumOff val="95000"/>
                  </a:schemeClr>
                </a:gs>
                <a:gs pos="70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6D687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a:gsLst>
              <a:gs pos="0">
                <a:srgbClr val="6D6875"/>
              </a:gs>
              <a:gs pos="72000">
                <a:srgbClr val="B5838D"/>
              </a:gs>
              <a:gs pos="96000">
                <a:srgbClr val="B5838D"/>
              </a:gs>
            </a:gsLst>
            <a:lin ang="5400000" scaled="1"/>
          </a:gradFill>
          <a:ln w="9525" cap="flat">
            <a:gradFill>
              <a:gsLst>
                <a:gs pos="0">
                  <a:schemeClr val="accent1">
                    <a:lumMod val="5000"/>
                    <a:lumOff val="95000"/>
                  </a:schemeClr>
                </a:gs>
                <a:gs pos="70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6D687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a:gsLst>
              <a:gs pos="0">
                <a:srgbClr val="6D6875"/>
              </a:gs>
              <a:gs pos="72000">
                <a:srgbClr val="B5838D"/>
              </a:gs>
              <a:gs pos="96000">
                <a:srgbClr val="B5838D"/>
              </a:gs>
            </a:gsLst>
            <a:lin ang="5400000" scaled="1"/>
          </a:gradFill>
          <a:ln w="9525" cap="flat">
            <a:gradFill>
              <a:gsLst>
                <a:gs pos="0">
                  <a:schemeClr val="accent1">
                    <a:lumMod val="5000"/>
                    <a:lumOff val="95000"/>
                  </a:schemeClr>
                </a:gs>
                <a:gs pos="70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6D687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a:gsLst>
              <a:gs pos="0">
                <a:srgbClr val="6D6875"/>
              </a:gs>
              <a:gs pos="72000">
                <a:srgbClr val="B5838D"/>
              </a:gs>
              <a:gs pos="96000">
                <a:srgbClr val="B5838D"/>
              </a:gs>
            </a:gsLst>
            <a:lin ang="5400000" scaled="1"/>
          </a:gradFill>
          <a:ln w="9525" cap="flat">
            <a:gradFill>
              <a:gsLst>
                <a:gs pos="0">
                  <a:schemeClr val="accent1">
                    <a:lumMod val="5000"/>
                    <a:lumOff val="95000"/>
                  </a:schemeClr>
                </a:gs>
                <a:gs pos="70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6D687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a:gsLst>
              <a:gs pos="0">
                <a:srgbClr val="6D6875"/>
              </a:gs>
              <a:gs pos="72000">
                <a:srgbClr val="B5838D"/>
              </a:gs>
              <a:gs pos="96000">
                <a:srgbClr val="B5838D"/>
              </a:gs>
            </a:gsLst>
            <a:lin ang="5400000" scaled="1"/>
          </a:gradFill>
          <a:ln w="9525" cap="flat">
            <a:gradFill>
              <a:gsLst>
                <a:gs pos="0">
                  <a:schemeClr val="accent1">
                    <a:lumMod val="5000"/>
                    <a:lumOff val="95000"/>
                  </a:schemeClr>
                </a:gs>
                <a:gs pos="70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6D687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flip="none" rotWithShape="1">
            <a:gsLst>
              <a:gs pos="0">
                <a:srgbClr val="6D6875"/>
              </a:gs>
              <a:gs pos="72000">
                <a:srgbClr val="B5838D"/>
              </a:gs>
              <a:gs pos="96000">
                <a:srgbClr val="B5838D"/>
              </a:gs>
            </a:gsLst>
            <a:lin ang="5400000" scaled="0"/>
            <a:tileRect/>
          </a:gradFill>
          <a:ln w="9525" cap="flat">
            <a:gradFill>
              <a:gsLst>
                <a:gs pos="0">
                  <a:schemeClr val="accent1">
                    <a:lumMod val="5000"/>
                    <a:lumOff val="95000"/>
                  </a:schemeClr>
                </a:gs>
                <a:gs pos="70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6D687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flip="none" rotWithShape="1">
            <a:gsLst>
              <a:gs pos="0">
                <a:srgbClr val="6D6875">
                  <a:shade val="30000"/>
                  <a:satMod val="115000"/>
                </a:srgbClr>
              </a:gs>
              <a:gs pos="50000">
                <a:srgbClr val="6D6875">
                  <a:shade val="67500"/>
                  <a:satMod val="115000"/>
                </a:srgbClr>
              </a:gs>
              <a:gs pos="100000">
                <a:srgbClr val="6D6875">
                  <a:shade val="100000"/>
                  <a:satMod val="115000"/>
                </a:srgbClr>
              </a:gs>
            </a:gsLst>
            <a:lin ang="0" scaled="1"/>
            <a:tileRect/>
          </a:gradFill>
          <a:ln>
            <a:noFill/>
          </a:ln>
          <a:effectLst>
            <a:outerShdw blurRad="50800" dist="38100" dir="2700000" algn="tl" rotWithShape="0">
              <a:prstClr val="black">
                <a:alpha val="40000"/>
              </a:prstClr>
            </a:outerShdw>
          </a:effectLst>
        </c:spPr>
        <c:marker>
          <c:symbol val="none"/>
        </c:marker>
        <c:dLbl>
          <c:idx val="0"/>
          <c:layout/>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6D687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1.9900497512437811E-2"/>
          <c:y val="0.16709193245778611"/>
          <c:w val="0.94527363184079605"/>
          <c:h val="0.7506814790740276"/>
        </c:manualLayout>
      </c:layout>
      <c:barChart>
        <c:barDir val="col"/>
        <c:grouping val="clustered"/>
        <c:varyColors val="0"/>
        <c:ser>
          <c:idx val="0"/>
          <c:order val="0"/>
          <c:tx>
            <c:strRef>
              <c:f>Pivots!$J$20</c:f>
              <c:strCache>
                <c:ptCount val="1"/>
                <c:pt idx="0">
                  <c:v>Total</c:v>
                </c:pt>
              </c:strCache>
            </c:strRef>
          </c:tx>
          <c:spPr>
            <a:gradFill flip="none" rotWithShape="1">
              <a:gsLst>
                <a:gs pos="0">
                  <a:srgbClr val="6D6875">
                    <a:shade val="30000"/>
                    <a:satMod val="115000"/>
                  </a:srgbClr>
                </a:gs>
                <a:gs pos="50000">
                  <a:srgbClr val="6D6875">
                    <a:shade val="67500"/>
                    <a:satMod val="115000"/>
                  </a:srgbClr>
                </a:gs>
                <a:gs pos="100000">
                  <a:srgbClr val="6D6875">
                    <a:shade val="100000"/>
                    <a:satMod val="115000"/>
                  </a:srgbClr>
                </a:gs>
              </a:gsLst>
              <a:lin ang="0" scaled="1"/>
              <a:tileRect/>
            </a:gradFill>
            <a:ln>
              <a:noFill/>
            </a:ln>
            <a:effectLst>
              <a:outerShdw blurRad="50800" dist="38100" dir="2700000" algn="tl" rotWithShape="0">
                <a:prstClr val="black">
                  <a:alpha val="40000"/>
                </a:prstClr>
              </a:outerShdw>
            </a:effectLst>
          </c:spPr>
          <c:invertIfNegative val="0"/>
          <c:dLbls>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6D687F"/>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Pivots!$I$21:$I$24</c:f>
              <c:strCache>
                <c:ptCount val="3"/>
                <c:pt idx="0">
                  <c:v>Br. A (Yangon)</c:v>
                </c:pt>
                <c:pt idx="1">
                  <c:v>Br. B (Mandalay)</c:v>
                </c:pt>
                <c:pt idx="2">
                  <c:v>Br. C (Naypyitaw)</c:v>
                </c:pt>
              </c:strCache>
            </c:strRef>
          </c:cat>
          <c:val>
            <c:numRef>
              <c:f>Pivots!$J$21:$J$24</c:f>
              <c:numCache>
                <c:formatCode>_-* #,##0\ _ج_._م_._‏_-;\-* #,##0\ _ج_._م_._‏_-;_-* "-"??\ _ج_._م_._‏_-;_-@_-</c:formatCode>
                <c:ptCount val="3"/>
                <c:pt idx="0">
                  <c:v>38716.17</c:v>
                </c:pt>
                <c:pt idx="1">
                  <c:v>40951.71</c:v>
                </c:pt>
                <c:pt idx="2">
                  <c:v>38885.769999999997</c:v>
                </c:pt>
              </c:numCache>
            </c:numRef>
          </c:val>
          <c:extLst>
            <c:ext xmlns:c16="http://schemas.microsoft.com/office/drawing/2014/chart" uri="{C3380CC4-5D6E-409C-BE32-E72D297353CC}">
              <c16:uniqueId val="{00000000-E09F-47C9-AEBF-EDB177A02639}"/>
            </c:ext>
          </c:extLst>
        </c:ser>
        <c:dLbls>
          <c:dLblPos val="outEnd"/>
          <c:showLegendKey val="0"/>
          <c:showVal val="1"/>
          <c:showCatName val="0"/>
          <c:showSerName val="0"/>
          <c:showPercent val="0"/>
          <c:showBubbleSize val="0"/>
        </c:dLbls>
        <c:gapWidth val="150"/>
        <c:axId val="536077112"/>
        <c:axId val="536078096"/>
      </c:barChart>
      <c:catAx>
        <c:axId val="53607711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rgbClr val="6D6875"/>
                </a:solidFill>
                <a:latin typeface="+mn-lt"/>
                <a:ea typeface="+mn-ea"/>
                <a:cs typeface="+mn-cs"/>
              </a:defRPr>
            </a:pPr>
            <a:endParaRPr lang="en-US"/>
          </a:p>
        </c:txPr>
        <c:crossAx val="536078096"/>
        <c:crosses val="autoZero"/>
        <c:auto val="1"/>
        <c:lblAlgn val="ctr"/>
        <c:lblOffset val="100"/>
        <c:noMultiLvlLbl val="0"/>
      </c:catAx>
      <c:valAx>
        <c:axId val="536078096"/>
        <c:scaling>
          <c:orientation val="minMax"/>
        </c:scaling>
        <c:delete val="1"/>
        <c:axPos val="l"/>
        <c:numFmt formatCode="_-* #,##0\ _ج_._م_._‏_-;\-* #,##0\ _ج_._م_._‏_-;_-* &quot;-&quot;??\ _ج_._م_._‏_-;_-@_-" sourceLinked="1"/>
        <c:majorTickMark val="out"/>
        <c:minorTickMark val="none"/>
        <c:tickLblPos val="nextTo"/>
        <c:crossAx val="53607711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r>
              <a:rPr lang="en-US" sz="1800">
                <a:solidFill>
                  <a:srgbClr val="6D6875"/>
                </a:solidFill>
              </a:rPr>
              <a:t>TOTAL</a:t>
            </a:r>
            <a:r>
              <a:rPr lang="en-US" sz="1800" baseline="0">
                <a:solidFill>
                  <a:srgbClr val="6D6875"/>
                </a:solidFill>
              </a:rPr>
              <a:t> SALES DISTRIBUTION</a:t>
            </a:r>
            <a:endParaRPr lang="en-US" sz="1800"/>
          </a:p>
        </c:rich>
      </c:tx>
      <c:layout>
        <c:manualLayout>
          <c:xMode val="edge"/>
          <c:yMode val="edge"/>
          <c:x val="0.16198818897637796"/>
          <c:y val="0.19569493369249893"/>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endParaRPr lang="en-US"/>
        </a:p>
      </c:txPr>
    </c:title>
    <c:autoTitleDeleted val="0"/>
    <c:plotArea>
      <c:layout>
        <c:manualLayout>
          <c:layoutTarget val="inner"/>
          <c:xMode val="edge"/>
          <c:yMode val="edge"/>
          <c:x val="0.15728548931383576"/>
          <c:y val="0.28855917625681404"/>
          <c:w val="0.55273093363329584"/>
          <c:h val="0.59524869775893396"/>
        </c:manualLayout>
      </c:layout>
      <c:doughnutChart>
        <c:varyColors val="1"/>
        <c:ser>
          <c:idx val="0"/>
          <c:order val="0"/>
          <c:spPr>
            <a:ln w="15875"/>
          </c:spPr>
          <c:dPt>
            <c:idx val="0"/>
            <c:bubble3D val="0"/>
            <c:spPr>
              <a:solidFill>
                <a:srgbClr val="6D6875"/>
              </a:solidFill>
              <a:ln w="15875">
                <a:solidFill>
                  <a:schemeClr val="lt1"/>
                </a:solidFill>
              </a:ln>
              <a:effectLst/>
            </c:spPr>
            <c:extLst>
              <c:ext xmlns:c16="http://schemas.microsoft.com/office/drawing/2014/chart" uri="{C3380CC4-5D6E-409C-BE32-E72D297353CC}">
                <c16:uniqueId val="{00000001-1996-43E1-A004-E221972A8BE1}"/>
              </c:ext>
            </c:extLst>
          </c:dPt>
          <c:dPt>
            <c:idx val="1"/>
            <c:bubble3D val="0"/>
            <c:spPr>
              <a:solidFill>
                <a:srgbClr val="B5838D"/>
              </a:solidFill>
              <a:ln w="15875">
                <a:solidFill>
                  <a:schemeClr val="lt1"/>
                </a:solidFill>
              </a:ln>
              <a:effectLst/>
            </c:spPr>
            <c:extLst>
              <c:ext xmlns:c16="http://schemas.microsoft.com/office/drawing/2014/chart" uri="{C3380CC4-5D6E-409C-BE32-E72D297353CC}">
                <c16:uniqueId val="{00000003-1996-43E1-A004-E221972A8BE1}"/>
              </c:ext>
            </c:extLst>
          </c:dPt>
          <c:dPt>
            <c:idx val="2"/>
            <c:bubble3D val="0"/>
            <c:spPr>
              <a:solidFill>
                <a:srgbClr val="FAE1DD"/>
              </a:solidFill>
              <a:ln w="15875">
                <a:solidFill>
                  <a:schemeClr val="lt1"/>
                </a:solidFill>
              </a:ln>
              <a:effectLst/>
            </c:spPr>
            <c:extLst>
              <c:ext xmlns:c16="http://schemas.microsoft.com/office/drawing/2014/chart" uri="{C3380CC4-5D6E-409C-BE32-E72D297353CC}">
                <c16:uniqueId val="{00000005-1996-43E1-A004-E221972A8BE1}"/>
              </c:ext>
            </c:extLst>
          </c:dPt>
          <c:dLbls>
            <c:dLbl>
              <c:idx val="2"/>
              <c:spPr>
                <a:noFill/>
                <a:ln>
                  <a:noFill/>
                </a:ln>
                <a:effectLst/>
              </c:spPr>
              <c:txPr>
                <a:bodyPr rot="0" spcFirstLastPara="1" vertOverflow="ellipsis" vert="horz" wrap="square" anchor="ctr" anchorCtr="1"/>
                <a:lstStyle/>
                <a:p>
                  <a:pPr>
                    <a:defRPr sz="1400" b="1" i="0" u="none" strike="noStrike" kern="1200" baseline="0">
                      <a:solidFill>
                        <a:srgbClr val="6D6875"/>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5-1996-43E1-A004-E221972A8BE1}"/>
                </c:ext>
              </c:extLst>
            </c:dLbl>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Pivots!$A$9:$A$11</c:f>
              <c:strCache>
                <c:ptCount val="3"/>
                <c:pt idx="0">
                  <c:v>Cogs %</c:v>
                </c:pt>
                <c:pt idx="1">
                  <c:v>Tax</c:v>
                </c:pt>
                <c:pt idx="2">
                  <c:v>Profit %</c:v>
                </c:pt>
              </c:strCache>
            </c:strRef>
          </c:cat>
          <c:val>
            <c:numRef>
              <c:f>Pivots!$B$9:$B$11</c:f>
              <c:numCache>
                <c:formatCode>0%</c:formatCode>
                <c:ptCount val="3"/>
                <c:pt idx="0">
                  <c:v>0.7</c:v>
                </c:pt>
                <c:pt idx="1">
                  <c:v>0.05</c:v>
                </c:pt>
                <c:pt idx="2">
                  <c:v>0.25</c:v>
                </c:pt>
              </c:numCache>
            </c:numRef>
          </c:val>
          <c:extLst>
            <c:ext xmlns:c16="http://schemas.microsoft.com/office/drawing/2014/chart" uri="{C3380CC4-5D6E-409C-BE32-E72D297353CC}">
              <c16:uniqueId val="{00000006-1996-43E1-A004-E221972A8BE1}"/>
            </c:ext>
          </c:extLst>
        </c:ser>
        <c:dLbls>
          <c:showLegendKey val="0"/>
          <c:showVal val="1"/>
          <c:showCatName val="0"/>
          <c:showSerName val="0"/>
          <c:showPercent val="0"/>
          <c:showBubbleSize val="0"/>
          <c:showLeaderLines val="1"/>
        </c:dLbls>
        <c:firstSliceAng val="50"/>
        <c:holeSize val="50"/>
      </c:doughnutChart>
      <c:spPr>
        <a:noFill/>
        <a:ln>
          <a:noFill/>
        </a:ln>
        <a:effectLst/>
      </c:spPr>
    </c:plotArea>
    <c:legend>
      <c:legendPos val="r"/>
      <c:layout>
        <c:manualLayout>
          <c:xMode val="edge"/>
          <c:yMode val="edge"/>
          <c:x val="0.75319842519685043"/>
          <c:y val="0.45716317383404004"/>
          <c:w val="0.16757210348706411"/>
          <c:h val="0.18696240097647368"/>
        </c:manualLayout>
      </c:layout>
      <c:overlay val="0"/>
      <c:spPr>
        <a:noFill/>
        <a:ln>
          <a:noFill/>
        </a:ln>
        <a:effectLst/>
      </c:spPr>
      <c:txPr>
        <a:bodyPr rot="0" spcFirstLastPara="1" vertOverflow="ellipsis" vert="horz" wrap="square" anchor="ctr" anchorCtr="1"/>
        <a:lstStyle/>
        <a:p>
          <a:pPr>
            <a:defRPr sz="1200" b="1" i="0" u="none" strike="noStrike" kern="1200" baseline="0">
              <a:solidFill>
                <a:srgbClr val="6D6875"/>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sz="1100" b="1">
          <a:solidFill>
            <a:schemeClr val="bg1"/>
          </a:solidFill>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[Amira Essam final.xlsx]Pivots!CustomerType</c:name>
    <c:fmtId val="24"/>
  </c:pivotSource>
  <c:chart>
    <c:title>
      <c:tx>
        <c:rich>
          <a:bodyPr rot="0" spcFirstLastPara="1" vertOverflow="ellipsis" vert="horz" wrap="square" anchor="ctr" anchorCtr="1"/>
          <a:lstStyle/>
          <a:p>
            <a:pPr>
              <a:defRPr sz="1800" b="1" i="0" u="none" strike="noStrike" kern="1200" spc="0" baseline="0">
                <a:solidFill>
                  <a:srgbClr val="6D6875"/>
                </a:solidFill>
                <a:latin typeface="+mn-lt"/>
                <a:ea typeface="+mn-ea"/>
                <a:cs typeface="+mn-cs"/>
              </a:defRPr>
            </a:pPr>
            <a:r>
              <a:rPr lang="en-US" sz="1800" b="1">
                <a:solidFill>
                  <a:srgbClr val="6D6875"/>
                </a:solidFill>
              </a:rPr>
              <a:t>SALES</a:t>
            </a:r>
            <a:r>
              <a:rPr lang="en-US" sz="1800" b="1" baseline="0">
                <a:solidFill>
                  <a:srgbClr val="6D6875"/>
                </a:solidFill>
              </a:rPr>
              <a:t> % PER CUSTOMER TYPE</a:t>
            </a:r>
            <a:endParaRPr lang="en-US" sz="1800" b="1">
              <a:solidFill>
                <a:srgbClr val="6D6875"/>
              </a:solidFill>
            </a:endParaRPr>
          </a:p>
        </c:rich>
      </c:tx>
      <c:layout>
        <c:manualLayout>
          <c:xMode val="edge"/>
          <c:yMode val="edge"/>
          <c:x val="0.1022041245583046"/>
          <c:y val="5.5967548037705518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rgbClr val="6D6875"/>
              </a:solidFill>
              <a:latin typeface="+mn-lt"/>
              <a:ea typeface="+mn-ea"/>
              <a:cs typeface="+mn-cs"/>
            </a:defRPr>
          </a:pPr>
          <a:endParaRPr lang="en-US"/>
        </a:p>
      </c:txPr>
    </c:title>
    <c:autoTitleDeleted val="0"/>
    <c:pivotFmts>
      <c:pivotFmt>
        <c:idx val="0"/>
        <c:spPr>
          <a:gradFill flip="none" rotWithShape="1">
            <a:gsLst>
              <a:gs pos="80000">
                <a:srgbClr val="B5838D"/>
              </a:gs>
              <a:gs pos="24000">
                <a:srgbClr val="6D6875"/>
              </a:gs>
              <a:gs pos="100000">
                <a:srgbClr val="B5838D"/>
              </a:gs>
            </a:gsLst>
            <a:lin ang="5400000" scaled="1"/>
            <a:tileRect/>
          </a:gradFill>
          <a:ln>
            <a:noFill/>
          </a:ln>
          <a:effectLst>
            <a:outerShdw blurRad="50800" dist="38100" dir="2700000" algn="tl" rotWithShape="0">
              <a:prstClr val="black">
                <a:alpha val="40000"/>
              </a:prstClr>
            </a:outerShdw>
          </a:effectLst>
        </c:spPr>
        <c:marker>
          <c:symbol val="none"/>
        </c:marker>
      </c:pivotFmt>
      <c:pivotFmt>
        <c:idx val="1"/>
        <c:spPr>
          <a:gradFill flip="none" rotWithShape="1">
            <a:gsLst>
              <a:gs pos="80000">
                <a:srgbClr val="B5838D"/>
              </a:gs>
              <a:gs pos="24000">
                <a:srgbClr val="6D6875"/>
              </a:gs>
              <a:gs pos="100000">
                <a:srgbClr val="B5838D"/>
              </a:gs>
            </a:gsLst>
            <a:lin ang="5400000" scaled="1"/>
            <a:tileRect/>
          </a:gradFill>
          <a:ln>
            <a:noFill/>
          </a:ln>
          <a:effectLst>
            <a:outerShdw blurRad="50800" dist="38100" dir="2700000" algn="tl"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80000">
                <a:srgbClr val="B5838D"/>
              </a:gs>
              <a:gs pos="24000">
                <a:srgbClr val="6D6875"/>
              </a:gs>
              <a:gs pos="100000">
                <a:srgbClr val="B5838D"/>
              </a:gs>
            </a:gsLst>
            <a:lin ang="5400000" scaled="1"/>
            <a:tileRect/>
          </a:gra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80000">
                <a:srgbClr val="B5838D"/>
              </a:gs>
              <a:gs pos="24000">
                <a:srgbClr val="6D6875"/>
              </a:gs>
              <a:gs pos="100000">
                <a:srgbClr val="B5838D"/>
              </a:gs>
            </a:gsLst>
            <a:lin ang="5400000" scaled="1"/>
            <a:tileRect/>
          </a:gra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6D687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rgbClr val="6D687F">
                  <a:shade val="30000"/>
                  <a:satMod val="115000"/>
                </a:srgbClr>
              </a:gs>
              <a:gs pos="50000">
                <a:srgbClr val="6D687F">
                  <a:shade val="67500"/>
                  <a:satMod val="115000"/>
                </a:srgbClr>
              </a:gs>
              <a:gs pos="100000">
                <a:srgbClr val="6D687F">
                  <a:shade val="100000"/>
                  <a:satMod val="115000"/>
                </a:srgbClr>
              </a:gs>
            </a:gsLst>
            <a:lin ang="5400000" scaled="1"/>
            <a:tileRect/>
          </a:gra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6D687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rgbClr val="6D687F">
                  <a:shade val="30000"/>
                  <a:satMod val="115000"/>
                </a:srgbClr>
              </a:gs>
              <a:gs pos="50000">
                <a:srgbClr val="6D687F">
                  <a:shade val="67500"/>
                  <a:satMod val="115000"/>
                </a:srgbClr>
              </a:gs>
              <a:gs pos="100000">
                <a:srgbClr val="6D687F">
                  <a:shade val="100000"/>
                  <a:satMod val="115000"/>
                </a:srgbClr>
              </a:gs>
            </a:gsLst>
            <a:lin ang="5400000" scaled="1"/>
            <a:tileRect/>
          </a:gra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6D687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rgbClr val="6D687F">
                  <a:shade val="30000"/>
                  <a:satMod val="115000"/>
                </a:srgbClr>
              </a:gs>
              <a:gs pos="50000">
                <a:srgbClr val="6D687F">
                  <a:shade val="67500"/>
                  <a:satMod val="115000"/>
                </a:srgbClr>
              </a:gs>
              <a:gs pos="100000">
                <a:srgbClr val="6D687F">
                  <a:shade val="100000"/>
                  <a:satMod val="115000"/>
                </a:srgbClr>
              </a:gs>
            </a:gsLst>
            <a:lin ang="5400000" scaled="1"/>
            <a:tileRect/>
          </a:gra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6D687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rgbClr val="6D687F">
                  <a:shade val="30000"/>
                  <a:satMod val="115000"/>
                </a:srgbClr>
              </a:gs>
              <a:gs pos="50000">
                <a:srgbClr val="6D687F">
                  <a:shade val="67500"/>
                  <a:satMod val="115000"/>
                </a:srgbClr>
              </a:gs>
              <a:gs pos="100000">
                <a:srgbClr val="6D687F">
                  <a:shade val="100000"/>
                  <a:satMod val="115000"/>
                </a:srgbClr>
              </a:gs>
            </a:gsLst>
            <a:lin ang="5400000" scaled="1"/>
            <a:tileRect/>
          </a:gra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6D687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rgbClr val="6D687F">
                  <a:shade val="30000"/>
                  <a:satMod val="115000"/>
                </a:srgbClr>
              </a:gs>
              <a:gs pos="50000">
                <a:srgbClr val="6D687F">
                  <a:shade val="67500"/>
                  <a:satMod val="115000"/>
                </a:srgbClr>
              </a:gs>
              <a:gs pos="100000">
                <a:srgbClr val="6D687F">
                  <a:shade val="100000"/>
                  <a:satMod val="115000"/>
                </a:srgbClr>
              </a:gs>
            </a:gsLst>
            <a:lin ang="0" scaled="1"/>
            <a:tileRect/>
          </a:gradFill>
          <a:ln>
            <a:noFill/>
          </a:ln>
          <a:effectLst>
            <a:outerShdw blurRad="50800" dist="38100" dir="2700000" algn="tl" rotWithShape="0">
              <a:prstClr val="black">
                <a:alpha val="40000"/>
              </a:prst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6D687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8.6834259245847076E-2"/>
          <c:y val="0.1542243090173212"/>
          <c:w val="0.84229496574529095"/>
          <c:h val="0.73423118480005534"/>
        </c:manualLayout>
      </c:layout>
      <c:barChart>
        <c:barDir val="col"/>
        <c:grouping val="clustered"/>
        <c:varyColors val="0"/>
        <c:ser>
          <c:idx val="0"/>
          <c:order val="0"/>
          <c:tx>
            <c:strRef>
              <c:f>Pivots!$G$40</c:f>
              <c:strCache>
                <c:ptCount val="1"/>
                <c:pt idx="0">
                  <c:v>Total</c:v>
                </c:pt>
              </c:strCache>
            </c:strRef>
          </c:tx>
          <c:spPr>
            <a:gradFill flip="none" rotWithShape="1">
              <a:gsLst>
                <a:gs pos="0">
                  <a:srgbClr val="6D687F">
                    <a:shade val="30000"/>
                    <a:satMod val="115000"/>
                  </a:srgbClr>
                </a:gs>
                <a:gs pos="50000">
                  <a:srgbClr val="6D687F">
                    <a:shade val="67500"/>
                    <a:satMod val="115000"/>
                  </a:srgbClr>
                </a:gs>
                <a:gs pos="100000">
                  <a:srgbClr val="6D687F">
                    <a:shade val="100000"/>
                    <a:satMod val="115000"/>
                  </a:srgbClr>
                </a:gs>
              </a:gsLst>
              <a:lin ang="0" scaled="1"/>
              <a:tileRect/>
            </a:gra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6D687F"/>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Pivots!$F$41:$F$43</c:f>
              <c:strCache>
                <c:ptCount val="2"/>
                <c:pt idx="0">
                  <c:v>Member</c:v>
                </c:pt>
                <c:pt idx="1">
                  <c:v>Normal</c:v>
                </c:pt>
              </c:strCache>
            </c:strRef>
          </c:cat>
          <c:val>
            <c:numRef>
              <c:f>Pivots!$G$41:$G$43</c:f>
              <c:numCache>
                <c:formatCode>0%</c:formatCode>
                <c:ptCount val="2"/>
                <c:pt idx="0">
                  <c:v>0.54079111018513559</c:v>
                </c:pt>
                <c:pt idx="1">
                  <c:v>0.45920888981486441</c:v>
                </c:pt>
              </c:numCache>
            </c:numRef>
          </c:val>
          <c:extLst>
            <c:ext xmlns:c16="http://schemas.microsoft.com/office/drawing/2014/chart" uri="{C3380CC4-5D6E-409C-BE32-E72D297353CC}">
              <c16:uniqueId val="{00000000-EFF0-4695-B00B-86A3FE1A92EB}"/>
            </c:ext>
          </c:extLst>
        </c:ser>
        <c:dLbls>
          <c:dLblPos val="outEnd"/>
          <c:showLegendKey val="0"/>
          <c:showVal val="1"/>
          <c:showCatName val="0"/>
          <c:showSerName val="0"/>
          <c:showPercent val="0"/>
          <c:showBubbleSize val="0"/>
        </c:dLbls>
        <c:gapWidth val="219"/>
        <c:overlap val="-27"/>
        <c:axId val="547086488"/>
        <c:axId val="547084520"/>
      </c:barChart>
      <c:catAx>
        <c:axId val="547086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rgbClr val="6D6875"/>
                </a:solidFill>
                <a:latin typeface="+mn-lt"/>
                <a:ea typeface="+mn-ea"/>
                <a:cs typeface="+mn-cs"/>
              </a:defRPr>
            </a:pPr>
            <a:endParaRPr lang="en-US"/>
          </a:p>
        </c:txPr>
        <c:crossAx val="547084520"/>
        <c:crosses val="autoZero"/>
        <c:auto val="1"/>
        <c:lblAlgn val="ctr"/>
        <c:lblOffset val="100"/>
        <c:noMultiLvlLbl val="0"/>
      </c:catAx>
      <c:valAx>
        <c:axId val="547084520"/>
        <c:scaling>
          <c:orientation val="minMax"/>
          <c:max val="0.70000000000000007"/>
          <c:min val="0"/>
        </c:scaling>
        <c:delete val="1"/>
        <c:axPos val="l"/>
        <c:numFmt formatCode="0%" sourceLinked="1"/>
        <c:majorTickMark val="out"/>
        <c:minorTickMark val="none"/>
        <c:tickLblPos val="nextTo"/>
        <c:crossAx val="54708648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[Amira Essam final.xlsx]Pivots!ProductLineReturns</c:name>
    <c:fmtId val="8"/>
  </c:pivotSource>
  <c:chart>
    <c:title>
      <c:tx>
        <c:rich>
          <a:bodyPr rot="0" spcFirstLastPara="1" vertOverflow="ellipsis" vert="horz" wrap="square" anchor="ctr" anchorCtr="1"/>
          <a:lstStyle/>
          <a:p>
            <a:pPr>
              <a:defRPr sz="1800" b="1" i="0" u="none" strike="noStrike" kern="1200" spc="0" baseline="0">
                <a:solidFill>
                  <a:srgbClr val="6D6875"/>
                </a:solidFill>
                <a:latin typeface="+mn-lt"/>
                <a:ea typeface="+mn-ea"/>
                <a:cs typeface="+mn-cs"/>
              </a:defRPr>
            </a:pPr>
            <a:r>
              <a:rPr lang="en-US" sz="1800" b="1" baseline="0">
                <a:solidFill>
                  <a:srgbClr val="6D6875"/>
                </a:solidFill>
              </a:rPr>
              <a:t>UNITS SOLD VS. RETURNED PER PODUCT LINE</a:t>
            </a:r>
            <a:endParaRPr lang="en-US" sz="1800" b="1">
              <a:solidFill>
                <a:srgbClr val="6D6875"/>
              </a:solidFill>
            </a:endParaRPr>
          </a:p>
        </c:rich>
      </c:tx>
      <c:layout>
        <c:manualLayout>
          <c:xMode val="edge"/>
          <c:yMode val="edge"/>
          <c:x val="0.116041302214176"/>
          <c:y val="4.6075624578413313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rgbClr val="6D6875"/>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rgbClr val="9A8C9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A8C9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C9184A"/>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6D687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rgbClr val="6D6875"/>
          </a:solidFill>
          <a:ln>
            <a:noFill/>
          </a:ln>
          <a:effectLst>
            <a:outerShdw blurRad="50800" dist="38100" algn="l" rotWithShape="0">
              <a:prstClr val="black">
                <a:alpha val="40000"/>
              </a:prst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6D687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3.1567080045095827E-2"/>
          <c:y val="0.16332665330661322"/>
          <c:w val="0.95039458850056369"/>
          <c:h val="0.6749760939201237"/>
        </c:manualLayout>
      </c:layout>
      <c:barChart>
        <c:barDir val="col"/>
        <c:grouping val="clustered"/>
        <c:varyColors val="0"/>
        <c:ser>
          <c:idx val="0"/>
          <c:order val="0"/>
          <c:tx>
            <c:strRef>
              <c:f>Pivots!$N$54:$N$55</c:f>
              <c:strCache>
                <c:ptCount val="1"/>
                <c:pt idx="0">
                  <c:v>Returned</c:v>
                </c:pt>
              </c:strCache>
            </c:strRef>
          </c:tx>
          <c:spPr>
            <a:solidFill>
              <a:srgbClr val="C9184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6D687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trendline>
            <c:spPr>
              <a:ln w="19050" cap="rnd">
                <a:solidFill>
                  <a:srgbClr val="C9184A"/>
                </a:solidFill>
                <a:prstDash val="sysDot"/>
              </a:ln>
              <a:effectLst/>
            </c:spPr>
            <c:trendlineType val="linear"/>
            <c:dispRSqr val="0"/>
            <c:dispEq val="0"/>
          </c:trendline>
          <c:cat>
            <c:strRef>
              <c:f>Pivots!$M$56:$M$62</c:f>
              <c:strCache>
                <c:ptCount val="6"/>
                <c:pt idx="0">
                  <c:v>Sports and travel</c:v>
                </c:pt>
                <c:pt idx="1">
                  <c:v>Fashion accessories</c:v>
                </c:pt>
                <c:pt idx="2">
                  <c:v>Health and beauty</c:v>
                </c:pt>
                <c:pt idx="3">
                  <c:v>Home and lifestyle</c:v>
                </c:pt>
                <c:pt idx="4">
                  <c:v>Electronic accessories</c:v>
                </c:pt>
                <c:pt idx="5">
                  <c:v>Food and beverages</c:v>
                </c:pt>
              </c:strCache>
            </c:strRef>
          </c:cat>
          <c:val>
            <c:numRef>
              <c:f>Pivots!$N$56:$N$62</c:f>
              <c:numCache>
                <c:formatCode>_-* #,##0\ _ج_._م_._‏_-;\-* #,##0\ _ج_._م_._‏_-;_-* "-"??\ _ج_._م_._‏_-;_-@_-</c:formatCode>
                <c:ptCount val="6"/>
                <c:pt idx="0">
                  <c:v>19</c:v>
                </c:pt>
                <c:pt idx="1">
                  <c:v>21</c:v>
                </c:pt>
                <c:pt idx="2">
                  <c:v>33</c:v>
                </c:pt>
                <c:pt idx="3">
                  <c:v>43</c:v>
                </c:pt>
                <c:pt idx="4">
                  <c:v>46</c:v>
                </c:pt>
                <c:pt idx="5">
                  <c:v>51</c:v>
                </c:pt>
              </c:numCache>
            </c:numRef>
          </c:val>
          <c:extLst>
            <c:ext xmlns:c16="http://schemas.microsoft.com/office/drawing/2014/chart" uri="{C3380CC4-5D6E-409C-BE32-E72D297353CC}">
              <c16:uniqueId val="{00000000-EA0E-42F1-8AC9-583027AE3F8A}"/>
            </c:ext>
          </c:extLst>
        </c:ser>
        <c:ser>
          <c:idx val="1"/>
          <c:order val="1"/>
          <c:tx>
            <c:strRef>
              <c:f>Pivots!$O$54:$O$55</c:f>
              <c:strCache>
                <c:ptCount val="1"/>
                <c:pt idx="0">
                  <c:v>Sold</c:v>
                </c:pt>
              </c:strCache>
            </c:strRef>
          </c:tx>
          <c:spPr>
            <a:solidFill>
              <a:srgbClr val="6D6875"/>
            </a:solidFill>
            <a:ln>
              <a:noFill/>
            </a:ln>
            <a:effectLst>
              <a:outerShdw blurRad="50800" dist="38100" algn="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6D687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Pivots!$M$56:$M$62</c:f>
              <c:strCache>
                <c:ptCount val="6"/>
                <c:pt idx="0">
                  <c:v>Sports and travel</c:v>
                </c:pt>
                <c:pt idx="1">
                  <c:v>Fashion accessories</c:v>
                </c:pt>
                <c:pt idx="2">
                  <c:v>Health and beauty</c:v>
                </c:pt>
                <c:pt idx="3">
                  <c:v>Home and lifestyle</c:v>
                </c:pt>
                <c:pt idx="4">
                  <c:v>Electronic accessories</c:v>
                </c:pt>
                <c:pt idx="5">
                  <c:v>Food and beverages</c:v>
                </c:pt>
              </c:strCache>
            </c:strRef>
          </c:cat>
          <c:val>
            <c:numRef>
              <c:f>Pivots!$O$56:$O$62</c:f>
              <c:numCache>
                <c:formatCode>_-* #,##0\ _ج_._م_._‏_-;\-* #,##0\ _ج_._م_._‏_-;_-* "-"??\ _ج_._م_._‏_-;_-@_-</c:formatCode>
                <c:ptCount val="6"/>
                <c:pt idx="0">
                  <c:v>281</c:v>
                </c:pt>
                <c:pt idx="1">
                  <c:v>305</c:v>
                </c:pt>
                <c:pt idx="2">
                  <c:v>323</c:v>
                </c:pt>
                <c:pt idx="3">
                  <c:v>314</c:v>
                </c:pt>
                <c:pt idx="4">
                  <c:v>369</c:v>
                </c:pt>
                <c:pt idx="5">
                  <c:v>286</c:v>
                </c:pt>
              </c:numCache>
            </c:numRef>
          </c:val>
          <c:extLst>
            <c:ext xmlns:c16="http://schemas.microsoft.com/office/drawing/2014/chart" uri="{C3380CC4-5D6E-409C-BE32-E72D297353CC}">
              <c16:uniqueId val="{00000001-EA0E-42F1-8AC9-583027AE3F8A}"/>
            </c:ext>
          </c:extLst>
        </c:ser>
        <c:dLbls>
          <c:dLblPos val="outEnd"/>
          <c:showLegendKey val="0"/>
          <c:showVal val="1"/>
          <c:showCatName val="0"/>
          <c:showSerName val="0"/>
          <c:showPercent val="0"/>
          <c:showBubbleSize val="0"/>
        </c:dLbls>
        <c:gapWidth val="150"/>
        <c:axId val="671609760"/>
        <c:axId val="671607136"/>
      </c:barChart>
      <c:catAx>
        <c:axId val="6716097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671607136"/>
        <c:crosses val="autoZero"/>
        <c:auto val="1"/>
        <c:lblAlgn val="ctr"/>
        <c:lblOffset val="100"/>
        <c:noMultiLvlLbl val="0"/>
      </c:catAx>
      <c:valAx>
        <c:axId val="671607136"/>
        <c:scaling>
          <c:orientation val="minMax"/>
        </c:scaling>
        <c:delete val="1"/>
        <c:axPos val="l"/>
        <c:numFmt formatCode="_-* #,##0\ _ج_._م_._‏_-;\-* #,##0\ _ج_._م_._‏_-;_-* &quot;-&quot;??\ _ج_._م_._‏_-;_-@_-" sourceLinked="1"/>
        <c:majorTickMark val="none"/>
        <c:minorTickMark val="none"/>
        <c:tickLblPos val="nextTo"/>
        <c:crossAx val="67160976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[Amira Essam final.xlsx]Pivots!PeakHour</c:name>
    <c:fmtId val="8"/>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a:solidFill>
                  <a:srgbClr val="6D6875"/>
                </a:solidFill>
              </a:rPr>
              <a:t>PEAK</a:t>
            </a:r>
            <a:r>
              <a:rPr lang="en-US" sz="1800" b="1" baseline="0">
                <a:solidFill>
                  <a:srgbClr val="6D6875"/>
                </a:solidFill>
              </a:rPr>
              <a:t> SALES HOUR</a:t>
            </a:r>
            <a:endParaRPr lang="en-US" sz="1800" b="1">
              <a:solidFill>
                <a:srgbClr val="6D6875"/>
              </a:solidFill>
            </a:endParaRPr>
          </a:p>
        </c:rich>
      </c:tx>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rgbClr val="6D6875"/>
            </a:solidFill>
            <a:round/>
          </a:ln>
          <a:effectLst/>
        </c:spPr>
        <c:marker>
          <c:symbol val="circle"/>
          <c:size val="5"/>
          <c:spPr>
            <a:solidFill>
              <a:srgbClr val="6D6875"/>
            </a:solidFill>
            <a:ln w="9525">
              <a:solidFill>
                <a:srgbClr val="6D6875"/>
              </a:solidFill>
            </a:ln>
            <a:effectLst/>
          </c:spPr>
        </c:marker>
      </c:pivotFmt>
      <c:pivotFmt>
        <c:idx val="11"/>
        <c:spPr>
          <a:solidFill>
            <a:schemeClr val="accent1"/>
          </a:solidFill>
          <a:ln w="28575" cap="rnd">
            <a:solidFill>
              <a:srgbClr val="FAE1DD"/>
            </a:solidFill>
            <a:round/>
          </a:ln>
          <a:effectLst/>
        </c:spPr>
        <c:marker>
          <c:symbol val="circle"/>
          <c:size val="5"/>
          <c:spPr>
            <a:solidFill>
              <a:srgbClr val="FAE1DD"/>
            </a:solidFill>
            <a:ln w="9525">
              <a:solidFill>
                <a:srgbClr val="FAE1DD"/>
              </a:solidFill>
            </a:ln>
            <a:effectLst/>
          </c:spPr>
        </c:marker>
      </c:pivotFmt>
      <c:pivotFmt>
        <c:idx val="12"/>
        <c:spPr>
          <a:solidFill>
            <a:schemeClr val="accent1"/>
          </a:solidFill>
          <a:ln w="28575" cap="rnd">
            <a:solidFill>
              <a:srgbClr val="B5838D"/>
            </a:solidFill>
            <a:round/>
          </a:ln>
          <a:effectLst/>
        </c:spPr>
        <c:marker>
          <c:symbol val="circle"/>
          <c:size val="5"/>
          <c:spPr>
            <a:solidFill>
              <a:srgbClr val="B5838D"/>
            </a:solidFill>
            <a:ln w="9525">
              <a:solidFill>
                <a:srgbClr val="B5838D"/>
              </a:solidFill>
            </a:ln>
            <a:effectLst/>
          </c:spPr>
        </c:marker>
      </c:pivotFmt>
      <c:pivotFmt>
        <c:idx val="13"/>
        <c:spPr>
          <a:solidFill>
            <a:schemeClr val="accent1"/>
          </a:solidFill>
          <a:ln w="28575" cap="rnd">
            <a:solidFill>
              <a:srgbClr val="FFB4A2"/>
            </a:solidFill>
            <a:round/>
          </a:ln>
          <a:effectLst/>
        </c:spPr>
        <c:marker>
          <c:symbol val="circle"/>
          <c:size val="5"/>
          <c:spPr>
            <a:solidFill>
              <a:srgbClr val="FFB4A2"/>
            </a:solidFill>
            <a:ln w="9525">
              <a:solidFill>
                <a:srgbClr val="FFB4A2"/>
              </a:solidFill>
            </a:ln>
            <a:effectLst/>
          </c:spPr>
        </c:marker>
      </c:pivotFmt>
      <c:pivotFmt>
        <c:idx val="14"/>
        <c:spPr>
          <a:solidFill>
            <a:schemeClr val="accent1"/>
          </a:solidFill>
          <a:ln w="28575" cap="rnd">
            <a:solidFill>
              <a:srgbClr val="6D6875"/>
            </a:solidFill>
            <a:round/>
          </a:ln>
          <a:effectLst/>
        </c:spPr>
        <c:marker>
          <c:symbol val="circle"/>
          <c:size val="5"/>
          <c:spPr>
            <a:solidFill>
              <a:srgbClr val="6D6875"/>
            </a:solidFill>
            <a:ln w="9525">
              <a:solidFill>
                <a:srgbClr val="6D6875"/>
              </a:solidFill>
            </a:ln>
            <a:effectLst/>
          </c:spPr>
        </c:marker>
      </c:pivotFmt>
      <c:pivotFmt>
        <c:idx val="15"/>
        <c:spPr>
          <a:solidFill>
            <a:schemeClr val="accent1"/>
          </a:solidFill>
          <a:ln w="28575" cap="rnd">
            <a:solidFill>
              <a:srgbClr val="FAE1DD"/>
            </a:solidFill>
            <a:round/>
          </a:ln>
          <a:effectLst/>
        </c:spPr>
        <c:marker>
          <c:symbol val="circle"/>
          <c:size val="5"/>
          <c:spPr>
            <a:solidFill>
              <a:srgbClr val="FAE1DD"/>
            </a:solidFill>
            <a:ln w="9525">
              <a:solidFill>
                <a:srgbClr val="FAE1DD"/>
              </a:solidFill>
            </a:ln>
            <a:effectLst/>
          </c:spPr>
        </c:marker>
      </c:pivotFmt>
      <c:pivotFmt>
        <c:idx val="16"/>
        <c:spPr>
          <a:solidFill>
            <a:schemeClr val="accent1"/>
          </a:solidFill>
          <a:ln w="28575" cap="rnd">
            <a:solidFill>
              <a:srgbClr val="B5838D"/>
            </a:solidFill>
            <a:round/>
          </a:ln>
          <a:effectLst/>
        </c:spPr>
        <c:marker>
          <c:symbol val="circle"/>
          <c:size val="5"/>
          <c:spPr>
            <a:solidFill>
              <a:srgbClr val="B5838D"/>
            </a:solidFill>
            <a:ln w="9525">
              <a:solidFill>
                <a:srgbClr val="B5838D"/>
              </a:solidFill>
            </a:ln>
            <a:effectLst/>
          </c:spPr>
        </c:marker>
      </c:pivotFmt>
      <c:pivotFmt>
        <c:idx val="17"/>
        <c:spPr>
          <a:solidFill>
            <a:schemeClr val="accent1"/>
          </a:solidFill>
          <a:ln w="28575" cap="rnd">
            <a:solidFill>
              <a:srgbClr val="FFB4A2"/>
            </a:solidFill>
            <a:round/>
          </a:ln>
          <a:effectLst/>
        </c:spPr>
        <c:marker>
          <c:symbol val="circle"/>
          <c:size val="5"/>
          <c:spPr>
            <a:solidFill>
              <a:srgbClr val="FFB4A2"/>
            </a:solidFill>
            <a:ln w="9525">
              <a:solidFill>
                <a:srgbClr val="FFB4A2"/>
              </a:solidFill>
            </a:ln>
            <a:effectLst/>
          </c:spPr>
        </c:marker>
      </c:pivotFmt>
      <c:pivotFmt>
        <c:idx val="18"/>
        <c:spPr>
          <a:ln w="28575" cap="rnd">
            <a:solidFill>
              <a:srgbClr val="6D6875"/>
            </a:solidFill>
            <a:round/>
          </a:ln>
          <a:effectLst/>
        </c:spPr>
        <c:marker>
          <c:symbol val="circle"/>
          <c:size val="5"/>
          <c:spPr>
            <a:solidFill>
              <a:srgbClr val="6D6875"/>
            </a:solidFill>
            <a:ln w="9525">
              <a:solidFill>
                <a:srgbClr val="6D6875"/>
              </a:solidFill>
            </a:ln>
            <a:effectLst/>
          </c:spPr>
        </c:marker>
      </c:pivotFmt>
      <c:pivotFmt>
        <c:idx val="19"/>
        <c:spPr>
          <a:ln w="28575" cap="rnd">
            <a:solidFill>
              <a:srgbClr val="FAE1DD"/>
            </a:solidFill>
            <a:round/>
          </a:ln>
          <a:effectLst/>
        </c:spPr>
        <c:marker>
          <c:symbol val="circle"/>
          <c:size val="5"/>
          <c:spPr>
            <a:solidFill>
              <a:srgbClr val="FAE1DD"/>
            </a:solidFill>
            <a:ln w="9525">
              <a:solidFill>
                <a:srgbClr val="FAE1DD"/>
              </a:solidFill>
            </a:ln>
            <a:effectLst/>
          </c:spPr>
        </c:marker>
      </c:pivotFmt>
      <c:pivotFmt>
        <c:idx val="20"/>
        <c:spPr>
          <a:ln w="28575" cap="rnd">
            <a:solidFill>
              <a:srgbClr val="B5838D"/>
            </a:solidFill>
            <a:round/>
          </a:ln>
          <a:effectLst/>
        </c:spPr>
        <c:marker>
          <c:symbol val="circle"/>
          <c:size val="5"/>
          <c:spPr>
            <a:solidFill>
              <a:srgbClr val="B5838D"/>
            </a:solidFill>
            <a:ln w="9525">
              <a:solidFill>
                <a:srgbClr val="B5838D"/>
              </a:solidFill>
            </a:ln>
            <a:effectLst/>
          </c:spPr>
        </c:marker>
      </c:pivotFmt>
      <c:pivotFmt>
        <c:idx val="21"/>
        <c:spPr>
          <a:ln w="28575" cap="rnd">
            <a:solidFill>
              <a:srgbClr val="FFB4A2"/>
            </a:solidFill>
            <a:round/>
          </a:ln>
          <a:effectLst/>
        </c:spPr>
        <c:marker>
          <c:symbol val="circle"/>
          <c:size val="5"/>
          <c:spPr>
            <a:solidFill>
              <a:srgbClr val="FFB4A2"/>
            </a:solidFill>
            <a:ln w="9525">
              <a:solidFill>
                <a:srgbClr val="FFB4A2"/>
              </a:solidFill>
            </a:ln>
            <a:effectLst/>
          </c:spPr>
        </c:marker>
      </c:pivotFmt>
    </c:pivotFmts>
    <c:plotArea>
      <c:layout/>
      <c:lineChart>
        <c:grouping val="standard"/>
        <c:varyColors val="0"/>
        <c:ser>
          <c:idx val="0"/>
          <c:order val="0"/>
          <c:tx>
            <c:strRef>
              <c:f>Pivots!$T$30:$T$31</c:f>
              <c:strCache>
                <c:ptCount val="1"/>
                <c:pt idx="0">
                  <c:v>2019</c:v>
                </c:pt>
              </c:strCache>
            </c:strRef>
          </c:tx>
          <c:spPr>
            <a:ln w="28575" cap="rnd">
              <a:solidFill>
                <a:srgbClr val="6D6875"/>
              </a:solidFill>
              <a:round/>
            </a:ln>
            <a:effectLst/>
          </c:spPr>
          <c:marker>
            <c:symbol val="circle"/>
            <c:size val="5"/>
            <c:spPr>
              <a:solidFill>
                <a:srgbClr val="6D6875"/>
              </a:solidFill>
              <a:ln w="9525">
                <a:solidFill>
                  <a:srgbClr val="6D6875"/>
                </a:solidFill>
              </a:ln>
              <a:effectLst/>
            </c:spPr>
          </c:marker>
          <c:cat>
            <c:strRef>
              <c:f>Pivots!$S$32:$S$43</c:f>
              <c:strCache>
                <c:ptCount val="11"/>
                <c:pt idx="0">
                  <c:v>10</c:v>
                </c:pt>
                <c:pt idx="1">
                  <c:v>11</c:v>
                </c:pt>
                <c:pt idx="2">
                  <c:v>12</c:v>
                </c:pt>
                <c:pt idx="3">
                  <c:v>13</c:v>
                </c:pt>
                <c:pt idx="4">
                  <c:v>14</c:v>
                </c:pt>
                <c:pt idx="5">
                  <c:v>15</c:v>
                </c:pt>
                <c:pt idx="6">
                  <c:v>16</c:v>
                </c:pt>
                <c:pt idx="7">
                  <c:v>17</c:v>
                </c:pt>
                <c:pt idx="8">
                  <c:v>18</c:v>
                </c:pt>
                <c:pt idx="9">
                  <c:v>19</c:v>
                </c:pt>
                <c:pt idx="10">
                  <c:v>20</c:v>
                </c:pt>
              </c:strCache>
            </c:strRef>
          </c:cat>
          <c:val>
            <c:numRef>
              <c:f>Pivots!$T$32:$T$43</c:f>
              <c:numCache>
                <c:formatCode>_-* #,##0\ _ج_._م_._‏_-;\-* #,##0\ _ج_._م_._‏_-;_-* "-"??\ _ج_._م_._‏_-;_-@_-</c:formatCode>
                <c:ptCount val="11"/>
                <c:pt idx="0">
                  <c:v>6605.51</c:v>
                </c:pt>
                <c:pt idx="1">
                  <c:v>2866.54</c:v>
                </c:pt>
                <c:pt idx="2">
                  <c:v>2758.21</c:v>
                </c:pt>
                <c:pt idx="3">
                  <c:v>3383.98</c:v>
                </c:pt>
                <c:pt idx="4">
                  <c:v>3962.34</c:v>
                </c:pt>
                <c:pt idx="5">
                  <c:v>2312.79</c:v>
                </c:pt>
                <c:pt idx="6">
                  <c:v>3103.11</c:v>
                </c:pt>
                <c:pt idx="7">
                  <c:v>3277.54</c:v>
                </c:pt>
                <c:pt idx="8">
                  <c:v>3187.56</c:v>
                </c:pt>
                <c:pt idx="9">
                  <c:v>3866</c:v>
                </c:pt>
                <c:pt idx="10">
                  <c:v>2508.65</c:v>
                </c:pt>
              </c:numCache>
            </c:numRef>
          </c:val>
          <c:smooth val="0"/>
          <c:extLst>
            <c:ext xmlns:c16="http://schemas.microsoft.com/office/drawing/2014/chart" uri="{C3380CC4-5D6E-409C-BE32-E72D297353CC}">
              <c16:uniqueId val="{00000000-DC05-4708-AF46-46CE8AFCAA2D}"/>
            </c:ext>
          </c:extLst>
        </c:ser>
        <c:ser>
          <c:idx val="1"/>
          <c:order val="1"/>
          <c:tx>
            <c:strRef>
              <c:f>Pivots!$U$30:$U$31</c:f>
              <c:strCache>
                <c:ptCount val="1"/>
                <c:pt idx="0">
                  <c:v>2020</c:v>
                </c:pt>
              </c:strCache>
            </c:strRef>
          </c:tx>
          <c:spPr>
            <a:ln w="28575" cap="rnd">
              <a:solidFill>
                <a:srgbClr val="FAE1DD"/>
              </a:solidFill>
              <a:round/>
            </a:ln>
            <a:effectLst/>
          </c:spPr>
          <c:marker>
            <c:symbol val="circle"/>
            <c:size val="5"/>
            <c:spPr>
              <a:solidFill>
                <a:srgbClr val="FAE1DD"/>
              </a:solidFill>
              <a:ln w="9525">
                <a:solidFill>
                  <a:srgbClr val="FAE1DD"/>
                </a:solidFill>
              </a:ln>
              <a:effectLst/>
            </c:spPr>
          </c:marker>
          <c:cat>
            <c:strRef>
              <c:f>Pivots!$S$32:$S$43</c:f>
              <c:strCache>
                <c:ptCount val="11"/>
                <c:pt idx="0">
                  <c:v>10</c:v>
                </c:pt>
                <c:pt idx="1">
                  <c:v>11</c:v>
                </c:pt>
                <c:pt idx="2">
                  <c:v>12</c:v>
                </c:pt>
                <c:pt idx="3">
                  <c:v>13</c:v>
                </c:pt>
                <c:pt idx="4">
                  <c:v>14</c:v>
                </c:pt>
                <c:pt idx="5">
                  <c:v>15</c:v>
                </c:pt>
                <c:pt idx="6">
                  <c:v>16</c:v>
                </c:pt>
                <c:pt idx="7">
                  <c:v>17</c:v>
                </c:pt>
                <c:pt idx="8">
                  <c:v>18</c:v>
                </c:pt>
                <c:pt idx="9">
                  <c:v>19</c:v>
                </c:pt>
                <c:pt idx="10">
                  <c:v>20</c:v>
                </c:pt>
              </c:strCache>
            </c:strRef>
          </c:cat>
          <c:val>
            <c:numRef>
              <c:f>Pivots!$U$32:$U$43</c:f>
              <c:numCache>
                <c:formatCode>_-* #,##0\ _ج_._م_._‏_-;\-* #,##0\ _ج_._م_._‏_-;_-* "-"??\ _ج_._م_._‏_-;_-@_-</c:formatCode>
                <c:ptCount val="11"/>
                <c:pt idx="0">
                  <c:v>4278.29</c:v>
                </c:pt>
                <c:pt idx="1">
                  <c:v>4625.5</c:v>
                </c:pt>
                <c:pt idx="2">
                  <c:v>5582.87</c:v>
                </c:pt>
                <c:pt idx="3">
                  <c:v>8287.24</c:v>
                </c:pt>
                <c:pt idx="4">
                  <c:v>6106.64</c:v>
                </c:pt>
                <c:pt idx="5">
                  <c:v>4771.8100000000004</c:v>
                </c:pt>
                <c:pt idx="6">
                  <c:v>6183.03</c:v>
                </c:pt>
                <c:pt idx="7">
                  <c:v>5770.13</c:v>
                </c:pt>
                <c:pt idx="8">
                  <c:v>5883.34</c:v>
                </c:pt>
                <c:pt idx="9">
                  <c:v>10850.65</c:v>
                </c:pt>
                <c:pt idx="10">
                  <c:v>5405.4</c:v>
                </c:pt>
              </c:numCache>
            </c:numRef>
          </c:val>
          <c:smooth val="0"/>
          <c:extLst>
            <c:ext xmlns:c16="http://schemas.microsoft.com/office/drawing/2014/chart" uri="{C3380CC4-5D6E-409C-BE32-E72D297353CC}">
              <c16:uniqueId val="{00000001-DC05-4708-AF46-46CE8AFCAA2D}"/>
            </c:ext>
          </c:extLst>
        </c:ser>
        <c:ser>
          <c:idx val="2"/>
          <c:order val="2"/>
          <c:tx>
            <c:strRef>
              <c:f>Pivots!$V$30:$V$31</c:f>
              <c:strCache>
                <c:ptCount val="1"/>
                <c:pt idx="0">
                  <c:v>2021</c:v>
                </c:pt>
              </c:strCache>
            </c:strRef>
          </c:tx>
          <c:spPr>
            <a:ln w="28575" cap="rnd">
              <a:solidFill>
                <a:srgbClr val="B5838D"/>
              </a:solidFill>
              <a:round/>
            </a:ln>
            <a:effectLst/>
          </c:spPr>
          <c:marker>
            <c:symbol val="circle"/>
            <c:size val="5"/>
            <c:spPr>
              <a:solidFill>
                <a:srgbClr val="B5838D"/>
              </a:solidFill>
              <a:ln w="9525">
                <a:solidFill>
                  <a:srgbClr val="B5838D"/>
                </a:solidFill>
              </a:ln>
              <a:effectLst/>
            </c:spPr>
          </c:marker>
          <c:cat>
            <c:strRef>
              <c:f>Pivots!$S$32:$S$43</c:f>
              <c:strCache>
                <c:ptCount val="11"/>
                <c:pt idx="0">
                  <c:v>10</c:v>
                </c:pt>
                <c:pt idx="1">
                  <c:v>11</c:v>
                </c:pt>
                <c:pt idx="2">
                  <c:v>12</c:v>
                </c:pt>
                <c:pt idx="3">
                  <c:v>13</c:v>
                </c:pt>
                <c:pt idx="4">
                  <c:v>14</c:v>
                </c:pt>
                <c:pt idx="5">
                  <c:v>15</c:v>
                </c:pt>
                <c:pt idx="6">
                  <c:v>16</c:v>
                </c:pt>
                <c:pt idx="7">
                  <c:v>17</c:v>
                </c:pt>
                <c:pt idx="8">
                  <c:v>18</c:v>
                </c:pt>
                <c:pt idx="9">
                  <c:v>19</c:v>
                </c:pt>
                <c:pt idx="10">
                  <c:v>20</c:v>
                </c:pt>
              </c:strCache>
            </c:strRef>
          </c:cat>
          <c:val>
            <c:numRef>
              <c:f>Pivots!$V$32:$V$43</c:f>
              <c:numCache>
                <c:formatCode>_-* #,##0\ _ج_._م_._‏_-;\-* #,##0\ _ج_._م_._‏_-;_-* "-"??\ _ج_._م_._‏_-;_-@_-</c:formatCode>
                <c:ptCount val="11"/>
                <c:pt idx="0">
                  <c:v>6944.42</c:v>
                </c:pt>
                <c:pt idx="1">
                  <c:v>6581.96</c:v>
                </c:pt>
                <c:pt idx="2">
                  <c:v>8020.28</c:v>
                </c:pt>
                <c:pt idx="3">
                  <c:v>10770.96</c:v>
                </c:pt>
                <c:pt idx="4">
                  <c:v>7281.18</c:v>
                </c:pt>
                <c:pt idx="5">
                  <c:v>7849.3</c:v>
                </c:pt>
                <c:pt idx="6">
                  <c:v>7191.01</c:v>
                </c:pt>
                <c:pt idx="7">
                  <c:v>5531.05</c:v>
                </c:pt>
                <c:pt idx="8">
                  <c:v>6035.91</c:v>
                </c:pt>
                <c:pt idx="9">
                  <c:v>10575.97</c:v>
                </c:pt>
                <c:pt idx="10">
                  <c:v>6674.56</c:v>
                </c:pt>
              </c:numCache>
            </c:numRef>
          </c:val>
          <c:smooth val="0"/>
          <c:extLst>
            <c:ext xmlns:c16="http://schemas.microsoft.com/office/drawing/2014/chart" uri="{C3380CC4-5D6E-409C-BE32-E72D297353CC}">
              <c16:uniqueId val="{00000002-DC05-4708-AF46-46CE8AFCAA2D}"/>
            </c:ext>
          </c:extLst>
        </c:ser>
        <c:ser>
          <c:idx val="3"/>
          <c:order val="3"/>
          <c:tx>
            <c:strRef>
              <c:f>Pivots!$W$30:$W$31</c:f>
              <c:strCache>
                <c:ptCount val="1"/>
                <c:pt idx="0">
                  <c:v>2022</c:v>
                </c:pt>
              </c:strCache>
            </c:strRef>
          </c:tx>
          <c:spPr>
            <a:ln w="28575" cap="rnd">
              <a:solidFill>
                <a:srgbClr val="FFB4A2"/>
              </a:solidFill>
              <a:round/>
            </a:ln>
            <a:effectLst/>
          </c:spPr>
          <c:marker>
            <c:symbol val="circle"/>
            <c:size val="5"/>
            <c:spPr>
              <a:solidFill>
                <a:srgbClr val="FFB4A2"/>
              </a:solidFill>
              <a:ln w="9525">
                <a:solidFill>
                  <a:srgbClr val="FFB4A2"/>
                </a:solidFill>
              </a:ln>
              <a:effectLst/>
            </c:spPr>
          </c:marker>
          <c:cat>
            <c:strRef>
              <c:f>Pivots!$S$32:$S$43</c:f>
              <c:strCache>
                <c:ptCount val="11"/>
                <c:pt idx="0">
                  <c:v>10</c:v>
                </c:pt>
                <c:pt idx="1">
                  <c:v>11</c:v>
                </c:pt>
                <c:pt idx="2">
                  <c:v>12</c:v>
                </c:pt>
                <c:pt idx="3">
                  <c:v>13</c:v>
                </c:pt>
                <c:pt idx="4">
                  <c:v>14</c:v>
                </c:pt>
                <c:pt idx="5">
                  <c:v>15</c:v>
                </c:pt>
                <c:pt idx="6">
                  <c:v>16</c:v>
                </c:pt>
                <c:pt idx="7">
                  <c:v>17</c:v>
                </c:pt>
                <c:pt idx="8">
                  <c:v>18</c:v>
                </c:pt>
                <c:pt idx="9">
                  <c:v>19</c:v>
                </c:pt>
                <c:pt idx="10">
                  <c:v>20</c:v>
                </c:pt>
              </c:strCache>
            </c:strRef>
          </c:cat>
          <c:val>
            <c:numRef>
              <c:f>Pivots!$W$32:$W$43</c:f>
              <c:numCache>
                <c:formatCode>_-* #,##0\ _ج_._م_._‏_-;\-* #,##0\ _ج_._م_._‏_-;_-* "-"??\ _ج_._م_._‏_-;_-@_-</c:formatCode>
                <c:ptCount val="11"/>
                <c:pt idx="0">
                  <c:v>12097</c:v>
                </c:pt>
                <c:pt idx="1">
                  <c:v>14856.79</c:v>
                </c:pt>
                <c:pt idx="2">
                  <c:v>8463.2900000000009</c:v>
                </c:pt>
                <c:pt idx="3">
                  <c:v>10627.56</c:v>
                </c:pt>
                <c:pt idx="4">
                  <c:v>12010.22</c:v>
                </c:pt>
                <c:pt idx="5">
                  <c:v>14760.87</c:v>
                </c:pt>
                <c:pt idx="6">
                  <c:v>7547.92</c:v>
                </c:pt>
                <c:pt idx="7">
                  <c:v>8702.44</c:v>
                </c:pt>
                <c:pt idx="8">
                  <c:v>9683.99</c:v>
                </c:pt>
                <c:pt idx="9">
                  <c:v>12516.44</c:v>
                </c:pt>
                <c:pt idx="10">
                  <c:v>7287.13</c:v>
                </c:pt>
              </c:numCache>
            </c:numRef>
          </c:val>
          <c:smooth val="0"/>
          <c:extLst>
            <c:ext xmlns:c16="http://schemas.microsoft.com/office/drawing/2014/chart" uri="{C3380CC4-5D6E-409C-BE32-E72D297353CC}">
              <c16:uniqueId val="{00000003-DC05-4708-AF46-46CE8AFCAA2D}"/>
            </c:ext>
          </c:extLst>
        </c:ser>
        <c:dLbls>
          <c:showLegendKey val="0"/>
          <c:showVal val="0"/>
          <c:showCatName val="0"/>
          <c:showSerName val="0"/>
          <c:showPercent val="0"/>
          <c:showBubbleSize val="0"/>
        </c:dLbls>
        <c:marker val="1"/>
        <c:smooth val="0"/>
        <c:axId val="376165464"/>
        <c:axId val="376155952"/>
      </c:lineChart>
      <c:catAx>
        <c:axId val="376165464"/>
        <c:scaling>
          <c:orientation val="minMax"/>
        </c:scaling>
        <c:delete val="1"/>
        <c:axPos val="b"/>
        <c:numFmt formatCode="General" sourceLinked="1"/>
        <c:majorTickMark val="none"/>
        <c:minorTickMark val="none"/>
        <c:tickLblPos val="nextTo"/>
        <c:crossAx val="376155952"/>
        <c:crosses val="autoZero"/>
        <c:auto val="1"/>
        <c:lblAlgn val="ctr"/>
        <c:lblOffset val="100"/>
        <c:noMultiLvlLbl val="0"/>
      </c:catAx>
      <c:valAx>
        <c:axId val="376155952"/>
        <c:scaling>
          <c:orientation val="minMax"/>
        </c:scaling>
        <c:delete val="1"/>
        <c:axPos val="l"/>
        <c:numFmt formatCode="_-* #,##0\ _ج_._م_._‏_-;\-* #,##0\ _ج_._م_._‏_-;_-* &quot;-&quot;??\ _ج_._م_._‏_-;_-@_-" sourceLinked="1"/>
        <c:majorTickMark val="none"/>
        <c:minorTickMark val="none"/>
        <c:tickLblPos val="nextTo"/>
        <c:crossAx val="37616546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00" b="1" i="0" u="none" strike="noStrike" kern="1200" baseline="0">
                <a:solidFill>
                  <a:srgbClr val="6D6875"/>
                </a:solidFill>
                <a:latin typeface="+mn-lt"/>
                <a:ea typeface="+mn-ea"/>
                <a:cs typeface="+mn-cs"/>
              </a:defRPr>
            </a:pPr>
            <a:endParaRPr lang="en-US"/>
          </a:p>
        </c:txPr>
      </c:dTable>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[Amira Essam final.xlsx]Pivots!Payment</c:name>
    <c:fmtId val="15"/>
  </c:pivotSource>
  <c:chart>
    <c:title>
      <c:tx>
        <c:rich>
          <a:bodyPr rot="0" spcFirstLastPara="1" vertOverflow="ellipsis" vert="horz" wrap="square" anchor="ctr" anchorCtr="1"/>
          <a:lstStyle/>
          <a:p>
            <a:pPr>
              <a:defRPr sz="1800" b="1" i="0" u="none" strike="noStrike" kern="1200" spc="0" baseline="0">
                <a:solidFill>
                  <a:srgbClr val="6D6875"/>
                </a:solidFill>
                <a:latin typeface="+mn-lt"/>
                <a:ea typeface="+mn-ea"/>
                <a:cs typeface="+mn-cs"/>
              </a:defRPr>
            </a:pPr>
            <a:r>
              <a:rPr lang="en-US" sz="1800" b="1">
                <a:solidFill>
                  <a:srgbClr val="6D6875"/>
                </a:solidFill>
              </a:rPr>
              <a:t>PAYMENT</a:t>
            </a:r>
            <a:r>
              <a:rPr lang="en-US" sz="1800" b="1" baseline="0">
                <a:solidFill>
                  <a:srgbClr val="6D6875"/>
                </a:solidFill>
              </a:rPr>
              <a:t> METHOD DISTRIBUTION</a:t>
            </a:r>
          </a:p>
        </c:rich>
      </c:tx>
      <c:layout>
        <c:manualLayout>
          <c:xMode val="edge"/>
          <c:yMode val="edge"/>
          <c:x val="0.13029598709799833"/>
          <c:y val="6.9444336535731899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rgbClr val="6D6875"/>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D6875"/>
          </a:solidFill>
          <a:ln w="19050">
            <a:noFill/>
          </a:ln>
          <a:effectLst>
            <a:outerShdw blurRad="50800" dist="38100" dir="2700000" algn="tl" rotWithShape="0">
              <a:prstClr val="black">
                <a:alpha val="40000"/>
              </a:prstClr>
            </a:outerShdw>
          </a:effectLst>
        </c:spPr>
      </c:pivotFmt>
      <c:pivotFmt>
        <c:idx val="3"/>
        <c:spPr>
          <a:solidFill>
            <a:srgbClr val="FAE1DD"/>
          </a:solidFill>
          <a:ln w="19050">
            <a:noFill/>
          </a:ln>
          <a:effectLst>
            <a:outerShdw blurRad="50800" dist="38100" dir="2700000" algn="tl" rotWithShape="0">
              <a:prstClr val="black">
                <a:alpha val="40000"/>
              </a:prstClr>
            </a:outerShdw>
          </a:effectLst>
        </c:spPr>
      </c:pivotFmt>
      <c:pivotFmt>
        <c:idx val="4"/>
        <c:spPr>
          <a:solidFill>
            <a:srgbClr val="B5838D"/>
          </a:solidFill>
          <a:ln w="19050">
            <a:noFill/>
          </a:ln>
          <a:effectLst>
            <a:outerShdw blurRad="50800" dist="38100" dir="2700000" algn="tl" rotWithShape="0">
              <a:prstClr val="black">
                <a:alpha val="40000"/>
              </a:prstClr>
            </a:outerShdw>
          </a:effectLst>
        </c:spPr>
      </c:pivotFmt>
      <c:pivotFmt>
        <c:idx val="5"/>
        <c:spPr>
          <a:solidFill>
            <a:schemeClr val="accent1"/>
          </a:solidFill>
          <a:ln w="19050">
            <a:solidFill>
              <a:schemeClr val="lt1"/>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6D6875"/>
          </a:solidFill>
          <a:ln w="19050">
            <a:noFill/>
          </a:ln>
          <a:effectLst>
            <a:outerShdw blurRad="50800" dist="38100" dir="2700000" algn="tl" rotWithShape="0">
              <a:prstClr val="black">
                <a:alpha val="40000"/>
              </a:prstClr>
            </a:outerShdw>
          </a:effectLst>
        </c:spPr>
      </c:pivotFmt>
      <c:pivotFmt>
        <c:idx val="7"/>
        <c:spPr>
          <a:solidFill>
            <a:srgbClr val="FAE1DD"/>
          </a:solidFill>
          <a:ln w="19050">
            <a:noFill/>
          </a:ln>
          <a:effectLst>
            <a:outerShdw blurRad="50800" dist="38100" dir="2700000" algn="tl" rotWithShape="0">
              <a:prstClr val="black">
                <a:alpha val="40000"/>
              </a:prstClr>
            </a:outerShdw>
          </a:effectLst>
        </c:spPr>
      </c:pivotFmt>
      <c:pivotFmt>
        <c:idx val="8"/>
        <c:spPr>
          <a:solidFill>
            <a:srgbClr val="B5838D"/>
          </a:solidFill>
          <a:ln w="19050">
            <a:noFill/>
          </a:ln>
          <a:effectLst>
            <a:outerShdw blurRad="50800" dist="38100" dir="2700000" algn="tl" rotWithShape="0">
              <a:prstClr val="black">
                <a:alpha val="40000"/>
              </a:prstClr>
            </a:outerShdw>
          </a:effectLst>
        </c:spPr>
      </c:pivotFmt>
      <c:pivotFmt>
        <c:idx val="9"/>
        <c:spPr>
          <a:solidFill>
            <a:schemeClr val="accent1"/>
          </a:solidFill>
          <a:ln w="19050">
            <a:solidFill>
              <a:schemeClr val="lt1"/>
            </a:solidFill>
          </a:ln>
          <a:effectLst>
            <a:outerShdw blurRad="50800" dist="38100" dir="2700000" algn="tl" rotWithShape="0">
              <a:prstClr val="black">
                <a:alpha val="40000"/>
              </a:prst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0"/>
        <c:spPr>
          <a:solidFill>
            <a:srgbClr val="6D6875"/>
          </a:solidFill>
          <a:ln w="19050">
            <a:noFill/>
          </a:ln>
          <a:effectLst>
            <a:outerShdw blurRad="50800" dist="38100" dir="2700000" algn="tl" rotWithShape="0">
              <a:prstClr val="black">
                <a:alpha val="40000"/>
              </a:prstClr>
            </a:outerShdw>
          </a:effectLst>
        </c:spPr>
      </c:pivotFmt>
      <c:pivotFmt>
        <c:idx val="11"/>
        <c:spPr>
          <a:solidFill>
            <a:srgbClr val="FAE1DD"/>
          </a:solidFill>
          <a:ln w="19050">
            <a:noFill/>
          </a:ln>
          <a:effectLst>
            <a:outerShdw blurRad="50800" dist="38100" dir="2700000" algn="tl" rotWithShape="0">
              <a:prstClr val="black">
                <a:alpha val="40000"/>
              </a:prstClr>
            </a:outerShdw>
          </a:effectLst>
        </c:spPr>
        <c:dLbl>
          <c:idx val="0"/>
          <c:layout>
            <c:manualLayout>
              <c:x val="-3.7761806663973663E-2"/>
              <c:y val="-0.20933249125534395"/>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6D6875"/>
                  </a:solidFill>
                  <a:latin typeface="+mn-lt"/>
                  <a:ea typeface="+mn-ea"/>
                  <a:cs typeface="+mn-cs"/>
                </a:defRPr>
              </a:pPr>
              <a:endParaRPr lang="en-US"/>
            </a:p>
          </c:txPr>
          <c:showLegendKey val="0"/>
          <c:showVal val="0"/>
          <c:showCatName val="0"/>
          <c:showSerName val="0"/>
          <c:showPercent val="1"/>
          <c:showBubbleSize val="1"/>
          <c:extLst>
            <c:ext xmlns:c15="http://schemas.microsoft.com/office/drawing/2012/chart" uri="{CE6537A1-D6FC-4f65-9D91-7224C49458BB}">
              <c15:layout/>
            </c:ext>
          </c:extLst>
        </c:dLbl>
      </c:pivotFmt>
      <c:pivotFmt>
        <c:idx val="12"/>
        <c:spPr>
          <a:solidFill>
            <a:srgbClr val="B5838D"/>
          </a:solidFill>
          <a:ln w="19050">
            <a:noFill/>
          </a:ln>
          <a:effectLst>
            <a:outerShdw blurRad="50800" dist="38100" dir="2700000" algn="tl" rotWithShape="0">
              <a:prstClr val="black">
                <a:alpha val="40000"/>
              </a:prstClr>
            </a:outerShdw>
          </a:effectLst>
        </c:spPr>
      </c:pivotFmt>
    </c:pivotFmts>
    <c:plotArea>
      <c:layout/>
      <c:pieChart>
        <c:varyColors val="1"/>
        <c:ser>
          <c:idx val="0"/>
          <c:order val="0"/>
          <c:tx>
            <c:strRef>
              <c:f>Pivots!$I$33</c:f>
              <c:strCache>
                <c:ptCount val="1"/>
                <c:pt idx="0">
                  <c:v>Total</c:v>
                </c:pt>
              </c:strCache>
            </c:strRef>
          </c:tx>
          <c:spPr>
            <a:effectLst>
              <a:outerShdw blurRad="50800" dist="38100" dir="2700000" algn="tl" rotWithShape="0">
                <a:prstClr val="black">
                  <a:alpha val="40000"/>
                </a:prstClr>
              </a:outerShdw>
            </a:effectLst>
          </c:spPr>
          <c:dPt>
            <c:idx val="0"/>
            <c:bubble3D val="0"/>
            <c:spPr>
              <a:solidFill>
                <a:srgbClr val="6D6875"/>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4A7D-41B0-A88B-5DC4BB6BC916}"/>
              </c:ext>
            </c:extLst>
          </c:dPt>
          <c:dPt>
            <c:idx val="1"/>
            <c:bubble3D val="0"/>
            <c:spPr>
              <a:solidFill>
                <a:srgbClr val="FAE1DD"/>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4A7D-41B0-A88B-5DC4BB6BC916}"/>
              </c:ext>
            </c:extLst>
          </c:dPt>
          <c:dPt>
            <c:idx val="2"/>
            <c:bubble3D val="0"/>
            <c:spPr>
              <a:solidFill>
                <a:srgbClr val="B5838D"/>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4A7D-41B0-A88B-5DC4BB6BC916}"/>
              </c:ext>
            </c:extLst>
          </c:dPt>
          <c:dLbls>
            <c:dLbl>
              <c:idx val="1"/>
              <c:layout>
                <c:manualLayout>
                  <c:x val="-3.7761806663973663E-2"/>
                  <c:y val="-0.20933249125534395"/>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6D6875"/>
                      </a:solidFill>
                      <a:latin typeface="+mn-lt"/>
                      <a:ea typeface="+mn-ea"/>
                      <a:cs typeface="+mn-cs"/>
                    </a:defRPr>
                  </a:pPr>
                  <a:endParaRPr lang="en-US"/>
                </a:p>
              </c:txPr>
              <c:showLegendKey val="0"/>
              <c:showVal val="0"/>
              <c:showCatName val="0"/>
              <c:showSerName val="0"/>
              <c:showPercent val="1"/>
              <c:showBubbleSize val="1"/>
              <c:extLst>
                <c:ext xmlns:c15="http://schemas.microsoft.com/office/drawing/2012/chart" uri="{CE6537A1-D6FC-4f65-9D91-7224C49458BB}">
                  <c15:layout/>
                </c:ext>
                <c:ext xmlns:c16="http://schemas.microsoft.com/office/drawing/2014/chart" uri="{C3380CC4-5D6E-409C-BE32-E72D297353CC}">
                  <c16:uniqueId val="{00000003-4A7D-41B0-A88B-5DC4BB6BC916}"/>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Pivots!$H$34:$H$37</c:f>
              <c:strCache>
                <c:ptCount val="3"/>
                <c:pt idx="0">
                  <c:v>Cash</c:v>
                </c:pt>
                <c:pt idx="1">
                  <c:v>Credit card</c:v>
                </c:pt>
                <c:pt idx="2">
                  <c:v>Ewallet</c:v>
                </c:pt>
              </c:strCache>
            </c:strRef>
          </c:cat>
          <c:val>
            <c:numRef>
              <c:f>Pivots!$I$34:$I$37</c:f>
              <c:numCache>
                <c:formatCode>0%</c:formatCode>
                <c:ptCount val="3"/>
                <c:pt idx="0">
                  <c:v>0.32642487046632124</c:v>
                </c:pt>
                <c:pt idx="1">
                  <c:v>0.30569948186528495</c:v>
                </c:pt>
                <c:pt idx="2">
                  <c:v>0.36787564766839376</c:v>
                </c:pt>
              </c:numCache>
            </c:numRef>
          </c:val>
          <c:extLst>
            <c:ext xmlns:c16="http://schemas.microsoft.com/office/drawing/2014/chart" uri="{C3380CC4-5D6E-409C-BE32-E72D297353CC}">
              <c16:uniqueId val="{00000006-4A7D-41B0-A88B-5DC4BB6BC916}"/>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b"/>
      <c:layout>
        <c:manualLayout>
          <c:xMode val="edge"/>
          <c:yMode val="edge"/>
          <c:x val="0.27475113775915627"/>
          <c:y val="0.88563155843143371"/>
          <c:w val="0.45049759405074363"/>
          <c:h val="8.6535797608632267E-2"/>
        </c:manualLayout>
      </c:layout>
      <c:overlay val="0"/>
      <c:spPr>
        <a:noFill/>
        <a:ln>
          <a:noFill/>
        </a:ln>
        <a:effectLst/>
      </c:spPr>
      <c:txPr>
        <a:bodyPr rot="0" spcFirstLastPara="1" vertOverflow="ellipsis" vert="horz" wrap="square" anchor="ctr" anchorCtr="1"/>
        <a:lstStyle/>
        <a:p>
          <a:pPr>
            <a:defRPr sz="1050" b="1" i="0" u="none" strike="noStrike" kern="1200" baseline="0">
              <a:solidFill>
                <a:srgbClr val="6D6875"/>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rgbClr val="6D6875"/>
                </a:solidFill>
                <a:latin typeface="+mn-lt"/>
                <a:ea typeface="+mn-ea"/>
                <a:cs typeface="+mn-cs"/>
              </a:defRPr>
            </a:pPr>
            <a:r>
              <a:rPr lang="en-US" sz="1800" b="1">
                <a:solidFill>
                  <a:srgbClr val="6D6875"/>
                </a:solidFill>
              </a:rPr>
              <a:t>RETURNED</a:t>
            </a:r>
            <a:r>
              <a:rPr lang="en-US" sz="1800" b="1" baseline="0">
                <a:solidFill>
                  <a:srgbClr val="6D6875"/>
                </a:solidFill>
              </a:rPr>
              <a:t> ORDERS %</a:t>
            </a:r>
            <a:endParaRPr lang="en-US" sz="1800" b="1">
              <a:solidFill>
                <a:srgbClr val="6D6875"/>
              </a:solidFill>
            </a:endParaRPr>
          </a:p>
        </c:rich>
      </c:tx>
      <c:layout/>
      <c:overlay val="0"/>
      <c:spPr>
        <a:noFill/>
        <a:ln>
          <a:noFill/>
        </a:ln>
        <a:effectLst/>
      </c:spPr>
      <c:txPr>
        <a:bodyPr rot="0" spcFirstLastPara="1" vertOverflow="ellipsis" vert="horz" wrap="square" anchor="ctr" anchorCtr="1"/>
        <a:lstStyle/>
        <a:p>
          <a:pPr>
            <a:defRPr sz="1800" b="1" i="0" u="none" strike="noStrike" kern="1200" spc="0" baseline="0">
              <a:solidFill>
                <a:srgbClr val="6D6875"/>
              </a:solidFill>
              <a:latin typeface="+mn-lt"/>
              <a:ea typeface="+mn-ea"/>
              <a:cs typeface="+mn-cs"/>
            </a:defRPr>
          </a:pPr>
          <a:endParaRPr lang="en-US"/>
        </a:p>
      </c:txPr>
    </c:title>
    <c:autoTitleDeleted val="0"/>
    <c:plotArea>
      <c:layout>
        <c:manualLayout>
          <c:layoutTarget val="inner"/>
          <c:xMode val="edge"/>
          <c:yMode val="edge"/>
          <c:x val="0.24411445112575003"/>
          <c:y val="0.1629906950696523"/>
          <c:w val="0.55665839682979035"/>
          <c:h val="0.78927565120104637"/>
        </c:manualLayout>
      </c:layout>
      <c:doughnutChart>
        <c:varyColors val="1"/>
        <c:ser>
          <c:idx val="0"/>
          <c:order val="0"/>
          <c:dPt>
            <c:idx val="0"/>
            <c:bubble3D val="0"/>
            <c:spPr>
              <a:solidFill>
                <a:srgbClr val="C9184A"/>
              </a:solidFill>
              <a:ln w="19050">
                <a:solidFill>
                  <a:schemeClr val="lt1"/>
                </a:solidFill>
              </a:ln>
              <a:effectLst/>
            </c:spPr>
            <c:extLst>
              <c:ext xmlns:c16="http://schemas.microsoft.com/office/drawing/2014/chart" uri="{C3380CC4-5D6E-409C-BE32-E72D297353CC}">
                <c16:uniqueId val="{00000001-FBED-4B70-BF2E-6FC9A90637BC}"/>
              </c:ext>
            </c:extLst>
          </c:dPt>
          <c:dPt>
            <c:idx val="1"/>
            <c:bubble3D val="0"/>
            <c:spPr>
              <a:solidFill>
                <a:srgbClr val="6D6875"/>
              </a:solidFill>
              <a:ln w="19050">
                <a:solidFill>
                  <a:schemeClr val="lt1"/>
                </a:solidFill>
              </a:ln>
              <a:effectLst/>
            </c:spPr>
            <c:extLst>
              <c:ext xmlns:c16="http://schemas.microsoft.com/office/drawing/2014/chart" uri="{C3380CC4-5D6E-409C-BE32-E72D297353CC}">
                <c16:uniqueId val="{00000003-FBED-4B70-BF2E-6FC9A90637BC}"/>
              </c:ext>
            </c:extLst>
          </c:dPt>
          <c:val>
            <c:numRef>
              <c:f>Pivots!$N$29:$O$29</c:f>
              <c:numCache>
                <c:formatCode>0%</c:formatCode>
                <c:ptCount val="2"/>
                <c:pt idx="0">
                  <c:v>0.11139896373056994</c:v>
                </c:pt>
                <c:pt idx="1">
                  <c:v>0.8886010362694301</c:v>
                </c:pt>
              </c:numCache>
            </c:numRef>
          </c:val>
          <c:extLst>
            <c:ext xmlns:c16="http://schemas.microsoft.com/office/drawing/2014/chart" uri="{C3380CC4-5D6E-409C-BE32-E72D297353CC}">
              <c16:uniqueId val="{00000004-FBED-4B70-BF2E-6FC9A90637BC}"/>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[Amira Essam final.xlsx]Pivots!BranchReturns</c:name>
    <c:fmtId val="11"/>
  </c:pivotSource>
  <c:chart>
    <c:title>
      <c:tx>
        <c:rich>
          <a:bodyPr rot="0" spcFirstLastPara="1" vertOverflow="ellipsis" vert="horz" wrap="square" anchor="ctr" anchorCtr="1"/>
          <a:lstStyle/>
          <a:p>
            <a:pPr>
              <a:defRPr sz="1800" b="1" i="0" u="none" strike="noStrike" kern="1200" spc="0" baseline="0">
                <a:solidFill>
                  <a:srgbClr val="6D687F"/>
                </a:solidFill>
                <a:latin typeface="+mn-lt"/>
                <a:ea typeface="+mn-ea"/>
                <a:cs typeface="+mn-cs"/>
              </a:defRPr>
            </a:pPr>
            <a:r>
              <a:rPr lang="en-US" sz="1800" b="1">
                <a:solidFill>
                  <a:srgbClr val="6D687F"/>
                </a:solidFill>
              </a:rPr>
              <a:t>SALES</a:t>
            </a:r>
            <a:r>
              <a:rPr lang="en-US" sz="1800" b="1" baseline="0">
                <a:solidFill>
                  <a:srgbClr val="6D687F"/>
                </a:solidFill>
              </a:rPr>
              <a:t> VS. RETURNS PER BRANCH</a:t>
            </a:r>
            <a:endParaRPr lang="en-US" sz="1800" b="1">
              <a:solidFill>
                <a:srgbClr val="6D687F"/>
              </a:solidFill>
            </a:endParaRPr>
          </a:p>
        </c:rich>
      </c:tx>
      <c:layout/>
      <c:overlay val="0"/>
      <c:spPr>
        <a:noFill/>
        <a:ln>
          <a:noFill/>
        </a:ln>
        <a:effectLst/>
      </c:spPr>
      <c:txPr>
        <a:bodyPr rot="0" spcFirstLastPara="1" vertOverflow="ellipsis" vert="horz" wrap="square" anchor="ctr" anchorCtr="1"/>
        <a:lstStyle/>
        <a:p>
          <a:pPr>
            <a:defRPr sz="1800" b="1" i="0" u="none" strike="noStrike" kern="1200" spc="0" baseline="0">
              <a:solidFill>
                <a:srgbClr val="6D687F"/>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C9184A"/>
          </a:solidFill>
          <a:ln>
            <a:noFill/>
          </a:ln>
          <a:effectLst/>
        </c:spPr>
        <c:marker>
          <c:symbol val="none"/>
        </c:marker>
      </c:pivotFmt>
      <c:pivotFmt>
        <c:idx val="3"/>
        <c:spPr>
          <a:solidFill>
            <a:srgbClr val="6D6875"/>
          </a:solidFill>
          <a:ln>
            <a:noFill/>
          </a:ln>
          <a:effectLst/>
        </c:spPr>
        <c:marker>
          <c:symbol val="none"/>
        </c:marker>
      </c:pivotFmt>
      <c:pivotFmt>
        <c:idx val="4"/>
        <c:spPr>
          <a:solidFill>
            <a:srgbClr val="C9184A"/>
          </a:solidFill>
          <a:ln>
            <a:solidFill>
              <a:srgbClr val="C9184A"/>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6D687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6D68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6D687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9184A"/>
          </a:solidFill>
          <a:ln>
            <a:solidFill>
              <a:srgbClr val="C9184A"/>
            </a:solidFill>
          </a:ln>
          <a:effectLst/>
        </c:spPr>
        <c:dLbl>
          <c:idx val="0"/>
          <c:layout>
            <c:manualLayout>
              <c:x val="-1.3888888888888888E-2"/>
              <c:y val="0"/>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6D687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9184A"/>
          </a:solidFill>
          <a:ln>
            <a:solidFill>
              <a:srgbClr val="C9184A"/>
            </a:solidFill>
          </a:ln>
          <a:effectLst/>
        </c:spPr>
        <c:dLbl>
          <c:idx val="0"/>
          <c:layout>
            <c:manualLayout>
              <c:x val="-1.6666666666666666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6D687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C9184A"/>
          </a:solidFill>
          <a:ln>
            <a:solidFill>
              <a:srgbClr val="C9184A"/>
            </a:solidFill>
          </a:ln>
          <a:effectLst/>
        </c:spPr>
        <c:dLbl>
          <c:idx val="0"/>
          <c:layout>
            <c:manualLayout>
              <c:x val="-1.3888888888888888E-2"/>
              <c:y val="0"/>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6D687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C9184A"/>
          </a:solidFill>
          <a:ln>
            <a:solidFill>
              <a:srgbClr val="C9184A"/>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6D687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C9184A"/>
          </a:solidFill>
          <a:ln>
            <a:solidFill>
              <a:srgbClr val="C9184A"/>
            </a:solidFill>
          </a:ln>
          <a:effectLst/>
        </c:spPr>
        <c:dLbl>
          <c:idx val="0"/>
          <c:layout>
            <c:manualLayout>
              <c:x val="-1.3888888888888888E-2"/>
              <c:y val="0"/>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6D687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C9184A"/>
          </a:solidFill>
          <a:ln>
            <a:solidFill>
              <a:srgbClr val="C9184A"/>
            </a:solidFill>
          </a:ln>
          <a:effectLst/>
        </c:spPr>
        <c:dLbl>
          <c:idx val="0"/>
          <c:layout>
            <c:manualLayout>
              <c:x val="-1.6666666666666666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6D687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C9184A"/>
          </a:solidFill>
          <a:ln>
            <a:solidFill>
              <a:srgbClr val="C9184A"/>
            </a:solidFill>
          </a:ln>
          <a:effectLst/>
        </c:spPr>
        <c:dLbl>
          <c:idx val="0"/>
          <c:layout>
            <c:manualLayout>
              <c:x val="-1.3888888888888888E-2"/>
              <c:y val="0"/>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6D687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6D68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6D687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C9184A"/>
          </a:solidFill>
          <a:ln>
            <a:solidFill>
              <a:srgbClr val="C9184A"/>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6D687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C9184A"/>
          </a:solidFill>
          <a:ln>
            <a:solidFill>
              <a:srgbClr val="C9184A"/>
            </a:solidFill>
          </a:ln>
          <a:effectLst/>
        </c:spPr>
        <c:dLbl>
          <c:idx val="0"/>
          <c:layout>
            <c:manualLayout>
              <c:x val="-1.3888888888888888E-2"/>
              <c:y val="0"/>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6D687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C9184A"/>
          </a:solidFill>
          <a:ln>
            <a:solidFill>
              <a:srgbClr val="C9184A"/>
            </a:solidFill>
          </a:ln>
          <a:effectLst/>
        </c:spPr>
        <c:dLbl>
          <c:idx val="0"/>
          <c:layout>
            <c:manualLayout>
              <c:x val="-1.6666666666666666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6D687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C9184A"/>
          </a:solidFill>
          <a:ln>
            <a:solidFill>
              <a:srgbClr val="C9184A"/>
            </a:solidFill>
          </a:ln>
          <a:effectLst/>
        </c:spPr>
        <c:dLbl>
          <c:idx val="0"/>
          <c:layout>
            <c:manualLayout>
              <c:x val="-1.3888888888888888E-2"/>
              <c:y val="0"/>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6D687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6D68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6D687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C9184A"/>
          </a:solidFill>
          <a:ln>
            <a:solidFill>
              <a:srgbClr val="C9184A"/>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6D687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9184A"/>
          </a:solidFill>
          <a:ln>
            <a:solidFill>
              <a:srgbClr val="C9184A"/>
            </a:solidFill>
          </a:ln>
          <a:effectLst/>
        </c:spPr>
        <c:dLbl>
          <c:idx val="0"/>
          <c:layout>
            <c:manualLayout>
              <c:x val="-1.3888888888888888E-2"/>
              <c:y val="0"/>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6D687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C9184A"/>
          </a:solidFill>
          <a:ln>
            <a:solidFill>
              <a:srgbClr val="C9184A"/>
            </a:solidFill>
          </a:ln>
          <a:effectLst/>
        </c:spPr>
        <c:dLbl>
          <c:idx val="0"/>
          <c:layout>
            <c:manualLayout>
              <c:x val="-1.6666666666666666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6D687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C9184A"/>
          </a:solidFill>
          <a:ln>
            <a:solidFill>
              <a:srgbClr val="C9184A"/>
            </a:solidFill>
          </a:ln>
          <a:effectLst/>
        </c:spPr>
        <c:dLbl>
          <c:idx val="0"/>
          <c:layout>
            <c:manualLayout>
              <c:x val="-1.3888888888888888E-2"/>
              <c:y val="0"/>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6D687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6D68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6D687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C9184A"/>
          </a:solidFill>
          <a:ln>
            <a:solidFill>
              <a:srgbClr val="C9184A"/>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6D687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C9184A"/>
          </a:solidFill>
          <a:ln>
            <a:solidFill>
              <a:srgbClr val="C9184A"/>
            </a:solidFill>
          </a:ln>
          <a:effectLst/>
        </c:spPr>
        <c:dLbl>
          <c:idx val="0"/>
          <c:layout>
            <c:manualLayout>
              <c:x val="-1.3888888888888888E-2"/>
              <c:y val="0"/>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6D687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26"/>
        <c:spPr>
          <a:solidFill>
            <a:srgbClr val="C9184A"/>
          </a:solidFill>
          <a:ln>
            <a:solidFill>
              <a:srgbClr val="C9184A"/>
            </a:solidFill>
          </a:ln>
          <a:effectLst/>
        </c:spPr>
        <c:dLbl>
          <c:idx val="0"/>
          <c:layout>
            <c:manualLayout>
              <c:x val="-1.6666666666666666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6D687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27"/>
        <c:spPr>
          <a:solidFill>
            <a:srgbClr val="C9184A"/>
          </a:solidFill>
          <a:ln>
            <a:solidFill>
              <a:srgbClr val="C9184A"/>
            </a:solidFill>
          </a:ln>
          <a:effectLst/>
        </c:spPr>
        <c:dLbl>
          <c:idx val="0"/>
          <c:layout>
            <c:manualLayout>
              <c:x val="-1.3888888888888888E-2"/>
              <c:y val="0"/>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6D687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28"/>
        <c:spPr>
          <a:solidFill>
            <a:srgbClr val="6D6875"/>
          </a:solidFill>
          <a:ln>
            <a:noFill/>
          </a:ln>
          <a:effectLst>
            <a:outerShdw blurRad="50800" dist="38100" dir="2700000" algn="tl" rotWithShape="0">
              <a:prstClr val="black">
                <a:alpha val="40000"/>
              </a:prst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6D687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Pivots!$N$46:$N$47</c:f>
              <c:strCache>
                <c:ptCount val="1"/>
                <c:pt idx="0">
                  <c:v>Returns</c:v>
                </c:pt>
              </c:strCache>
            </c:strRef>
          </c:tx>
          <c:spPr>
            <a:solidFill>
              <a:srgbClr val="C9184A"/>
            </a:solidFill>
            <a:ln>
              <a:solidFill>
                <a:srgbClr val="C9184A"/>
              </a:solidFill>
            </a:ln>
            <a:effectLst/>
          </c:spPr>
          <c:invertIfNegative val="0"/>
          <c:dPt>
            <c:idx val="0"/>
            <c:invertIfNegative val="0"/>
            <c:bubble3D val="0"/>
            <c:extLst>
              <c:ext xmlns:c16="http://schemas.microsoft.com/office/drawing/2014/chart" uri="{C3380CC4-5D6E-409C-BE32-E72D297353CC}">
                <c16:uniqueId val="{00000000-FBD0-4825-807C-1E10EC35AF6A}"/>
              </c:ext>
            </c:extLst>
          </c:dPt>
          <c:dPt>
            <c:idx val="1"/>
            <c:invertIfNegative val="0"/>
            <c:bubble3D val="0"/>
            <c:extLst>
              <c:ext xmlns:c16="http://schemas.microsoft.com/office/drawing/2014/chart" uri="{C3380CC4-5D6E-409C-BE32-E72D297353CC}">
                <c16:uniqueId val="{00000001-FBD0-4825-807C-1E10EC35AF6A}"/>
              </c:ext>
            </c:extLst>
          </c:dPt>
          <c:dPt>
            <c:idx val="2"/>
            <c:invertIfNegative val="0"/>
            <c:bubble3D val="0"/>
            <c:extLst>
              <c:ext xmlns:c16="http://schemas.microsoft.com/office/drawing/2014/chart" uri="{C3380CC4-5D6E-409C-BE32-E72D297353CC}">
                <c16:uniqueId val="{00000002-FBD0-4825-807C-1E10EC35AF6A}"/>
              </c:ext>
            </c:extLst>
          </c:dPt>
          <c:dLbls>
            <c:dLbl>
              <c:idx val="0"/>
              <c:layout>
                <c:manualLayout>
                  <c:x val="-1.3888888888888888E-2"/>
                  <c:y val="0"/>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FBD0-4825-807C-1E10EC35AF6A}"/>
                </c:ext>
              </c:extLst>
            </c:dLbl>
            <c:dLbl>
              <c:idx val="1"/>
              <c:layout>
                <c:manualLayout>
                  <c:x val="-1.3888888888888888E-2"/>
                  <c:y val="0"/>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FBD0-4825-807C-1E10EC35AF6A}"/>
                </c:ext>
              </c:extLst>
            </c:dLbl>
            <c:dLbl>
              <c:idx val="2"/>
              <c:layout>
                <c:manualLayout>
                  <c:x val="-1.6666666666666666E-2"/>
                  <c:y val="-8.4875562720133283E-17"/>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FBD0-4825-807C-1E10EC35AF6A}"/>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6D687F"/>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rgbClr val="C9184A"/>
                </a:solidFill>
                <a:prstDash val="sysDot"/>
              </a:ln>
              <a:effectLst/>
            </c:spPr>
            <c:trendlineType val="linear"/>
            <c:dispRSqr val="0"/>
            <c:dispEq val="0"/>
          </c:trendline>
          <c:cat>
            <c:strRef>
              <c:f>Pivots!$M$48:$M$51</c:f>
              <c:strCache>
                <c:ptCount val="3"/>
                <c:pt idx="0">
                  <c:v>Br. A (Yangon)</c:v>
                </c:pt>
                <c:pt idx="1">
                  <c:v>Br. C (Naypyitaw)</c:v>
                </c:pt>
                <c:pt idx="2">
                  <c:v>Br. B (Mandalay)</c:v>
                </c:pt>
              </c:strCache>
            </c:strRef>
          </c:cat>
          <c:val>
            <c:numRef>
              <c:f>Pivots!$N$48:$N$51</c:f>
              <c:numCache>
                <c:formatCode>_-* #,##0\ _ج_._م_._‏_-;\-* #,##0\ _ج_._م_._‏_-;_-* "-"??\ _ج_._م_._‏_-;_-@_-</c:formatCode>
                <c:ptCount val="3"/>
                <c:pt idx="0">
                  <c:v>3680.67</c:v>
                </c:pt>
                <c:pt idx="1">
                  <c:v>3704.48</c:v>
                </c:pt>
                <c:pt idx="2">
                  <c:v>6020.39</c:v>
                </c:pt>
              </c:numCache>
            </c:numRef>
          </c:val>
          <c:extLst>
            <c:ext xmlns:c16="http://schemas.microsoft.com/office/drawing/2014/chart" uri="{C3380CC4-5D6E-409C-BE32-E72D297353CC}">
              <c16:uniqueId val="{00000003-FBD0-4825-807C-1E10EC35AF6A}"/>
            </c:ext>
          </c:extLst>
        </c:ser>
        <c:ser>
          <c:idx val="1"/>
          <c:order val="1"/>
          <c:tx>
            <c:strRef>
              <c:f>Pivots!$O$46:$O$47</c:f>
              <c:strCache>
                <c:ptCount val="1"/>
                <c:pt idx="0">
                  <c:v>Sold</c:v>
                </c:pt>
              </c:strCache>
            </c:strRef>
          </c:tx>
          <c:spPr>
            <a:solidFill>
              <a:srgbClr val="6D6875"/>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6D687F"/>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Pivots!$M$48:$M$51</c:f>
              <c:strCache>
                <c:ptCount val="3"/>
                <c:pt idx="0">
                  <c:v>Br. A (Yangon)</c:v>
                </c:pt>
                <c:pt idx="1">
                  <c:v>Br. C (Naypyitaw)</c:v>
                </c:pt>
                <c:pt idx="2">
                  <c:v>Br. B (Mandalay)</c:v>
                </c:pt>
              </c:strCache>
            </c:strRef>
          </c:cat>
          <c:val>
            <c:numRef>
              <c:f>Pivots!$O$48:$O$51</c:f>
              <c:numCache>
                <c:formatCode>_-* #,##0\ _ج_._م_._‏_-;\-* #,##0\ _ج_._م_._‏_-;_-* "-"??\ _ج_._م_._‏_-;_-@_-</c:formatCode>
                <c:ptCount val="3"/>
                <c:pt idx="0">
                  <c:v>35035.5</c:v>
                </c:pt>
                <c:pt idx="1">
                  <c:v>35181.29</c:v>
                </c:pt>
                <c:pt idx="2">
                  <c:v>34931.32</c:v>
                </c:pt>
              </c:numCache>
            </c:numRef>
          </c:val>
          <c:extLst>
            <c:ext xmlns:c16="http://schemas.microsoft.com/office/drawing/2014/chart" uri="{C3380CC4-5D6E-409C-BE32-E72D297353CC}">
              <c16:uniqueId val="{00000004-FBD0-4825-807C-1E10EC35AF6A}"/>
            </c:ext>
          </c:extLst>
        </c:ser>
        <c:dLbls>
          <c:dLblPos val="outEnd"/>
          <c:showLegendKey val="0"/>
          <c:showVal val="1"/>
          <c:showCatName val="0"/>
          <c:showSerName val="0"/>
          <c:showPercent val="0"/>
          <c:showBubbleSize val="0"/>
        </c:dLbls>
        <c:gapWidth val="182"/>
        <c:axId val="449389584"/>
        <c:axId val="449387288"/>
      </c:barChart>
      <c:catAx>
        <c:axId val="44938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rgbClr val="6D687F"/>
                </a:solidFill>
                <a:latin typeface="+mn-lt"/>
                <a:ea typeface="+mn-ea"/>
                <a:cs typeface="+mn-cs"/>
              </a:defRPr>
            </a:pPr>
            <a:endParaRPr lang="en-US"/>
          </a:p>
        </c:txPr>
        <c:crossAx val="449387288"/>
        <c:crosses val="autoZero"/>
        <c:auto val="1"/>
        <c:lblAlgn val="ctr"/>
        <c:lblOffset val="100"/>
        <c:noMultiLvlLbl val="0"/>
      </c:catAx>
      <c:valAx>
        <c:axId val="449387288"/>
        <c:scaling>
          <c:orientation val="minMax"/>
        </c:scaling>
        <c:delete val="1"/>
        <c:axPos val="l"/>
        <c:numFmt formatCode="_-* #,##0\ _ج_._م_._‏_-;\-* #,##0\ _ج_._م_._‏_-;_-* &quot;-&quot;??\ _ج_._م_._‏_-;_-@_-" sourceLinked="1"/>
        <c:majorTickMark val="none"/>
        <c:minorTickMark val="none"/>
        <c:tickLblPos val="nextTo"/>
        <c:crossAx val="44938958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[Amira Essam final.xlsx]Pivots!Gender</c:name>
    <c:fmtId val="9"/>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a:solidFill>
                  <a:srgbClr val="6D6875"/>
                </a:solidFill>
              </a:rPr>
              <a:t>SALES</a:t>
            </a:r>
            <a:r>
              <a:rPr lang="en-US" sz="1800" b="1" baseline="0">
                <a:solidFill>
                  <a:srgbClr val="6D6875"/>
                </a:solidFill>
              </a:rPr>
              <a:t> PER GENDER</a:t>
            </a:r>
            <a:endParaRPr lang="en-US" sz="1800" b="1">
              <a:solidFill>
                <a:srgbClr val="6D6875"/>
              </a:solidFill>
            </a:endParaRPr>
          </a:p>
        </c:rich>
      </c:tx>
      <c:layout>
        <c:manualLayout>
          <c:xMode val="edge"/>
          <c:yMode val="edge"/>
          <c:x val="0.26689436291235852"/>
          <c:y val="0"/>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rgbClr val="6D6875">
                  <a:shade val="30000"/>
                  <a:satMod val="115000"/>
                </a:srgbClr>
              </a:gs>
              <a:gs pos="50000">
                <a:srgbClr val="6D6875">
                  <a:shade val="67500"/>
                  <a:satMod val="115000"/>
                </a:srgbClr>
              </a:gs>
              <a:gs pos="100000">
                <a:srgbClr val="6D6875">
                  <a:shade val="100000"/>
                  <a:satMod val="115000"/>
                </a:srgbClr>
              </a:gs>
            </a:gsLst>
            <a:lin ang="16200000" scaled="1"/>
            <a:tileRect/>
          </a:gradFill>
          <a:ln>
            <a:noFill/>
          </a:ln>
          <a:effectLst/>
          <a:sp3d/>
        </c:spPr>
        <c:marker>
          <c:symbol val="none"/>
        </c:marker>
      </c:pivotFmt>
      <c:pivotFmt>
        <c:idx val="1"/>
        <c:spPr>
          <a:gradFill flip="none" rotWithShape="1">
            <a:gsLst>
              <a:gs pos="0">
                <a:srgbClr val="6D6875">
                  <a:shade val="30000"/>
                  <a:satMod val="115000"/>
                </a:srgbClr>
              </a:gs>
              <a:gs pos="50000">
                <a:srgbClr val="6D6875">
                  <a:shade val="67500"/>
                  <a:satMod val="115000"/>
                </a:srgbClr>
              </a:gs>
              <a:gs pos="100000">
                <a:srgbClr val="6D6875">
                  <a:shade val="100000"/>
                  <a:satMod val="115000"/>
                </a:srgbClr>
              </a:gs>
            </a:gsLst>
            <a:lin ang="16200000" scaled="1"/>
            <a:tileRect/>
          </a:gradFill>
          <a:ln>
            <a:noFill/>
          </a:ln>
          <a:effectLst/>
          <a:sp3d/>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flip="none" rotWithShape="1">
            <a:gsLst>
              <a:gs pos="0">
                <a:srgbClr val="6D6875">
                  <a:shade val="30000"/>
                  <a:satMod val="115000"/>
                </a:srgbClr>
              </a:gs>
              <a:gs pos="50000">
                <a:srgbClr val="6D6875">
                  <a:shade val="67500"/>
                  <a:satMod val="115000"/>
                </a:srgbClr>
              </a:gs>
              <a:gs pos="100000">
                <a:srgbClr val="6D6875">
                  <a:shade val="100000"/>
                  <a:satMod val="115000"/>
                </a:srgbClr>
              </a:gs>
            </a:gsLst>
            <a:lin ang="16200000" scaled="1"/>
            <a:tileRect/>
          </a:gra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6D6875"/>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400" b="1" i="0" u="none" strike="noStrike" kern="1200" baseline="0">
                  <a:solidFill>
                    <a:srgbClr val="6D6875"/>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rgbClr val="6D6875"/>
          </a:solidFill>
          <a:ln>
            <a:noFill/>
          </a:ln>
          <a:effectLst/>
          <a:sp3d/>
        </c:spPr>
        <c:dLbl>
          <c:idx val="0"/>
          <c:layout>
            <c:manualLayout>
              <c:x val="0.10471204188481675"/>
              <c:y val="-0.118644067796610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400" b="1" i="0" u="none" strike="noStrike" kern="1200" baseline="0">
                  <a:solidFill>
                    <a:srgbClr val="6D6875"/>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6D6875"/>
          </a:solidFill>
          <a:ln>
            <a:noFill/>
          </a:ln>
          <a:effectLst/>
          <a:sp3d/>
        </c:spPr>
        <c:dLbl>
          <c:idx val="0"/>
          <c:layout>
            <c:manualLayout>
              <c:x val="-3.2512683782980235E-4"/>
              <c:y val="-0.2902540704657681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400" b="1" i="0" u="none" strike="noStrike" kern="1200" baseline="0">
                  <a:solidFill>
                    <a:srgbClr val="6D6875"/>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15740420271940664"/>
                  <c:h val="0.16331809689043106"/>
                </c:manualLayout>
              </c15:layout>
            </c:ext>
          </c:extLst>
        </c:dLbl>
      </c:pivotFmt>
      <c:pivotFmt>
        <c:idx val="6"/>
        <c:spPr>
          <a:solidFill>
            <a:srgbClr val="6D6875"/>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400" b="1" i="0" u="none" strike="noStrike" kern="1200" baseline="0">
                  <a:solidFill>
                    <a:srgbClr val="6D6875"/>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6D6875"/>
          </a:solidFill>
          <a:ln>
            <a:noFill/>
          </a:ln>
          <a:effectLst/>
          <a:sp3d/>
        </c:spPr>
        <c:dLbl>
          <c:idx val="0"/>
          <c:layout>
            <c:manualLayout>
              <c:x val="-3.2512683782980235E-4"/>
              <c:y val="-0.2902540704657681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400" b="1" i="0" u="none" strike="noStrike" kern="1200" baseline="0">
                  <a:solidFill>
                    <a:srgbClr val="6D6875"/>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15740420271940664"/>
                  <c:h val="0.16331809689043106"/>
                </c:manualLayout>
              </c15:layout>
            </c:ext>
          </c:extLst>
        </c:dLbl>
      </c:pivotFmt>
      <c:pivotFmt>
        <c:idx val="8"/>
        <c:spPr>
          <a:solidFill>
            <a:srgbClr val="6D6875"/>
          </a:solidFill>
          <a:ln>
            <a:noFill/>
          </a:ln>
          <a:effectLst/>
          <a:sp3d/>
        </c:spPr>
        <c:dLbl>
          <c:idx val="0"/>
          <c:layout>
            <c:manualLayout>
              <c:x val="0.10471204188481675"/>
              <c:y val="-0.118644067796610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400" b="1" i="0" u="none" strike="noStrike" kern="1200" baseline="0">
                  <a:solidFill>
                    <a:srgbClr val="6D6875"/>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6D6875"/>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400" b="1" i="0" u="none" strike="noStrike" kern="1200" baseline="0">
                  <a:solidFill>
                    <a:srgbClr val="6D6875"/>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rgbClr val="6D6875"/>
          </a:solidFill>
          <a:ln>
            <a:noFill/>
          </a:ln>
          <a:effectLst/>
          <a:sp3d/>
        </c:spPr>
        <c:dLbl>
          <c:idx val="0"/>
          <c:layout>
            <c:manualLayout>
              <c:x val="-3.2512683782980235E-4"/>
              <c:y val="-0.2902540704657681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400" b="1" i="0" u="none" strike="noStrike" kern="1200" baseline="0">
                  <a:solidFill>
                    <a:srgbClr val="6D6875"/>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15740420271940664"/>
                  <c:h val="0.16331809689043106"/>
                </c:manualLayout>
              </c15:layout>
            </c:ext>
          </c:extLst>
        </c:dLbl>
      </c:pivotFmt>
      <c:pivotFmt>
        <c:idx val="11"/>
        <c:spPr>
          <a:solidFill>
            <a:srgbClr val="6D6875"/>
          </a:solidFill>
          <a:ln>
            <a:noFill/>
          </a:ln>
          <a:effectLst/>
          <a:sp3d/>
        </c:spPr>
        <c:dLbl>
          <c:idx val="0"/>
          <c:layout>
            <c:manualLayout>
              <c:x val="0.10471204188481675"/>
              <c:y val="-0.118644067796610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400" b="1" i="0" u="none" strike="noStrike" kern="1200" baseline="0">
                  <a:solidFill>
                    <a:srgbClr val="6D6875"/>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Pivots!$R$24</c:f>
              <c:strCache>
                <c:ptCount val="1"/>
                <c:pt idx="0">
                  <c:v>Total</c:v>
                </c:pt>
              </c:strCache>
            </c:strRef>
          </c:tx>
          <c:spPr>
            <a:solidFill>
              <a:srgbClr val="6D6875"/>
            </a:solidFill>
            <a:ln>
              <a:noFill/>
            </a:ln>
            <a:effectLst/>
            <a:sp3d/>
          </c:spPr>
          <c:invertIfNegative val="0"/>
          <c:dPt>
            <c:idx val="0"/>
            <c:invertIfNegative val="0"/>
            <c:bubble3D val="0"/>
            <c:extLst>
              <c:ext xmlns:c16="http://schemas.microsoft.com/office/drawing/2014/chart" uri="{C3380CC4-5D6E-409C-BE32-E72D297353CC}">
                <c16:uniqueId val="{00000000-FF9A-4022-BF5C-5D7D034832CC}"/>
              </c:ext>
            </c:extLst>
          </c:dPt>
          <c:dPt>
            <c:idx val="1"/>
            <c:invertIfNegative val="0"/>
            <c:bubble3D val="0"/>
            <c:extLst>
              <c:ext xmlns:c16="http://schemas.microsoft.com/office/drawing/2014/chart" uri="{C3380CC4-5D6E-409C-BE32-E72D297353CC}">
                <c16:uniqueId val="{00000001-FF9A-4022-BF5C-5D7D034832CC}"/>
              </c:ext>
            </c:extLst>
          </c:dPt>
          <c:dLbls>
            <c:dLbl>
              <c:idx val="0"/>
              <c:layout>
                <c:manualLayout>
                  <c:x val="-3.2512683782980235E-4"/>
                  <c:y val="-0.2902540704657681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400" b="1" i="0" u="none" strike="noStrike" kern="1200" baseline="0">
                      <a:solidFill>
                        <a:srgbClr val="6D6875"/>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15740420271940664"/>
                      <c:h val="0.16331809689043106"/>
                    </c:manualLayout>
                  </c15:layout>
                </c:ext>
                <c:ext xmlns:c16="http://schemas.microsoft.com/office/drawing/2014/chart" uri="{C3380CC4-5D6E-409C-BE32-E72D297353CC}">
                  <c16:uniqueId val="{00000000-FF9A-4022-BF5C-5D7D034832CC}"/>
                </c:ext>
              </c:extLst>
            </c:dLbl>
            <c:dLbl>
              <c:idx val="1"/>
              <c:layout>
                <c:manualLayout>
                  <c:x val="0.10471204188481675"/>
                  <c:y val="-0.118644067796610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400" b="1" i="0" u="none" strike="noStrike" kern="1200" baseline="0">
                      <a:solidFill>
                        <a:srgbClr val="6D6875"/>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ext>
                <c:ext xmlns:c16="http://schemas.microsoft.com/office/drawing/2014/chart" uri="{C3380CC4-5D6E-409C-BE32-E72D297353CC}">
                  <c16:uniqueId val="{00000001-FF9A-4022-BF5C-5D7D034832CC}"/>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400" b="1" i="0" u="none" strike="noStrike" kern="1200" baseline="0">
                    <a:solidFill>
                      <a:srgbClr val="6D6875"/>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Pivots!$Q$25:$Q$27</c:f>
              <c:strCache>
                <c:ptCount val="2"/>
                <c:pt idx="0">
                  <c:v>Female</c:v>
                </c:pt>
                <c:pt idx="1">
                  <c:v>Male</c:v>
                </c:pt>
              </c:strCache>
            </c:strRef>
          </c:cat>
          <c:val>
            <c:numRef>
              <c:f>Pivots!$R$25:$R$27</c:f>
              <c:numCache>
                <c:formatCode>_-* #,##0\ _ج_._م_._‏_-;\-* #,##0\ _ج_._م_._‏_-;_-* "-"??\ _ج_._م_._‏_-;_-@_-</c:formatCode>
                <c:ptCount val="2"/>
                <c:pt idx="0">
                  <c:v>61997.599999999999</c:v>
                </c:pt>
                <c:pt idx="1">
                  <c:v>56556.05</c:v>
                </c:pt>
              </c:numCache>
            </c:numRef>
          </c:val>
          <c:extLst>
            <c:ext xmlns:c16="http://schemas.microsoft.com/office/drawing/2014/chart" uri="{C3380CC4-5D6E-409C-BE32-E72D297353CC}">
              <c16:uniqueId val="{00000002-FF9A-4022-BF5C-5D7D034832CC}"/>
            </c:ext>
          </c:extLst>
        </c:ser>
        <c:dLbls>
          <c:showLegendKey val="0"/>
          <c:showVal val="0"/>
          <c:showCatName val="0"/>
          <c:showSerName val="0"/>
          <c:showPercent val="0"/>
          <c:showBubbleSize val="0"/>
        </c:dLbls>
        <c:gapWidth val="73"/>
        <c:gapDepth val="0"/>
        <c:shape val="box"/>
        <c:axId val="1045329128"/>
        <c:axId val="1045326504"/>
        <c:axId val="0"/>
      </c:bar3DChart>
      <c:catAx>
        <c:axId val="1045329128"/>
        <c:scaling>
          <c:orientation val="minMax"/>
        </c:scaling>
        <c:delete val="1"/>
        <c:axPos val="l"/>
        <c:numFmt formatCode="General" sourceLinked="1"/>
        <c:majorTickMark val="none"/>
        <c:minorTickMark val="none"/>
        <c:tickLblPos val="nextTo"/>
        <c:crossAx val="1045326504"/>
        <c:crosses val="autoZero"/>
        <c:auto val="1"/>
        <c:lblAlgn val="ctr"/>
        <c:lblOffset val="100"/>
        <c:noMultiLvlLbl val="0"/>
      </c:catAx>
      <c:valAx>
        <c:axId val="1045326504"/>
        <c:scaling>
          <c:orientation val="minMax"/>
        </c:scaling>
        <c:delete val="1"/>
        <c:axPos val="b"/>
        <c:numFmt formatCode="_-* #,##0\ _ج_._م_._‏_-;\-* #,##0\ _ج_._م_._‏_-;_-* &quot;-&quot;??\ _ج_._م_._‏_-;_-@_-" sourceLinked="1"/>
        <c:majorTickMark val="none"/>
        <c:minorTickMark val="none"/>
        <c:tickLblPos val="nextTo"/>
        <c:crossAx val="104532912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rgbClr val="6D6875"/>
                </a:solidFill>
                <a:latin typeface="+mn-lt"/>
                <a:ea typeface="+mn-ea"/>
                <a:cs typeface="+mn-cs"/>
              </a:defRPr>
            </a:pPr>
            <a:r>
              <a:rPr lang="en-US" sz="1800" b="1">
                <a:solidFill>
                  <a:srgbClr val="6D6875"/>
                </a:solidFill>
              </a:rPr>
              <a:t>REP</a:t>
            </a:r>
            <a:r>
              <a:rPr lang="en-US" sz="1800" b="1" baseline="0">
                <a:solidFill>
                  <a:srgbClr val="6D6875"/>
                </a:solidFill>
              </a:rPr>
              <a:t> </a:t>
            </a:r>
            <a:r>
              <a:rPr lang="en-US" sz="1800" b="1">
                <a:solidFill>
                  <a:srgbClr val="6D6875"/>
                </a:solidFill>
              </a:rPr>
              <a:t>AVERAGE</a:t>
            </a:r>
            <a:r>
              <a:rPr lang="en-US" sz="1800" b="1" baseline="0">
                <a:solidFill>
                  <a:srgbClr val="6D6875"/>
                </a:solidFill>
              </a:rPr>
              <a:t> RATING  </a:t>
            </a:r>
            <a:endParaRPr lang="en-US" sz="1800" b="1">
              <a:solidFill>
                <a:srgbClr val="6D6875"/>
              </a:solidFill>
            </a:endParaRPr>
          </a:p>
        </c:rich>
      </c:tx>
      <c:layout>
        <c:manualLayout>
          <c:xMode val="edge"/>
          <c:yMode val="edge"/>
          <c:x val="0.3115257159465053"/>
          <c:y val="1.3098279558759892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rgbClr val="6D6875"/>
              </a:solidFill>
              <a:latin typeface="+mn-lt"/>
              <a:ea typeface="+mn-ea"/>
              <a:cs typeface="+mn-cs"/>
            </a:defRPr>
          </a:pPr>
          <a:endParaRPr lang="en-US"/>
        </a:p>
      </c:txPr>
    </c:title>
    <c:autoTitleDeleted val="0"/>
    <c:plotArea>
      <c:layout>
        <c:manualLayout>
          <c:layoutTarget val="inner"/>
          <c:xMode val="edge"/>
          <c:yMode val="edge"/>
          <c:x val="0.27370000139131179"/>
          <c:y val="0.15040467714659841"/>
          <c:w val="0.64659808038774824"/>
          <c:h val="0.7199531056510059"/>
        </c:manualLayout>
      </c:layout>
      <c:barChart>
        <c:barDir val="bar"/>
        <c:grouping val="stacked"/>
        <c:varyColors val="0"/>
        <c:ser>
          <c:idx val="0"/>
          <c:order val="0"/>
          <c:spPr>
            <a:solidFill>
              <a:srgbClr val="6D687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Pivots!$S$66:$S$68</c:f>
              <c:strCache>
                <c:ptCount val="3"/>
                <c:pt idx="0">
                  <c:v> Ahmed Elminofy </c:v>
                </c:pt>
                <c:pt idx="1">
                  <c:v> Mohamed Elbanhawy </c:v>
                </c:pt>
                <c:pt idx="2">
                  <c:v> Mostafa Eltantawy </c:v>
                </c:pt>
              </c:strCache>
            </c:strRef>
          </c:cat>
          <c:val>
            <c:numRef>
              <c:f>Pivots!$T$66:$T$68</c:f>
              <c:numCache>
                <c:formatCode>0.0</c:formatCode>
                <c:ptCount val="3"/>
                <c:pt idx="0">
                  <c:v>6.9499999999999993</c:v>
                </c:pt>
                <c:pt idx="1">
                  <c:v>6.9336134453781515</c:v>
                </c:pt>
                <c:pt idx="2">
                  <c:v>6.6586466165413531</c:v>
                </c:pt>
              </c:numCache>
            </c:numRef>
          </c:val>
          <c:extLst>
            <c:ext xmlns:c16="http://schemas.microsoft.com/office/drawing/2014/chart" uri="{C3380CC4-5D6E-409C-BE32-E72D297353CC}">
              <c16:uniqueId val="{00000000-4100-4BEE-B4E7-275AAE319EF4}"/>
            </c:ext>
          </c:extLst>
        </c:ser>
        <c:ser>
          <c:idx val="1"/>
          <c:order val="1"/>
          <c:spPr>
            <a:solidFill>
              <a:srgbClr val="FAE1D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Pivots!$S$66:$S$68</c:f>
              <c:strCache>
                <c:ptCount val="3"/>
                <c:pt idx="0">
                  <c:v> Ahmed Elminofy </c:v>
                </c:pt>
                <c:pt idx="1">
                  <c:v> Mohamed Elbanhawy </c:v>
                </c:pt>
                <c:pt idx="2">
                  <c:v> Mostafa Eltantawy </c:v>
                </c:pt>
              </c:strCache>
            </c:strRef>
          </c:cat>
          <c:val>
            <c:numRef>
              <c:f>Pivots!$U$66:$U$68</c:f>
              <c:numCache>
                <c:formatCode>General</c:formatCode>
                <c:ptCount val="3"/>
                <c:pt idx="0">
                  <c:v>10</c:v>
                </c:pt>
                <c:pt idx="1">
                  <c:v>10</c:v>
                </c:pt>
                <c:pt idx="2">
                  <c:v>10</c:v>
                </c:pt>
              </c:numCache>
            </c:numRef>
          </c:val>
          <c:extLst>
            <c:ext xmlns:c16="http://schemas.microsoft.com/office/drawing/2014/chart" uri="{C3380CC4-5D6E-409C-BE32-E72D297353CC}">
              <c16:uniqueId val="{00000001-4100-4BEE-B4E7-275AAE319EF4}"/>
            </c:ext>
          </c:extLst>
        </c:ser>
        <c:dLbls>
          <c:dLblPos val="ctr"/>
          <c:showLegendKey val="0"/>
          <c:showVal val="1"/>
          <c:showCatName val="0"/>
          <c:showSerName val="0"/>
          <c:showPercent val="0"/>
          <c:showBubbleSize val="0"/>
        </c:dLbls>
        <c:gapWidth val="120"/>
        <c:overlap val="100"/>
        <c:axId val="654242880"/>
        <c:axId val="654248456"/>
      </c:barChart>
      <c:catAx>
        <c:axId val="6542428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6D6875"/>
                </a:solidFill>
                <a:latin typeface="+mn-lt"/>
                <a:ea typeface="+mn-ea"/>
                <a:cs typeface="+mn-cs"/>
              </a:defRPr>
            </a:pPr>
            <a:endParaRPr lang="en-US"/>
          </a:p>
        </c:txPr>
        <c:crossAx val="654248456"/>
        <c:crosses val="autoZero"/>
        <c:auto val="1"/>
        <c:lblAlgn val="ctr"/>
        <c:lblOffset val="100"/>
        <c:noMultiLvlLbl val="0"/>
      </c:catAx>
      <c:valAx>
        <c:axId val="654248456"/>
        <c:scaling>
          <c:orientation val="minMax"/>
          <c:max val="10"/>
        </c:scaling>
        <c:delete val="0"/>
        <c:axPos val="b"/>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6D6875"/>
                </a:solidFill>
                <a:latin typeface="+mn-lt"/>
                <a:ea typeface="+mn-ea"/>
                <a:cs typeface="+mn-cs"/>
              </a:defRPr>
            </a:pPr>
            <a:endParaRPr lang="en-US"/>
          </a:p>
        </c:txPr>
        <c:crossAx val="65424288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rgbClr val="6D6875"/>
                </a:solidFill>
                <a:latin typeface="+mn-lt"/>
                <a:ea typeface="+mn-ea"/>
                <a:cs typeface="+mn-cs"/>
              </a:defRPr>
            </a:pPr>
            <a:r>
              <a:rPr lang="en-US" sz="1800" b="1">
                <a:solidFill>
                  <a:srgbClr val="6D6875"/>
                </a:solidFill>
              </a:rPr>
              <a:t>RETURNED</a:t>
            </a:r>
            <a:r>
              <a:rPr lang="en-US" sz="1800" b="1" baseline="0">
                <a:solidFill>
                  <a:srgbClr val="6D6875"/>
                </a:solidFill>
              </a:rPr>
              <a:t> ORDERS %</a:t>
            </a:r>
            <a:endParaRPr lang="en-US" sz="1800" b="1">
              <a:solidFill>
                <a:srgbClr val="6D6875"/>
              </a:solidFill>
            </a:endParaRPr>
          </a:p>
        </c:rich>
      </c:tx>
      <c:layout/>
      <c:overlay val="0"/>
      <c:spPr>
        <a:noFill/>
        <a:ln>
          <a:noFill/>
        </a:ln>
        <a:effectLst/>
      </c:spPr>
      <c:txPr>
        <a:bodyPr rot="0" spcFirstLastPara="1" vertOverflow="ellipsis" vert="horz" wrap="square" anchor="ctr" anchorCtr="1"/>
        <a:lstStyle/>
        <a:p>
          <a:pPr>
            <a:defRPr sz="1800" b="1" i="0" u="none" strike="noStrike" kern="1200" spc="0" baseline="0">
              <a:solidFill>
                <a:srgbClr val="6D6875"/>
              </a:solidFill>
              <a:latin typeface="+mn-lt"/>
              <a:ea typeface="+mn-ea"/>
              <a:cs typeface="+mn-cs"/>
            </a:defRPr>
          </a:pPr>
          <a:endParaRPr lang="en-US"/>
        </a:p>
      </c:txPr>
    </c:title>
    <c:autoTitleDeleted val="0"/>
    <c:plotArea>
      <c:layout>
        <c:manualLayout>
          <c:layoutTarget val="inner"/>
          <c:xMode val="edge"/>
          <c:yMode val="edge"/>
          <c:x val="0.44396984863569783"/>
          <c:y val="0.13109169611934243"/>
          <c:w val="0.55665839682979035"/>
          <c:h val="0.78927565120104637"/>
        </c:manualLayout>
      </c:layout>
      <c:doughnutChart>
        <c:varyColors val="1"/>
        <c:dLbls>
          <c:showLegendKey val="0"/>
          <c:showVal val="0"/>
          <c:showCatName val="0"/>
          <c:showSerName val="0"/>
          <c:showPercent val="0"/>
          <c:showBubbleSize val="0"/>
          <c:showLeaderLines val="0"/>
        </c:dLbls>
        <c:firstSliceAng val="0"/>
        <c:holeSize val="6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Pivots!$AB$11:$AC$11</c:f>
          <c:strCache>
            <c:ptCount val="2"/>
            <c:pt idx="0">
              <c:v>BRANCH SALES 2022 VS. 2021</c:v>
            </c:pt>
          </c:strCache>
        </c:strRef>
      </c:tx>
      <c:layout>
        <c:manualLayout>
          <c:xMode val="edge"/>
          <c:yMode val="edge"/>
          <c:x val="0.30727975767722804"/>
          <c:y val="2.2647455678885414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rgbClr val="6D6875"/>
              </a:solidFill>
              <a:latin typeface="+mn-lt"/>
              <a:ea typeface="+mn-ea"/>
              <a:cs typeface="+mn-cs"/>
            </a:defRPr>
          </a:pPr>
          <a:endParaRPr lang="en-US"/>
        </a:p>
      </c:txPr>
    </c:title>
    <c:autoTitleDeleted val="0"/>
    <c:plotArea>
      <c:layout/>
      <c:barChart>
        <c:barDir val="col"/>
        <c:grouping val="clustered"/>
        <c:varyColors val="0"/>
        <c:ser>
          <c:idx val="1"/>
          <c:order val="0"/>
          <c:tx>
            <c:strRef>
              <c:f>Pivots!$AC$13</c:f>
              <c:strCache>
                <c:ptCount val="1"/>
                <c:pt idx="0">
                  <c:v>2021</c:v>
                </c:pt>
              </c:strCache>
            </c:strRef>
          </c:tx>
          <c:spPr>
            <a:gradFill flip="none" rotWithShape="1">
              <a:gsLst>
                <a:gs pos="0">
                  <a:srgbClr val="6D6875">
                    <a:shade val="30000"/>
                    <a:satMod val="115000"/>
                  </a:srgbClr>
                </a:gs>
                <a:gs pos="50000">
                  <a:srgbClr val="6D6875">
                    <a:shade val="67500"/>
                    <a:satMod val="115000"/>
                  </a:srgbClr>
                </a:gs>
                <a:gs pos="100000">
                  <a:srgbClr val="6D6875">
                    <a:shade val="100000"/>
                    <a:satMod val="115000"/>
                  </a:srgbClr>
                </a:gs>
              </a:gsLst>
              <a:lin ang="0" scaled="1"/>
              <a:tileRect/>
            </a:gradFill>
            <a:ln>
              <a:solidFill>
                <a:srgbClr val="6D6875"/>
              </a:solid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6D687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Pivots!$AA$14:$AA$16</c:f>
              <c:strCache>
                <c:ptCount val="3"/>
                <c:pt idx="0">
                  <c:v>Br. A (Yangon)</c:v>
                </c:pt>
                <c:pt idx="1">
                  <c:v>Br. B (Mandalay)</c:v>
                </c:pt>
                <c:pt idx="2">
                  <c:v>Br. C (Naypyitaw)</c:v>
                </c:pt>
              </c:strCache>
            </c:strRef>
          </c:cat>
          <c:val>
            <c:numRef>
              <c:f>Pivots!$AC$14:$AC$16</c:f>
              <c:numCache>
                <c:formatCode>0," k"</c:formatCode>
                <c:ptCount val="3"/>
                <c:pt idx="0">
                  <c:v>26778.34</c:v>
                </c:pt>
                <c:pt idx="1">
                  <c:v>27077.29</c:v>
                </c:pt>
                <c:pt idx="2">
                  <c:v>29600.97</c:v>
                </c:pt>
              </c:numCache>
            </c:numRef>
          </c:val>
          <c:extLst>
            <c:ext xmlns:c16="http://schemas.microsoft.com/office/drawing/2014/chart" uri="{C3380CC4-5D6E-409C-BE32-E72D297353CC}">
              <c16:uniqueId val="{00000000-6C4A-489D-B7A3-AF19BE6B62B6}"/>
            </c:ext>
          </c:extLst>
        </c:ser>
        <c:ser>
          <c:idx val="2"/>
          <c:order val="1"/>
          <c:tx>
            <c:strRef>
              <c:f>Pivots!$AD$13</c:f>
              <c:strCache>
                <c:ptCount val="1"/>
                <c:pt idx="0">
                  <c:v>Increase 2022</c:v>
                </c:pt>
              </c:strCache>
            </c:strRef>
          </c:tx>
          <c:spPr>
            <a:solidFill>
              <a:srgbClr val="ADC10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6D687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Pivots!$AA$14:$AA$16</c:f>
              <c:strCache>
                <c:ptCount val="3"/>
                <c:pt idx="0">
                  <c:v>Br. A (Yangon)</c:v>
                </c:pt>
                <c:pt idx="1">
                  <c:v>Br. B (Mandalay)</c:v>
                </c:pt>
                <c:pt idx="2">
                  <c:v>Br. C (Naypyitaw)</c:v>
                </c:pt>
              </c:strCache>
            </c:strRef>
          </c:cat>
          <c:val>
            <c:numRef>
              <c:f>Pivots!$AD$14:$AD$16</c:f>
              <c:numCache>
                <c:formatCode>0," K";\-0," K";\ ""</c:formatCode>
                <c:ptCount val="3"/>
                <c:pt idx="0">
                  <c:v>38716.17</c:v>
                </c:pt>
                <c:pt idx="1">
                  <c:v>40951.71</c:v>
                </c:pt>
                <c:pt idx="2">
                  <c:v>38885.769999999997</c:v>
                </c:pt>
              </c:numCache>
            </c:numRef>
          </c:val>
          <c:extLst>
            <c:ext xmlns:c16="http://schemas.microsoft.com/office/drawing/2014/chart" uri="{C3380CC4-5D6E-409C-BE32-E72D297353CC}">
              <c16:uniqueId val="{00000001-6C4A-489D-B7A3-AF19BE6B62B6}"/>
            </c:ext>
          </c:extLst>
        </c:ser>
        <c:ser>
          <c:idx val="3"/>
          <c:order val="2"/>
          <c:tx>
            <c:strRef>
              <c:f>Pivots!$AE$13</c:f>
              <c:strCache>
                <c:ptCount val="1"/>
                <c:pt idx="0">
                  <c:v>Decrease 2022</c:v>
                </c:pt>
              </c:strCache>
            </c:strRef>
          </c:tx>
          <c:spPr>
            <a:solidFill>
              <a:srgbClr val="C9184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6D687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Pivots!$AA$14:$AA$16</c:f>
              <c:strCache>
                <c:ptCount val="3"/>
                <c:pt idx="0">
                  <c:v>Br. A (Yangon)</c:v>
                </c:pt>
                <c:pt idx="1">
                  <c:v>Br. B (Mandalay)</c:v>
                </c:pt>
                <c:pt idx="2">
                  <c:v>Br. C (Naypyitaw)</c:v>
                </c:pt>
              </c:strCache>
            </c:strRef>
          </c:cat>
          <c:val>
            <c:numRef>
              <c:f>Pivots!$AE$14:$AE$16</c:f>
              <c:numCache>
                <c:formatCode>0," K";\-0," K";\ ""</c:formatCode>
                <c:ptCount val="3"/>
                <c:pt idx="0">
                  <c:v>0</c:v>
                </c:pt>
                <c:pt idx="1">
                  <c:v>0</c:v>
                </c:pt>
                <c:pt idx="2">
                  <c:v>0</c:v>
                </c:pt>
              </c:numCache>
            </c:numRef>
          </c:val>
          <c:extLst>
            <c:ext xmlns:c16="http://schemas.microsoft.com/office/drawing/2014/chart" uri="{C3380CC4-5D6E-409C-BE32-E72D297353CC}">
              <c16:uniqueId val="{00000002-6C4A-489D-B7A3-AF19BE6B62B6}"/>
            </c:ext>
          </c:extLst>
        </c:ser>
        <c:dLbls>
          <c:dLblPos val="outEnd"/>
          <c:showLegendKey val="0"/>
          <c:showVal val="1"/>
          <c:showCatName val="0"/>
          <c:showSerName val="0"/>
          <c:showPercent val="0"/>
          <c:showBubbleSize val="0"/>
        </c:dLbls>
        <c:gapWidth val="219"/>
        <c:overlap val="-27"/>
        <c:axId val="388572440"/>
        <c:axId val="388566536"/>
      </c:barChart>
      <c:catAx>
        <c:axId val="388572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rgbClr val="6D6875"/>
                </a:solidFill>
                <a:latin typeface="+mn-lt"/>
                <a:ea typeface="+mn-ea"/>
                <a:cs typeface="+mn-cs"/>
              </a:defRPr>
            </a:pPr>
            <a:endParaRPr lang="en-US"/>
          </a:p>
        </c:txPr>
        <c:crossAx val="388566536"/>
        <c:crosses val="autoZero"/>
        <c:auto val="1"/>
        <c:lblAlgn val="ctr"/>
        <c:lblOffset val="100"/>
        <c:noMultiLvlLbl val="0"/>
      </c:catAx>
      <c:valAx>
        <c:axId val="388566536"/>
        <c:scaling>
          <c:orientation val="minMax"/>
        </c:scaling>
        <c:delete val="1"/>
        <c:axPos val="l"/>
        <c:numFmt formatCode="0,&quot; k&quot;" sourceLinked="1"/>
        <c:majorTickMark val="none"/>
        <c:minorTickMark val="none"/>
        <c:tickLblPos val="nextTo"/>
        <c:crossAx val="388572440"/>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1100" b="1" i="0" u="none" strike="noStrike" kern="1200" baseline="0">
              <a:solidFill>
                <a:srgbClr val="6D6875"/>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Pivots!$AB$28:$AD$28</c:f>
          <c:strCache>
            <c:ptCount val="3"/>
            <c:pt idx="0">
              <c:v>AVG. CUSTOMER RATING 2022 VS. 2021</c:v>
            </c:pt>
          </c:strCache>
        </c:strRef>
      </c:tx>
      <c:layout>
        <c:manualLayout>
          <c:xMode val="edge"/>
          <c:yMode val="edge"/>
          <c:x val="0.17039578084402887"/>
          <c:y val="3.5628201169083135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rgbClr val="6D6875"/>
              </a:solidFill>
              <a:latin typeface="+mn-lt"/>
              <a:ea typeface="+mn-ea"/>
              <a:cs typeface="+mn-cs"/>
            </a:defRPr>
          </a:pPr>
          <a:endParaRPr lang="en-US"/>
        </a:p>
      </c:txPr>
    </c:title>
    <c:autoTitleDeleted val="0"/>
    <c:plotArea>
      <c:layout>
        <c:manualLayout>
          <c:layoutTarget val="inner"/>
          <c:xMode val="edge"/>
          <c:yMode val="edge"/>
          <c:x val="2.58876048035683E-2"/>
          <c:y val="0.15344898457343795"/>
          <c:w val="0.9694055579594193"/>
          <c:h val="0.66012283218691492"/>
        </c:manualLayout>
      </c:layout>
      <c:barChart>
        <c:barDir val="col"/>
        <c:grouping val="clustered"/>
        <c:varyColors val="0"/>
        <c:ser>
          <c:idx val="1"/>
          <c:order val="0"/>
          <c:tx>
            <c:strRef>
              <c:f>Pivots!$AC$30</c:f>
              <c:strCache>
                <c:ptCount val="1"/>
                <c:pt idx="0">
                  <c:v>2021</c:v>
                </c:pt>
              </c:strCache>
            </c:strRef>
          </c:tx>
          <c:spPr>
            <a:gradFill flip="none" rotWithShape="1">
              <a:gsLst>
                <a:gs pos="0">
                  <a:srgbClr val="6D6875">
                    <a:shade val="30000"/>
                    <a:satMod val="115000"/>
                  </a:srgbClr>
                </a:gs>
                <a:gs pos="50000">
                  <a:srgbClr val="6D6875">
                    <a:shade val="67500"/>
                    <a:satMod val="115000"/>
                  </a:srgbClr>
                </a:gs>
                <a:gs pos="100000">
                  <a:srgbClr val="6D6875">
                    <a:shade val="100000"/>
                    <a:satMod val="115000"/>
                  </a:srgbClr>
                </a:gs>
              </a:gsLst>
              <a:lin ang="0" scaled="1"/>
              <a:tileRect/>
            </a:gra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6D687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Pivots!$AA$31:$AA$33</c:f>
              <c:strCache>
                <c:ptCount val="3"/>
                <c:pt idx="0">
                  <c:v>Ahmed Elminofy</c:v>
                </c:pt>
                <c:pt idx="1">
                  <c:v>Mohamed Elbanhawy</c:v>
                </c:pt>
                <c:pt idx="2">
                  <c:v>Mostafa Eltantawy</c:v>
                </c:pt>
              </c:strCache>
            </c:strRef>
          </c:cat>
          <c:val>
            <c:numRef>
              <c:f>Pivots!$AC$31:$AC$33</c:f>
              <c:numCache>
                <c:formatCode>_(* #,##0.00_);_(* \(#,##0.00\);_(* "-"??_);_(@_)</c:formatCode>
                <c:ptCount val="3"/>
                <c:pt idx="0">
                  <c:v>7.2829787234042556</c:v>
                </c:pt>
                <c:pt idx="1">
                  <c:v>7.1333333333333329</c:v>
                </c:pt>
                <c:pt idx="2">
                  <c:v>7.1782178217821784</c:v>
                </c:pt>
              </c:numCache>
            </c:numRef>
          </c:val>
          <c:extLst>
            <c:ext xmlns:c16="http://schemas.microsoft.com/office/drawing/2014/chart" uri="{C3380CC4-5D6E-409C-BE32-E72D297353CC}">
              <c16:uniqueId val="{00000000-0192-4D7D-9A7F-7249C66A3904}"/>
            </c:ext>
          </c:extLst>
        </c:ser>
        <c:ser>
          <c:idx val="2"/>
          <c:order val="1"/>
          <c:tx>
            <c:strRef>
              <c:f>Pivots!$AD$30</c:f>
              <c:strCache>
                <c:ptCount val="1"/>
                <c:pt idx="0">
                  <c:v>Increase 2022</c:v>
                </c:pt>
              </c:strCache>
            </c:strRef>
          </c:tx>
          <c:spPr>
            <a:solidFill>
              <a:srgbClr val="ADC10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6D687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Pivots!$AA$31:$AA$33</c:f>
              <c:strCache>
                <c:ptCount val="3"/>
                <c:pt idx="0">
                  <c:v>Ahmed Elminofy</c:v>
                </c:pt>
                <c:pt idx="1">
                  <c:v>Mohamed Elbanhawy</c:v>
                </c:pt>
                <c:pt idx="2">
                  <c:v>Mostafa Eltantawy</c:v>
                </c:pt>
              </c:strCache>
            </c:strRef>
          </c:cat>
          <c:val>
            <c:numRef>
              <c:f>Pivots!$AD$31:$AD$33</c:f>
              <c:numCache>
                <c:formatCode>_(* #,##0.00_);_(* \(#,##0.00\);_(* "-"??_);_(@_)</c:formatCode>
                <c:ptCount val="3"/>
                <c:pt idx="0">
                  <c:v>0</c:v>
                </c:pt>
                <c:pt idx="1">
                  <c:v>0</c:v>
                </c:pt>
                <c:pt idx="2">
                  <c:v>0</c:v>
                </c:pt>
              </c:numCache>
            </c:numRef>
          </c:val>
          <c:extLst>
            <c:ext xmlns:c16="http://schemas.microsoft.com/office/drawing/2014/chart" uri="{C3380CC4-5D6E-409C-BE32-E72D297353CC}">
              <c16:uniqueId val="{00000001-0192-4D7D-9A7F-7249C66A3904}"/>
            </c:ext>
          </c:extLst>
        </c:ser>
        <c:ser>
          <c:idx val="3"/>
          <c:order val="2"/>
          <c:tx>
            <c:strRef>
              <c:f>Pivots!$AE$30</c:f>
              <c:strCache>
                <c:ptCount val="1"/>
                <c:pt idx="0">
                  <c:v>Decrease 2022</c:v>
                </c:pt>
              </c:strCache>
            </c:strRef>
          </c:tx>
          <c:spPr>
            <a:solidFill>
              <a:srgbClr val="C9184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6D687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Pivots!$AA$31:$AA$33</c:f>
              <c:strCache>
                <c:ptCount val="3"/>
                <c:pt idx="0">
                  <c:v>Ahmed Elminofy</c:v>
                </c:pt>
                <c:pt idx="1">
                  <c:v>Mohamed Elbanhawy</c:v>
                </c:pt>
                <c:pt idx="2">
                  <c:v>Mostafa Eltantawy</c:v>
                </c:pt>
              </c:strCache>
            </c:strRef>
          </c:cat>
          <c:val>
            <c:numRef>
              <c:f>Pivots!$AE$31:$AE$33</c:f>
              <c:numCache>
                <c:formatCode>0.00</c:formatCode>
                <c:ptCount val="3"/>
                <c:pt idx="0">
                  <c:v>6.9499999999999993</c:v>
                </c:pt>
                <c:pt idx="1">
                  <c:v>6.9336134453781515</c:v>
                </c:pt>
                <c:pt idx="2">
                  <c:v>6.6586466165413531</c:v>
                </c:pt>
              </c:numCache>
            </c:numRef>
          </c:val>
          <c:extLst>
            <c:ext xmlns:c16="http://schemas.microsoft.com/office/drawing/2014/chart" uri="{C3380CC4-5D6E-409C-BE32-E72D297353CC}">
              <c16:uniqueId val="{00000002-0192-4D7D-9A7F-7249C66A3904}"/>
            </c:ext>
          </c:extLst>
        </c:ser>
        <c:dLbls>
          <c:dLblPos val="outEnd"/>
          <c:showLegendKey val="0"/>
          <c:showVal val="1"/>
          <c:showCatName val="0"/>
          <c:showSerName val="0"/>
          <c:showPercent val="0"/>
          <c:showBubbleSize val="0"/>
        </c:dLbls>
        <c:gapWidth val="219"/>
        <c:axId val="767125112"/>
        <c:axId val="767123472"/>
      </c:barChart>
      <c:catAx>
        <c:axId val="767125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rgbClr val="6D6875"/>
                </a:solidFill>
                <a:latin typeface="+mn-lt"/>
                <a:ea typeface="+mn-ea"/>
                <a:cs typeface="+mn-cs"/>
              </a:defRPr>
            </a:pPr>
            <a:endParaRPr lang="en-US"/>
          </a:p>
        </c:txPr>
        <c:crossAx val="767123472"/>
        <c:crosses val="autoZero"/>
        <c:auto val="1"/>
        <c:lblAlgn val="ctr"/>
        <c:lblOffset val="100"/>
        <c:noMultiLvlLbl val="0"/>
      </c:catAx>
      <c:valAx>
        <c:axId val="767123472"/>
        <c:scaling>
          <c:orientation val="minMax"/>
          <c:max val="10"/>
          <c:min val="1"/>
        </c:scaling>
        <c:delete val="1"/>
        <c:axPos val="l"/>
        <c:numFmt formatCode="_(* #,##0.00_);_(* \(#,##0.00\);_(* &quot;-&quot;??_);_(@_)" sourceLinked="1"/>
        <c:majorTickMark val="none"/>
        <c:minorTickMark val="none"/>
        <c:tickLblPos val="nextTo"/>
        <c:crossAx val="767125112"/>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1000" b="1" i="0" u="none" strike="noStrike" kern="1200" baseline="0">
              <a:solidFill>
                <a:srgbClr val="6D6875"/>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Pivots!$AB$48:$AD$48</c:f>
          <c:strCache>
            <c:ptCount val="3"/>
            <c:pt idx="0">
              <c:v>PRODUCT LINE SALES 2022 VS. 2021</c:v>
            </c:pt>
          </c:strCache>
        </c:strRef>
      </c:tx>
      <c:layout/>
      <c:overlay val="0"/>
      <c:spPr>
        <a:noFill/>
        <a:ln>
          <a:noFill/>
        </a:ln>
        <a:effectLst/>
      </c:spPr>
      <c:txPr>
        <a:bodyPr rot="0" spcFirstLastPara="1" vertOverflow="ellipsis" vert="horz" wrap="square" anchor="ctr" anchorCtr="1"/>
        <a:lstStyle/>
        <a:p>
          <a:pPr>
            <a:defRPr sz="1800" b="1" i="0" u="none" strike="noStrike" kern="1200" spc="0" baseline="0">
              <a:solidFill>
                <a:srgbClr val="6D6875"/>
              </a:solidFill>
              <a:latin typeface="+mn-lt"/>
              <a:ea typeface="+mn-ea"/>
              <a:cs typeface="+mn-cs"/>
            </a:defRPr>
          </a:pPr>
          <a:endParaRPr lang="en-US"/>
        </a:p>
      </c:txPr>
    </c:title>
    <c:autoTitleDeleted val="0"/>
    <c:plotArea>
      <c:layout/>
      <c:barChart>
        <c:barDir val="col"/>
        <c:grouping val="clustered"/>
        <c:varyColors val="0"/>
        <c:ser>
          <c:idx val="1"/>
          <c:order val="0"/>
          <c:tx>
            <c:strRef>
              <c:f>Pivots!$AC$50</c:f>
              <c:strCache>
                <c:ptCount val="1"/>
                <c:pt idx="0">
                  <c:v>2021</c:v>
                </c:pt>
              </c:strCache>
            </c:strRef>
          </c:tx>
          <c:spPr>
            <a:gradFill flip="none" rotWithShape="1">
              <a:gsLst>
                <a:gs pos="0">
                  <a:srgbClr val="6D6875">
                    <a:shade val="30000"/>
                    <a:satMod val="115000"/>
                  </a:srgbClr>
                </a:gs>
                <a:gs pos="50000">
                  <a:srgbClr val="6D6875">
                    <a:shade val="67500"/>
                    <a:satMod val="115000"/>
                  </a:srgbClr>
                </a:gs>
                <a:gs pos="100000">
                  <a:srgbClr val="6D6875">
                    <a:shade val="100000"/>
                    <a:satMod val="115000"/>
                  </a:srgbClr>
                </a:gs>
              </a:gsLst>
              <a:lin ang="0" scaled="1"/>
              <a:tileRect/>
            </a:gra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6D687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Pivots!$AA$51:$AA$56</c:f>
              <c:strCache>
                <c:ptCount val="6"/>
                <c:pt idx="0">
                  <c:v> Electronic accessories </c:v>
                </c:pt>
                <c:pt idx="1">
                  <c:v> Fashion accessories </c:v>
                </c:pt>
                <c:pt idx="2">
                  <c:v> Food and beverages </c:v>
                </c:pt>
                <c:pt idx="3">
                  <c:v> Health and beauty </c:v>
                </c:pt>
                <c:pt idx="4">
                  <c:v> Home and lifestyle </c:v>
                </c:pt>
                <c:pt idx="5">
                  <c:v> Sports and travel </c:v>
                </c:pt>
              </c:strCache>
            </c:strRef>
          </c:cat>
          <c:val>
            <c:numRef>
              <c:f>Pivots!$AC$51:$AC$56</c:f>
              <c:numCache>
                <c:formatCode>0," k"</c:formatCode>
                <c:ptCount val="6"/>
                <c:pt idx="0">
                  <c:v>9737.34</c:v>
                </c:pt>
                <c:pt idx="1">
                  <c:v>18927.240000000002</c:v>
                </c:pt>
                <c:pt idx="2">
                  <c:v>18235.88</c:v>
                </c:pt>
                <c:pt idx="3">
                  <c:v>7497.05</c:v>
                </c:pt>
                <c:pt idx="4">
                  <c:v>11281.04</c:v>
                </c:pt>
                <c:pt idx="5">
                  <c:v>17778.05</c:v>
                </c:pt>
              </c:numCache>
            </c:numRef>
          </c:val>
          <c:extLst>
            <c:ext xmlns:c16="http://schemas.microsoft.com/office/drawing/2014/chart" uri="{C3380CC4-5D6E-409C-BE32-E72D297353CC}">
              <c16:uniqueId val="{00000000-F664-420C-B88F-D059AC988D8F}"/>
            </c:ext>
          </c:extLst>
        </c:ser>
        <c:ser>
          <c:idx val="2"/>
          <c:order val="1"/>
          <c:tx>
            <c:strRef>
              <c:f>Pivots!$AD$50</c:f>
              <c:strCache>
                <c:ptCount val="1"/>
                <c:pt idx="0">
                  <c:v>Increase 2022</c:v>
                </c:pt>
              </c:strCache>
            </c:strRef>
          </c:tx>
          <c:spPr>
            <a:solidFill>
              <a:srgbClr val="ADC10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6D687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Pivots!$AA$51:$AA$56</c:f>
              <c:strCache>
                <c:ptCount val="6"/>
                <c:pt idx="0">
                  <c:v> Electronic accessories </c:v>
                </c:pt>
                <c:pt idx="1">
                  <c:v> Fashion accessories </c:v>
                </c:pt>
                <c:pt idx="2">
                  <c:v> Food and beverages </c:v>
                </c:pt>
                <c:pt idx="3">
                  <c:v> Health and beauty </c:v>
                </c:pt>
                <c:pt idx="4">
                  <c:v> Home and lifestyle </c:v>
                </c:pt>
                <c:pt idx="5">
                  <c:v> Sports and travel </c:v>
                </c:pt>
              </c:strCache>
            </c:strRef>
          </c:cat>
          <c:val>
            <c:numRef>
              <c:f>Pivots!$AD$51:$AD$56</c:f>
              <c:numCache>
                <c:formatCode>0," K";\-0," K";\ ""</c:formatCode>
                <c:ptCount val="6"/>
                <c:pt idx="0">
                  <c:v>24358.1</c:v>
                </c:pt>
                <c:pt idx="1">
                  <c:v>0</c:v>
                </c:pt>
                <c:pt idx="2">
                  <c:v>18311.5</c:v>
                </c:pt>
                <c:pt idx="3">
                  <c:v>20511.37</c:v>
                </c:pt>
                <c:pt idx="4">
                  <c:v>20946.71</c:v>
                </c:pt>
                <c:pt idx="5">
                  <c:v>0</c:v>
                </c:pt>
              </c:numCache>
            </c:numRef>
          </c:val>
          <c:extLst>
            <c:ext xmlns:c16="http://schemas.microsoft.com/office/drawing/2014/chart" uri="{C3380CC4-5D6E-409C-BE32-E72D297353CC}">
              <c16:uniqueId val="{00000001-F664-420C-B88F-D059AC988D8F}"/>
            </c:ext>
          </c:extLst>
        </c:ser>
        <c:ser>
          <c:idx val="3"/>
          <c:order val="2"/>
          <c:tx>
            <c:strRef>
              <c:f>Pivots!$AE$50</c:f>
              <c:strCache>
                <c:ptCount val="1"/>
                <c:pt idx="0">
                  <c:v>Decrease 2022</c:v>
                </c:pt>
              </c:strCache>
            </c:strRef>
          </c:tx>
          <c:spPr>
            <a:solidFill>
              <a:srgbClr val="C9184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6D687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Pivots!$AA$51:$AA$56</c:f>
              <c:strCache>
                <c:ptCount val="6"/>
                <c:pt idx="0">
                  <c:v> Electronic accessories </c:v>
                </c:pt>
                <c:pt idx="1">
                  <c:v> Fashion accessories </c:v>
                </c:pt>
                <c:pt idx="2">
                  <c:v> Food and beverages </c:v>
                </c:pt>
                <c:pt idx="3">
                  <c:v> Health and beauty </c:v>
                </c:pt>
                <c:pt idx="4">
                  <c:v> Home and lifestyle </c:v>
                </c:pt>
                <c:pt idx="5">
                  <c:v> Sports and travel </c:v>
                </c:pt>
              </c:strCache>
            </c:strRef>
          </c:cat>
          <c:val>
            <c:numRef>
              <c:f>Pivots!$AE$51:$AE$56</c:f>
              <c:numCache>
                <c:formatCode>0," K";\-0," K";\ ""</c:formatCode>
                <c:ptCount val="6"/>
                <c:pt idx="0">
                  <c:v>0</c:v>
                </c:pt>
                <c:pt idx="1">
                  <c:v>18200.21</c:v>
                </c:pt>
                <c:pt idx="2">
                  <c:v>0</c:v>
                </c:pt>
                <c:pt idx="3">
                  <c:v>0</c:v>
                </c:pt>
                <c:pt idx="4">
                  <c:v>0</c:v>
                </c:pt>
                <c:pt idx="5">
                  <c:v>16225.76</c:v>
                </c:pt>
              </c:numCache>
            </c:numRef>
          </c:val>
          <c:extLst>
            <c:ext xmlns:c16="http://schemas.microsoft.com/office/drawing/2014/chart" uri="{C3380CC4-5D6E-409C-BE32-E72D297353CC}">
              <c16:uniqueId val="{00000002-F664-420C-B88F-D059AC988D8F}"/>
            </c:ext>
          </c:extLst>
        </c:ser>
        <c:dLbls>
          <c:dLblPos val="outEnd"/>
          <c:showLegendKey val="0"/>
          <c:showVal val="1"/>
          <c:showCatName val="0"/>
          <c:showSerName val="0"/>
          <c:showPercent val="0"/>
          <c:showBubbleSize val="0"/>
        </c:dLbls>
        <c:gapWidth val="219"/>
        <c:overlap val="-27"/>
        <c:axId val="766550432"/>
        <c:axId val="766551088"/>
      </c:barChart>
      <c:catAx>
        <c:axId val="766550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rgbClr val="6D6875"/>
                </a:solidFill>
                <a:latin typeface="+mn-lt"/>
                <a:ea typeface="+mn-ea"/>
                <a:cs typeface="+mn-cs"/>
              </a:defRPr>
            </a:pPr>
            <a:endParaRPr lang="en-US"/>
          </a:p>
        </c:txPr>
        <c:crossAx val="766551088"/>
        <c:crosses val="autoZero"/>
        <c:auto val="1"/>
        <c:lblAlgn val="ctr"/>
        <c:lblOffset val="100"/>
        <c:noMultiLvlLbl val="0"/>
      </c:catAx>
      <c:valAx>
        <c:axId val="766551088"/>
        <c:scaling>
          <c:orientation val="minMax"/>
        </c:scaling>
        <c:delete val="1"/>
        <c:axPos val="l"/>
        <c:numFmt formatCode="0,&quot; k&quot;" sourceLinked="1"/>
        <c:majorTickMark val="none"/>
        <c:minorTickMark val="none"/>
        <c:tickLblPos val="nextTo"/>
        <c:crossAx val="766550432"/>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Pivots!$AB$70:$AD$70</c:f>
          <c:strCache>
            <c:ptCount val="3"/>
            <c:pt idx="0">
              <c:v>RETURNS 2022 VS. 2021 PER BRANCH</c:v>
            </c:pt>
          </c:strCache>
        </c:strRef>
      </c:tx>
      <c:layout>
        <c:manualLayout>
          <c:xMode val="edge"/>
          <c:yMode val="edge"/>
          <c:x val="0.31560393662596398"/>
          <c:y val="2.6529451608034663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rgbClr val="6D6875"/>
              </a:solidFill>
              <a:latin typeface="+mn-lt"/>
              <a:ea typeface="+mn-ea"/>
              <a:cs typeface="+mn-cs"/>
            </a:defRPr>
          </a:pPr>
          <a:endParaRPr lang="en-US"/>
        </a:p>
      </c:txPr>
    </c:title>
    <c:autoTitleDeleted val="0"/>
    <c:plotArea>
      <c:layout>
        <c:manualLayout>
          <c:layoutTarget val="inner"/>
          <c:xMode val="edge"/>
          <c:yMode val="edge"/>
          <c:x val="0"/>
          <c:y val="0.17145869417877851"/>
          <c:w val="1"/>
          <c:h val="0.67105147345783067"/>
        </c:manualLayout>
      </c:layout>
      <c:barChart>
        <c:barDir val="col"/>
        <c:grouping val="clustered"/>
        <c:varyColors val="0"/>
        <c:ser>
          <c:idx val="1"/>
          <c:order val="0"/>
          <c:tx>
            <c:strRef>
              <c:f>Pivots!$AC$72</c:f>
              <c:strCache>
                <c:ptCount val="1"/>
                <c:pt idx="0">
                  <c:v>2021</c:v>
                </c:pt>
              </c:strCache>
            </c:strRef>
          </c:tx>
          <c:spPr>
            <a:gradFill flip="none" rotWithShape="1">
              <a:gsLst>
                <a:gs pos="0">
                  <a:srgbClr val="6D6875">
                    <a:shade val="30000"/>
                    <a:satMod val="115000"/>
                  </a:srgbClr>
                </a:gs>
                <a:gs pos="50000">
                  <a:srgbClr val="6D6875">
                    <a:shade val="67500"/>
                    <a:satMod val="115000"/>
                  </a:srgbClr>
                </a:gs>
                <a:gs pos="100000">
                  <a:srgbClr val="6D6875">
                    <a:shade val="100000"/>
                    <a:satMod val="115000"/>
                  </a:srgbClr>
                </a:gs>
              </a:gsLst>
              <a:lin ang="2700000" scaled="1"/>
              <a:tileRect/>
            </a:gra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6D687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Pivots!$AA$73:$AA$76</c:f>
              <c:strCache>
                <c:ptCount val="4"/>
                <c:pt idx="1">
                  <c:v>Br. A (Yangon)</c:v>
                </c:pt>
                <c:pt idx="2">
                  <c:v>Br. B (Mandalay)</c:v>
                </c:pt>
                <c:pt idx="3">
                  <c:v>Br. C (Naypyitaw)</c:v>
                </c:pt>
              </c:strCache>
            </c:strRef>
          </c:cat>
          <c:val>
            <c:numRef>
              <c:f>Pivots!$AC$73:$AC$76</c:f>
              <c:numCache>
                <c:formatCode>0," k"</c:formatCode>
                <c:ptCount val="4"/>
                <c:pt idx="1">
                  <c:v>3019.83</c:v>
                </c:pt>
                <c:pt idx="2">
                  <c:v>2693.12</c:v>
                </c:pt>
                <c:pt idx="3">
                  <c:v>2863.57</c:v>
                </c:pt>
              </c:numCache>
            </c:numRef>
          </c:val>
          <c:extLst>
            <c:ext xmlns:c16="http://schemas.microsoft.com/office/drawing/2014/chart" uri="{C3380CC4-5D6E-409C-BE32-E72D297353CC}">
              <c16:uniqueId val="{00000000-89EC-4479-B73C-A23C414FACDF}"/>
            </c:ext>
          </c:extLst>
        </c:ser>
        <c:ser>
          <c:idx val="2"/>
          <c:order val="1"/>
          <c:tx>
            <c:strRef>
              <c:f>Pivots!$AD$72</c:f>
              <c:strCache>
                <c:ptCount val="1"/>
                <c:pt idx="0">
                  <c:v>Increase 2022</c:v>
                </c:pt>
              </c:strCache>
            </c:strRef>
          </c:tx>
          <c:spPr>
            <a:solidFill>
              <a:srgbClr val="C9184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6D687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Pivots!$AA$73:$AA$76</c:f>
              <c:strCache>
                <c:ptCount val="4"/>
                <c:pt idx="1">
                  <c:v>Br. A (Yangon)</c:v>
                </c:pt>
                <c:pt idx="2">
                  <c:v>Br. B (Mandalay)</c:v>
                </c:pt>
                <c:pt idx="3">
                  <c:v>Br. C (Naypyitaw)</c:v>
                </c:pt>
              </c:strCache>
            </c:strRef>
          </c:cat>
          <c:val>
            <c:numRef>
              <c:f>Pivots!$AD$73:$AD$76</c:f>
              <c:numCache>
                <c:formatCode>0," K";\-0," K";\ ""</c:formatCode>
                <c:ptCount val="4"/>
                <c:pt idx="1">
                  <c:v>3680.67</c:v>
                </c:pt>
                <c:pt idx="2">
                  <c:v>6020.39</c:v>
                </c:pt>
                <c:pt idx="3">
                  <c:v>3704.48</c:v>
                </c:pt>
              </c:numCache>
            </c:numRef>
          </c:val>
          <c:extLst>
            <c:ext xmlns:c16="http://schemas.microsoft.com/office/drawing/2014/chart" uri="{C3380CC4-5D6E-409C-BE32-E72D297353CC}">
              <c16:uniqueId val="{00000001-89EC-4479-B73C-A23C414FACDF}"/>
            </c:ext>
          </c:extLst>
        </c:ser>
        <c:ser>
          <c:idx val="3"/>
          <c:order val="2"/>
          <c:tx>
            <c:strRef>
              <c:f>Pivots!$AE$72</c:f>
              <c:strCache>
                <c:ptCount val="1"/>
                <c:pt idx="0">
                  <c:v>Decrease 2022</c:v>
                </c:pt>
              </c:strCache>
            </c:strRef>
          </c:tx>
          <c:spPr>
            <a:solidFill>
              <a:srgbClr val="ADC10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6D687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Pivots!$AA$73:$AA$76</c:f>
              <c:strCache>
                <c:ptCount val="4"/>
                <c:pt idx="1">
                  <c:v>Br. A (Yangon)</c:v>
                </c:pt>
                <c:pt idx="2">
                  <c:v>Br. B (Mandalay)</c:v>
                </c:pt>
                <c:pt idx="3">
                  <c:v>Br. C (Naypyitaw)</c:v>
                </c:pt>
              </c:strCache>
            </c:strRef>
          </c:cat>
          <c:val>
            <c:numRef>
              <c:f>Pivots!$AE$73:$AE$76</c:f>
              <c:numCache>
                <c:formatCode>0," K";\-0," K";\ ""</c:formatCode>
                <c:ptCount val="4"/>
                <c:pt idx="1">
                  <c:v>0</c:v>
                </c:pt>
                <c:pt idx="2">
                  <c:v>0</c:v>
                </c:pt>
                <c:pt idx="3">
                  <c:v>0</c:v>
                </c:pt>
              </c:numCache>
            </c:numRef>
          </c:val>
          <c:extLst>
            <c:ext xmlns:c16="http://schemas.microsoft.com/office/drawing/2014/chart" uri="{C3380CC4-5D6E-409C-BE32-E72D297353CC}">
              <c16:uniqueId val="{00000002-89EC-4479-B73C-A23C414FACDF}"/>
            </c:ext>
          </c:extLst>
        </c:ser>
        <c:dLbls>
          <c:dLblPos val="outEnd"/>
          <c:showLegendKey val="0"/>
          <c:showVal val="1"/>
          <c:showCatName val="0"/>
          <c:showSerName val="0"/>
          <c:showPercent val="0"/>
          <c:showBubbleSize val="0"/>
        </c:dLbls>
        <c:gapWidth val="219"/>
        <c:overlap val="-27"/>
        <c:axId val="635786400"/>
        <c:axId val="635786728"/>
      </c:barChart>
      <c:catAx>
        <c:axId val="635786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rgbClr val="6D6875"/>
                </a:solidFill>
                <a:latin typeface="+mn-lt"/>
                <a:ea typeface="+mn-ea"/>
                <a:cs typeface="+mn-cs"/>
              </a:defRPr>
            </a:pPr>
            <a:endParaRPr lang="en-US"/>
          </a:p>
        </c:txPr>
        <c:crossAx val="635786728"/>
        <c:crosses val="autoZero"/>
        <c:auto val="1"/>
        <c:lblAlgn val="ctr"/>
        <c:lblOffset val="100"/>
        <c:noMultiLvlLbl val="0"/>
      </c:catAx>
      <c:valAx>
        <c:axId val="635786728"/>
        <c:scaling>
          <c:orientation val="minMax"/>
        </c:scaling>
        <c:delete val="1"/>
        <c:axPos val="l"/>
        <c:numFmt formatCode="0,&quot; k&quot;" sourceLinked="1"/>
        <c:majorTickMark val="none"/>
        <c:minorTickMark val="none"/>
        <c:tickLblPos val="nextTo"/>
        <c:crossAx val="635786400"/>
        <c:crosses val="autoZero"/>
        <c:crossBetween val="between"/>
      </c:valAx>
      <c:spPr>
        <a:noFill/>
        <a:ln>
          <a:noFill/>
        </a:ln>
        <a:effectLst/>
      </c:spPr>
    </c:plotArea>
    <c:legend>
      <c:legendPos val="b"/>
      <c:layout>
        <c:manualLayout>
          <c:xMode val="edge"/>
          <c:yMode val="edge"/>
          <c:x val="0.39339320575028819"/>
          <c:y val="0.90816919105539684"/>
          <c:w val="0.41938396683018481"/>
          <c:h val="6.1985175885564063E-2"/>
        </c:manualLayout>
      </c:layout>
      <c:overlay val="0"/>
      <c:spPr>
        <a:noFill/>
        <a:ln>
          <a:noFill/>
        </a:ln>
        <a:effectLst/>
      </c:spPr>
      <c:txPr>
        <a:bodyPr rot="0" spcFirstLastPara="1" vertOverflow="ellipsis" vert="horz" wrap="square" anchor="ctr" anchorCtr="1"/>
        <a:lstStyle/>
        <a:p>
          <a:pPr>
            <a:defRPr sz="1050" b="1" i="0" u="none" strike="noStrike" kern="1200" baseline="0">
              <a:solidFill>
                <a:srgbClr val="6D6875"/>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[Amira Essam final.xlsx]Pivots!PivotTable2</c:name>
    <c:fmtId val="21"/>
  </c:pivotSource>
  <c:chart>
    <c:title>
      <c:tx>
        <c:rich>
          <a:bodyPr rot="0" spcFirstLastPara="1" vertOverflow="ellipsis" vert="horz" wrap="square" anchor="ctr" anchorCtr="1"/>
          <a:lstStyle/>
          <a:p>
            <a:pPr>
              <a:defRPr sz="1800" b="1" i="0" u="none" strike="noStrike" kern="1200" spc="0" baseline="0">
                <a:solidFill>
                  <a:srgbClr val="6D6875"/>
                </a:solidFill>
                <a:latin typeface="+mn-lt"/>
                <a:ea typeface="+mn-ea"/>
                <a:cs typeface="+mn-cs"/>
              </a:defRPr>
            </a:pPr>
            <a:r>
              <a:rPr lang="en-US" sz="1800" b="1">
                <a:solidFill>
                  <a:srgbClr val="6D6875"/>
                </a:solidFill>
              </a:rPr>
              <a:t>REP PERFORMANCE </a:t>
            </a:r>
          </a:p>
        </c:rich>
      </c:tx>
      <c:layout>
        <c:manualLayout>
          <c:xMode val="edge"/>
          <c:yMode val="edge"/>
          <c:x val="0.37424572374933235"/>
          <c:y val="2.4044627044704472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rgbClr val="6D6875"/>
              </a:solidFill>
              <a:latin typeface="+mn-lt"/>
              <a:ea typeface="+mn-ea"/>
              <a:cs typeface="+mn-cs"/>
            </a:defRPr>
          </a:pPr>
          <a:endParaRPr lang="en-US"/>
        </a:p>
      </c:txPr>
    </c:title>
    <c:autoTitleDeleted val="0"/>
    <c:pivotFmts>
      <c:pivotFmt>
        <c:idx val="0"/>
        <c:spPr>
          <a:solidFill>
            <a:srgbClr val="6D6875"/>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rgbClr val="6D687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B4A2"/>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rgbClr val="6D687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D6875"/>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rgbClr val="6D687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B4A2"/>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rgbClr val="6D687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6D6875"/>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rgbClr val="6D687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B4A2"/>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rgbClr val="6D687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6D6875"/>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rgbClr val="6D687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B4A2"/>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rgbClr val="6D687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rgbClr val="6D6875">
                  <a:shade val="30000"/>
                  <a:satMod val="115000"/>
                </a:srgbClr>
              </a:gs>
              <a:gs pos="50000">
                <a:srgbClr val="6D6875">
                  <a:shade val="67500"/>
                  <a:satMod val="115000"/>
                </a:srgbClr>
              </a:gs>
              <a:gs pos="100000">
                <a:srgbClr val="6D6875">
                  <a:shade val="100000"/>
                  <a:satMod val="115000"/>
                </a:srgbClr>
              </a:gs>
            </a:gsLst>
            <a:lin ang="0" scaled="1"/>
            <a:tileRect/>
          </a:gradFill>
          <a:ln>
            <a:noFill/>
          </a:ln>
          <a:effectLst>
            <a:outerShdw blurRad="50800" dist="38100" dir="2700000" algn="tl" rotWithShape="0">
              <a:prstClr val="black">
                <a:alpha val="40000"/>
              </a:prstClr>
            </a:outerShdw>
          </a:effectLst>
        </c:spPr>
        <c:marker>
          <c:symbol val="none"/>
        </c:marker>
        <c:dLbl>
          <c:idx val="0"/>
          <c:layout/>
          <c:spPr>
            <a:noFill/>
            <a:ln>
              <a:noFill/>
            </a:ln>
            <a:effectLst/>
          </c:spPr>
          <c:txPr>
            <a:bodyPr rot="0" spcFirstLastPara="1" vertOverflow="ellipsis" vert="horz" wrap="square" anchor="ctr" anchorCtr="1"/>
            <a:lstStyle/>
            <a:p>
              <a:pPr>
                <a:defRPr sz="1100" b="1" i="0" u="none" strike="noStrike" kern="1200" baseline="0">
                  <a:solidFill>
                    <a:srgbClr val="6D687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rgbClr val="FAE1DD"/>
          </a:solidFill>
          <a:ln>
            <a:noFill/>
          </a:ln>
          <a:effectLst>
            <a:outerShdw blurRad="50800" dist="38100" dir="2700000" algn="tl" rotWithShape="0">
              <a:prstClr val="black">
                <a:alpha val="40000"/>
              </a:prstClr>
            </a:outerShdw>
          </a:effectLst>
        </c:spPr>
        <c:marker>
          <c:symbol val="none"/>
        </c:marker>
        <c:dLbl>
          <c:idx val="0"/>
          <c:layout/>
          <c:spPr>
            <a:noFill/>
            <a:ln>
              <a:noFill/>
            </a:ln>
            <a:effectLst/>
          </c:spPr>
          <c:txPr>
            <a:bodyPr rot="0" spcFirstLastPara="1" vertOverflow="ellipsis" vert="horz" wrap="square" anchor="ctr" anchorCtr="1"/>
            <a:lstStyle/>
            <a:p>
              <a:pPr>
                <a:defRPr sz="1100" b="1" i="0" u="none" strike="noStrike" kern="1200" baseline="0">
                  <a:solidFill>
                    <a:srgbClr val="6D687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Pivots!$R$53</c:f>
              <c:strCache>
                <c:ptCount val="1"/>
                <c:pt idx="0">
                  <c:v>Sum of Total</c:v>
                </c:pt>
              </c:strCache>
            </c:strRef>
          </c:tx>
          <c:spPr>
            <a:gradFill flip="none" rotWithShape="1">
              <a:gsLst>
                <a:gs pos="0">
                  <a:srgbClr val="6D6875">
                    <a:shade val="30000"/>
                    <a:satMod val="115000"/>
                  </a:srgbClr>
                </a:gs>
                <a:gs pos="50000">
                  <a:srgbClr val="6D6875">
                    <a:shade val="67500"/>
                    <a:satMod val="115000"/>
                  </a:srgbClr>
                </a:gs>
                <a:gs pos="100000">
                  <a:srgbClr val="6D6875">
                    <a:shade val="100000"/>
                    <a:satMod val="115000"/>
                  </a:srgbClr>
                </a:gs>
              </a:gsLst>
              <a:lin ang="0" scaled="1"/>
              <a:tileRect/>
            </a:gra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anchor="ctr" anchorCtr="1"/>
              <a:lstStyle/>
              <a:p>
                <a:pPr>
                  <a:defRPr sz="1100" b="1" i="0" u="none" strike="noStrike" kern="1200" baseline="0">
                    <a:solidFill>
                      <a:srgbClr val="6D687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Pivots!$Q$54:$Q$57</c:f>
              <c:strCache>
                <c:ptCount val="3"/>
                <c:pt idx="0">
                  <c:v>Ahmed Elminofy</c:v>
                </c:pt>
                <c:pt idx="1">
                  <c:v>Mohamed Elbanhawy</c:v>
                </c:pt>
                <c:pt idx="2">
                  <c:v>Mostafa Eltantawy</c:v>
                </c:pt>
              </c:strCache>
            </c:strRef>
          </c:cat>
          <c:val>
            <c:numRef>
              <c:f>Pivots!$R$54:$R$57</c:f>
              <c:numCache>
                <c:formatCode>_-* #,##0\ _ج_._م_._‏_-;\-* #,##0\ _ج_._م_._‏_-;_-* "-"??\ _ج_._م_._‏_-;_-@_-</c:formatCode>
                <c:ptCount val="3"/>
                <c:pt idx="0">
                  <c:v>38716.17</c:v>
                </c:pt>
                <c:pt idx="1">
                  <c:v>38885.769999999997</c:v>
                </c:pt>
                <c:pt idx="2">
                  <c:v>40951.71</c:v>
                </c:pt>
              </c:numCache>
            </c:numRef>
          </c:val>
          <c:extLst>
            <c:ext xmlns:c16="http://schemas.microsoft.com/office/drawing/2014/chart" uri="{C3380CC4-5D6E-409C-BE32-E72D297353CC}">
              <c16:uniqueId val="{00000000-A0CF-4C59-8757-E6C57EC285C4}"/>
            </c:ext>
          </c:extLst>
        </c:ser>
        <c:ser>
          <c:idx val="1"/>
          <c:order val="1"/>
          <c:tx>
            <c:strRef>
              <c:f>Pivots!$S$53</c:f>
              <c:strCache>
                <c:ptCount val="1"/>
                <c:pt idx="0">
                  <c:v>Sum of Net Profit</c:v>
                </c:pt>
              </c:strCache>
            </c:strRef>
          </c:tx>
          <c:spPr>
            <a:solidFill>
              <a:srgbClr val="FAE1DD"/>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anchor="ctr" anchorCtr="1"/>
              <a:lstStyle/>
              <a:p>
                <a:pPr>
                  <a:defRPr sz="1100" b="1" i="0" u="none" strike="noStrike" kern="1200" baseline="0">
                    <a:solidFill>
                      <a:srgbClr val="6D687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Pivots!$Q$54:$Q$57</c:f>
              <c:strCache>
                <c:ptCount val="3"/>
                <c:pt idx="0">
                  <c:v>Ahmed Elminofy</c:v>
                </c:pt>
                <c:pt idx="1">
                  <c:v>Mohamed Elbanhawy</c:v>
                </c:pt>
                <c:pt idx="2">
                  <c:v>Mostafa Eltantawy</c:v>
                </c:pt>
              </c:strCache>
            </c:strRef>
          </c:cat>
          <c:val>
            <c:numRef>
              <c:f>Pivots!$S$54:$S$57</c:f>
              <c:numCache>
                <c:formatCode>_-* #,##0\ _ج_._م_._‏_-;\-* #,##0\ _ج_._م_._‏_-;_-* "-"??\ _ج_._م_._‏_-;_-@_-</c:formatCode>
                <c:ptCount val="3"/>
                <c:pt idx="0">
                  <c:v>9679.0424999999996</c:v>
                </c:pt>
                <c:pt idx="1">
                  <c:v>9721.4424999999992</c:v>
                </c:pt>
                <c:pt idx="2">
                  <c:v>10237.9275</c:v>
                </c:pt>
              </c:numCache>
            </c:numRef>
          </c:val>
          <c:extLst>
            <c:ext xmlns:c16="http://schemas.microsoft.com/office/drawing/2014/chart" uri="{C3380CC4-5D6E-409C-BE32-E72D297353CC}">
              <c16:uniqueId val="{00000001-A0CF-4C59-8757-E6C57EC285C4}"/>
            </c:ext>
          </c:extLst>
        </c:ser>
        <c:dLbls>
          <c:dLblPos val="outEnd"/>
          <c:showLegendKey val="0"/>
          <c:showVal val="1"/>
          <c:showCatName val="0"/>
          <c:showSerName val="0"/>
          <c:showPercent val="0"/>
          <c:showBubbleSize val="0"/>
        </c:dLbls>
        <c:gapWidth val="219"/>
        <c:overlap val="-27"/>
        <c:axId val="764627576"/>
        <c:axId val="764627904"/>
      </c:barChart>
      <c:catAx>
        <c:axId val="764627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rgbClr val="6D6875"/>
                </a:solidFill>
                <a:latin typeface="+mn-lt"/>
                <a:ea typeface="+mn-ea"/>
                <a:cs typeface="+mn-cs"/>
              </a:defRPr>
            </a:pPr>
            <a:endParaRPr lang="en-US"/>
          </a:p>
        </c:txPr>
        <c:crossAx val="764627904"/>
        <c:crosses val="autoZero"/>
        <c:auto val="1"/>
        <c:lblAlgn val="ctr"/>
        <c:lblOffset val="100"/>
        <c:noMultiLvlLbl val="0"/>
      </c:catAx>
      <c:valAx>
        <c:axId val="764627904"/>
        <c:scaling>
          <c:orientation val="minMax"/>
        </c:scaling>
        <c:delete val="1"/>
        <c:axPos val="l"/>
        <c:numFmt formatCode="_-* #,##0\ _ج_._م_._‏_-;\-* #,##0\ _ج_._م_._‏_-;_-* &quot;-&quot;??\ _ج_._م_._‏_-;_-@_-" sourceLinked="1"/>
        <c:majorTickMark val="none"/>
        <c:minorTickMark val="none"/>
        <c:tickLblPos val="nextTo"/>
        <c:crossAx val="764627576"/>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1200" b="1" i="0" u="none" strike="noStrike" kern="1200" baseline="0">
              <a:solidFill>
                <a:srgbClr val="6D6875"/>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sz="105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Pivots!$AB$94</c:f>
          <c:strCache>
            <c:ptCount val="1"/>
            <c:pt idx="0">
              <c:v>RETURNS 2022 VS. 2021 PER PRODUCT LINE</c:v>
            </c:pt>
          </c:strCache>
        </c:strRef>
      </c:tx>
      <c:layout>
        <c:manualLayout>
          <c:xMode val="edge"/>
          <c:yMode val="edge"/>
          <c:x val="0.28432516609745145"/>
          <c:y val="2.3373632911968166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rgbClr val="6D6875"/>
              </a:solidFill>
              <a:latin typeface="+mn-lt"/>
              <a:ea typeface="+mn-ea"/>
              <a:cs typeface="+mn-cs"/>
            </a:defRPr>
          </a:pPr>
          <a:endParaRPr lang="en-US"/>
        </a:p>
      </c:txPr>
    </c:title>
    <c:autoTitleDeleted val="0"/>
    <c:plotArea>
      <c:layout>
        <c:manualLayout>
          <c:layoutTarget val="inner"/>
          <c:xMode val="edge"/>
          <c:yMode val="edge"/>
          <c:x val="0"/>
          <c:y val="0.15017572291964806"/>
          <c:w val="0.99858006461661108"/>
          <c:h val="0.67810695132894483"/>
        </c:manualLayout>
      </c:layout>
      <c:barChart>
        <c:barDir val="col"/>
        <c:grouping val="clustered"/>
        <c:varyColors val="0"/>
        <c:ser>
          <c:idx val="1"/>
          <c:order val="0"/>
          <c:tx>
            <c:strRef>
              <c:f>Pivots!$AC$96</c:f>
              <c:strCache>
                <c:ptCount val="1"/>
                <c:pt idx="0">
                  <c:v>2021</c:v>
                </c:pt>
              </c:strCache>
            </c:strRef>
          </c:tx>
          <c:spPr>
            <a:gradFill flip="none" rotWithShape="1">
              <a:gsLst>
                <a:gs pos="0">
                  <a:srgbClr val="6D6875">
                    <a:shade val="30000"/>
                    <a:satMod val="115000"/>
                  </a:srgbClr>
                </a:gs>
                <a:gs pos="50000">
                  <a:srgbClr val="6D6875">
                    <a:shade val="67500"/>
                    <a:satMod val="115000"/>
                  </a:srgbClr>
                </a:gs>
                <a:gs pos="100000">
                  <a:srgbClr val="6D6875">
                    <a:shade val="100000"/>
                    <a:satMod val="115000"/>
                  </a:srgbClr>
                </a:gs>
              </a:gsLst>
              <a:lin ang="0" scaled="1"/>
              <a:tileRect/>
            </a:gra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6D687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Pivots!$AA$97:$AA$103</c:f>
              <c:strCache>
                <c:ptCount val="7"/>
                <c:pt idx="1">
                  <c:v>Electronic accessories</c:v>
                </c:pt>
                <c:pt idx="2">
                  <c:v>Fashion accessories</c:v>
                </c:pt>
                <c:pt idx="3">
                  <c:v>Food and beverages</c:v>
                </c:pt>
                <c:pt idx="4">
                  <c:v>Health and beauty</c:v>
                </c:pt>
                <c:pt idx="5">
                  <c:v>Home and lifestyle</c:v>
                </c:pt>
                <c:pt idx="6">
                  <c:v>Sports and travel</c:v>
                </c:pt>
              </c:strCache>
            </c:strRef>
          </c:cat>
          <c:val>
            <c:numRef>
              <c:f>Pivots!$AC$97:$AC$103</c:f>
              <c:numCache>
                <c:formatCode>0," k"</c:formatCode>
                <c:ptCount val="7"/>
                <c:pt idx="1">
                  <c:v>303.2</c:v>
                </c:pt>
                <c:pt idx="2">
                  <c:v>2384.79</c:v>
                </c:pt>
                <c:pt idx="3">
                  <c:v>1987.75</c:v>
                </c:pt>
                <c:pt idx="4">
                  <c:v>1775.81</c:v>
                </c:pt>
                <c:pt idx="5">
                  <c:v>1136.25</c:v>
                </c:pt>
                <c:pt idx="6">
                  <c:v>988.72</c:v>
                </c:pt>
              </c:numCache>
            </c:numRef>
          </c:val>
          <c:extLst>
            <c:ext xmlns:c16="http://schemas.microsoft.com/office/drawing/2014/chart" uri="{C3380CC4-5D6E-409C-BE32-E72D297353CC}">
              <c16:uniqueId val="{00000000-143C-4A9C-B2E5-F204021A7680}"/>
            </c:ext>
          </c:extLst>
        </c:ser>
        <c:ser>
          <c:idx val="2"/>
          <c:order val="1"/>
          <c:tx>
            <c:strRef>
              <c:f>Pivots!$AD$96</c:f>
              <c:strCache>
                <c:ptCount val="1"/>
                <c:pt idx="0">
                  <c:v>Increase 2022</c:v>
                </c:pt>
              </c:strCache>
            </c:strRef>
          </c:tx>
          <c:spPr>
            <a:solidFill>
              <a:srgbClr val="C9184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6D687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Pivots!$AA$97:$AA$103</c:f>
              <c:strCache>
                <c:ptCount val="7"/>
                <c:pt idx="1">
                  <c:v>Electronic accessories</c:v>
                </c:pt>
                <c:pt idx="2">
                  <c:v>Fashion accessories</c:v>
                </c:pt>
                <c:pt idx="3">
                  <c:v>Food and beverages</c:v>
                </c:pt>
                <c:pt idx="4">
                  <c:v>Health and beauty</c:v>
                </c:pt>
                <c:pt idx="5">
                  <c:v>Home and lifestyle</c:v>
                </c:pt>
                <c:pt idx="6">
                  <c:v>Sports and travel</c:v>
                </c:pt>
              </c:strCache>
            </c:strRef>
          </c:cat>
          <c:val>
            <c:numRef>
              <c:f>Pivots!$AD$97:$AD$103</c:f>
              <c:numCache>
                <c:formatCode>0," K";\-0," K";\ ""</c:formatCode>
                <c:ptCount val="7"/>
                <c:pt idx="1">
                  <c:v>3167.36</c:v>
                </c:pt>
                <c:pt idx="2">
                  <c:v>0</c:v>
                </c:pt>
                <c:pt idx="3">
                  <c:v>3334.32</c:v>
                </c:pt>
                <c:pt idx="4">
                  <c:v>2148.5500000000002</c:v>
                </c:pt>
                <c:pt idx="5">
                  <c:v>2238.96</c:v>
                </c:pt>
                <c:pt idx="6">
                  <c:v>1643.32</c:v>
                </c:pt>
              </c:numCache>
            </c:numRef>
          </c:val>
          <c:extLst>
            <c:ext xmlns:c16="http://schemas.microsoft.com/office/drawing/2014/chart" uri="{C3380CC4-5D6E-409C-BE32-E72D297353CC}">
              <c16:uniqueId val="{00000001-143C-4A9C-B2E5-F204021A7680}"/>
            </c:ext>
          </c:extLst>
        </c:ser>
        <c:ser>
          <c:idx val="3"/>
          <c:order val="2"/>
          <c:tx>
            <c:strRef>
              <c:f>Pivots!$AE$96</c:f>
              <c:strCache>
                <c:ptCount val="1"/>
                <c:pt idx="0">
                  <c:v>Decrease 2022</c:v>
                </c:pt>
              </c:strCache>
            </c:strRef>
          </c:tx>
          <c:spPr>
            <a:solidFill>
              <a:srgbClr val="ADC10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6D687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Pivots!$AA$97:$AA$103</c:f>
              <c:strCache>
                <c:ptCount val="7"/>
                <c:pt idx="1">
                  <c:v>Electronic accessories</c:v>
                </c:pt>
                <c:pt idx="2">
                  <c:v>Fashion accessories</c:v>
                </c:pt>
                <c:pt idx="3">
                  <c:v>Food and beverages</c:v>
                </c:pt>
                <c:pt idx="4">
                  <c:v>Health and beauty</c:v>
                </c:pt>
                <c:pt idx="5">
                  <c:v>Home and lifestyle</c:v>
                </c:pt>
                <c:pt idx="6">
                  <c:v>Sports and travel</c:v>
                </c:pt>
              </c:strCache>
            </c:strRef>
          </c:cat>
          <c:val>
            <c:numRef>
              <c:f>Pivots!$AE$97:$AE$103</c:f>
              <c:numCache>
                <c:formatCode>0," K";\-0," K";\ ""</c:formatCode>
                <c:ptCount val="7"/>
                <c:pt idx="1">
                  <c:v>0</c:v>
                </c:pt>
                <c:pt idx="2">
                  <c:v>873.03</c:v>
                </c:pt>
                <c:pt idx="3">
                  <c:v>0</c:v>
                </c:pt>
                <c:pt idx="4">
                  <c:v>0</c:v>
                </c:pt>
                <c:pt idx="5">
                  <c:v>0</c:v>
                </c:pt>
                <c:pt idx="6">
                  <c:v>0</c:v>
                </c:pt>
              </c:numCache>
            </c:numRef>
          </c:val>
          <c:extLst>
            <c:ext xmlns:c16="http://schemas.microsoft.com/office/drawing/2014/chart" uri="{C3380CC4-5D6E-409C-BE32-E72D297353CC}">
              <c16:uniqueId val="{00000002-143C-4A9C-B2E5-F204021A7680}"/>
            </c:ext>
          </c:extLst>
        </c:ser>
        <c:dLbls>
          <c:dLblPos val="outEnd"/>
          <c:showLegendKey val="0"/>
          <c:showVal val="1"/>
          <c:showCatName val="0"/>
          <c:showSerName val="0"/>
          <c:showPercent val="0"/>
          <c:showBubbleSize val="0"/>
        </c:dLbls>
        <c:gapWidth val="219"/>
        <c:overlap val="-27"/>
        <c:axId val="415278952"/>
        <c:axId val="415277968"/>
      </c:barChart>
      <c:catAx>
        <c:axId val="415278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rgbClr val="6D6875"/>
                </a:solidFill>
                <a:latin typeface="+mn-lt"/>
                <a:ea typeface="+mn-ea"/>
                <a:cs typeface="+mn-cs"/>
              </a:defRPr>
            </a:pPr>
            <a:endParaRPr lang="en-US"/>
          </a:p>
        </c:txPr>
        <c:crossAx val="415277968"/>
        <c:crosses val="autoZero"/>
        <c:auto val="1"/>
        <c:lblAlgn val="ctr"/>
        <c:lblOffset val="100"/>
        <c:noMultiLvlLbl val="0"/>
      </c:catAx>
      <c:valAx>
        <c:axId val="415277968"/>
        <c:scaling>
          <c:orientation val="minMax"/>
        </c:scaling>
        <c:delete val="1"/>
        <c:axPos val="l"/>
        <c:numFmt formatCode="0,&quot; k&quot;" sourceLinked="1"/>
        <c:majorTickMark val="none"/>
        <c:minorTickMark val="none"/>
        <c:tickLblPos val="nextTo"/>
        <c:crossAx val="415278952"/>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1000" b="1" i="0" u="none" strike="noStrike" kern="1200" baseline="0">
              <a:solidFill>
                <a:srgbClr val="6D6875"/>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hyperlink" Target="#'Dashboard (2)'!R30"/><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1.png"/><Relationship Id="rId2" Type="http://schemas.openxmlformats.org/officeDocument/2006/relationships/chart" Target="../charts/chart2.xml"/><Relationship Id="rId16" Type="http://schemas.openxmlformats.org/officeDocument/2006/relationships/image" Target="../media/image3.pn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hyperlink" Target="#Dashboard!R30"/><Relationship Id="rId5" Type="http://schemas.openxmlformats.org/officeDocument/2006/relationships/chart" Target="../charts/chart5.xml"/><Relationship Id="rId15" Type="http://schemas.openxmlformats.org/officeDocument/2006/relationships/hyperlink" Target="#'Dashboard (3)'!R30"/><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image" Target="../media/image2.png"/></Relationships>
</file>

<file path=xl/drawings/_rels/drawing3.xml.rels><?xml version="1.0" encoding="UTF-8" standalone="yes"?>
<Relationships xmlns="http://schemas.openxmlformats.org/package/2006/relationships"><Relationship Id="rId8" Type="http://schemas.openxmlformats.org/officeDocument/2006/relationships/hyperlink" Target="#Dashboard!R30"/><Relationship Id="rId13" Type="http://schemas.openxmlformats.org/officeDocument/2006/relationships/image" Target="../media/image3.png"/><Relationship Id="rId3" Type="http://schemas.openxmlformats.org/officeDocument/2006/relationships/chart" Target="../charts/chart13.xml"/><Relationship Id="rId7" Type="http://schemas.openxmlformats.org/officeDocument/2006/relationships/chart" Target="../charts/chart17.xml"/><Relationship Id="rId12" Type="http://schemas.openxmlformats.org/officeDocument/2006/relationships/hyperlink" Target="#'Dashboard (3)'!R30"/><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11" Type="http://schemas.openxmlformats.org/officeDocument/2006/relationships/image" Target="../media/image2.png"/><Relationship Id="rId5" Type="http://schemas.openxmlformats.org/officeDocument/2006/relationships/chart" Target="../charts/chart15.xml"/><Relationship Id="rId10" Type="http://schemas.openxmlformats.org/officeDocument/2006/relationships/hyperlink" Target="#'Dashboard (2)'!R30"/><Relationship Id="rId4" Type="http://schemas.openxmlformats.org/officeDocument/2006/relationships/chart" Target="../charts/chart14.xml"/><Relationship Id="rId9" Type="http://schemas.openxmlformats.org/officeDocument/2006/relationships/image" Target="../media/image1.png"/></Relationships>
</file>

<file path=xl/drawings/_rels/drawing5.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chart" Target="../charts/chart24.xml"/><Relationship Id="rId3" Type="http://schemas.openxmlformats.org/officeDocument/2006/relationships/chart" Target="../charts/chart20.xml"/><Relationship Id="rId7" Type="http://schemas.openxmlformats.org/officeDocument/2006/relationships/hyperlink" Target="#Dashboard!R30"/><Relationship Id="rId12" Type="http://schemas.openxmlformats.org/officeDocument/2006/relationships/image" Target="../media/image3.png"/><Relationship Id="rId2" Type="http://schemas.openxmlformats.org/officeDocument/2006/relationships/chart" Target="../charts/chart19.xml"/><Relationship Id="rId1" Type="http://schemas.openxmlformats.org/officeDocument/2006/relationships/chart" Target="../charts/chart18.xml"/><Relationship Id="rId6" Type="http://schemas.openxmlformats.org/officeDocument/2006/relationships/chart" Target="../charts/chart23.xml"/><Relationship Id="rId11" Type="http://schemas.openxmlformats.org/officeDocument/2006/relationships/hyperlink" Target="#'Dashboard (3)'!R30"/><Relationship Id="rId5" Type="http://schemas.openxmlformats.org/officeDocument/2006/relationships/chart" Target="../charts/chart22.xml"/><Relationship Id="rId10" Type="http://schemas.openxmlformats.org/officeDocument/2006/relationships/image" Target="../media/image2.png"/><Relationship Id="rId4" Type="http://schemas.openxmlformats.org/officeDocument/2006/relationships/chart" Target="../charts/chart21.xml"/><Relationship Id="rId9" Type="http://schemas.openxmlformats.org/officeDocument/2006/relationships/hyperlink" Target="#'Dashboard (2)'!R30"/></Relationships>
</file>

<file path=xl/drawings/drawing1.xml><?xml version="1.0" encoding="utf-8"?>
<xdr:wsDr xmlns:xdr="http://schemas.openxmlformats.org/drawingml/2006/spreadsheetDrawing" xmlns:a="http://schemas.openxmlformats.org/drawingml/2006/main">
  <xdr:twoCellAnchor>
    <xdr:from>
      <xdr:col>3</xdr:col>
      <xdr:colOff>65690</xdr:colOff>
      <xdr:row>3</xdr:row>
      <xdr:rowOff>45983</xdr:rowOff>
    </xdr:from>
    <xdr:to>
      <xdr:col>37</xdr:col>
      <xdr:colOff>375965</xdr:colOff>
      <xdr:row>47</xdr:row>
      <xdr:rowOff>144515</xdr:rowOff>
    </xdr:to>
    <xdr:sp macro="" textlink="">
      <xdr:nvSpPr>
        <xdr:cNvPr id="9" name="Round Same Side Corner Rectangle 8"/>
        <xdr:cNvSpPr/>
      </xdr:nvSpPr>
      <xdr:spPr>
        <a:xfrm flipV="1">
          <a:off x="1977259" y="597776"/>
          <a:ext cx="22322878" cy="8395136"/>
        </a:xfrm>
        <a:prstGeom prst="round2SameRect">
          <a:avLst/>
        </a:prstGeom>
        <a:gradFill flip="none" rotWithShape="1">
          <a:gsLst>
            <a:gs pos="0">
              <a:srgbClr val="6D6875">
                <a:tint val="66000"/>
                <a:satMod val="160000"/>
              </a:srgbClr>
            </a:gs>
            <a:gs pos="50000">
              <a:srgbClr val="6D6875">
                <a:tint val="44500"/>
                <a:satMod val="160000"/>
              </a:srgbClr>
            </a:gs>
            <a:gs pos="100000">
              <a:srgbClr val="6D6875">
                <a:tint val="23500"/>
                <a:satMod val="160000"/>
              </a:srgbClr>
            </a:gs>
          </a:gsLst>
          <a:path path="circle">
            <a:fillToRect l="50000" t="50000" r="50000" b="50000"/>
          </a:path>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617046</xdr:colOff>
      <xdr:row>0</xdr:row>
      <xdr:rowOff>115394</xdr:rowOff>
    </xdr:from>
    <xdr:to>
      <xdr:col>26</xdr:col>
      <xdr:colOff>261446</xdr:colOff>
      <xdr:row>4</xdr:row>
      <xdr:rowOff>60395</xdr:rowOff>
    </xdr:to>
    <xdr:grpSp>
      <xdr:nvGrpSpPr>
        <xdr:cNvPr id="29" name="Group 28"/>
        <xdr:cNvGrpSpPr/>
      </xdr:nvGrpSpPr>
      <xdr:grpSpPr>
        <a:xfrm>
          <a:off x="7974287" y="115394"/>
          <a:ext cx="9202245" cy="680725"/>
          <a:chOff x="8105666" y="95688"/>
          <a:chExt cx="9202245" cy="659524"/>
        </a:xfrm>
      </xdr:grpSpPr>
      <xdr:sp macro="" textlink="">
        <xdr:nvSpPr>
          <xdr:cNvPr id="12" name="Rounded Rectangle 11"/>
          <xdr:cNvSpPr/>
        </xdr:nvSpPr>
        <xdr:spPr>
          <a:xfrm>
            <a:off x="8105666" y="95688"/>
            <a:ext cx="9202245" cy="659524"/>
          </a:xfrm>
          <a:prstGeom prst="roundRect">
            <a:avLst/>
          </a:prstGeom>
          <a:solidFill>
            <a:srgbClr val="6D6875"/>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a:latin typeface="Andalus" panose="02020603050405020304" pitchFamily="18" charset="-78"/>
              <a:cs typeface="Andalus" panose="02020603050405020304" pitchFamily="18" charset="-78"/>
            </a:endParaRPr>
          </a:p>
        </xdr:txBody>
      </xdr:sp>
      <xdr:sp macro="" textlink="Pivots!B1">
        <xdr:nvSpPr>
          <xdr:cNvPr id="11" name="TextBox 10"/>
          <xdr:cNvSpPr txBox="1"/>
        </xdr:nvSpPr>
        <xdr:spPr>
          <a:xfrm>
            <a:off x="8408110" y="95688"/>
            <a:ext cx="8597356" cy="6595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41F7C2-F3A8-4CB0-AA8B-384DD2AEDD03}" type="TxLink">
              <a:rPr lang="en-US" sz="4000" b="1" i="0" u="none" strike="noStrike">
                <a:solidFill>
                  <a:schemeClr val="bg1"/>
                </a:solidFill>
                <a:latin typeface="Andalus" panose="02020603050405020304" pitchFamily="18" charset="-78"/>
                <a:cs typeface="Andalus" panose="02020603050405020304" pitchFamily="18" charset="-78"/>
              </a:rPr>
              <a:pPr algn="ctr"/>
              <a:t>One Day Sales Dashboard In 2022</a:t>
            </a:fld>
            <a:endParaRPr lang="en-US" sz="4000" b="1">
              <a:solidFill>
                <a:schemeClr val="bg1"/>
              </a:solidFill>
              <a:latin typeface="Andalus" panose="02020603050405020304" pitchFamily="18" charset="-78"/>
              <a:cs typeface="Andalus" panose="02020603050405020304" pitchFamily="18" charset="-78"/>
            </a:endParaRPr>
          </a:p>
        </xdr:txBody>
      </xdr:sp>
    </xdr:grpSp>
    <xdr:clientData/>
  </xdr:twoCellAnchor>
  <xdr:twoCellAnchor>
    <xdr:from>
      <xdr:col>3</xdr:col>
      <xdr:colOff>127876</xdr:colOff>
      <xdr:row>4</xdr:row>
      <xdr:rowOff>142438</xdr:rowOff>
    </xdr:from>
    <xdr:to>
      <xdr:col>9</xdr:col>
      <xdr:colOff>102477</xdr:colOff>
      <xdr:row>9</xdr:row>
      <xdr:rowOff>158892</xdr:rowOff>
    </xdr:to>
    <xdr:grpSp>
      <xdr:nvGrpSpPr>
        <xdr:cNvPr id="3" name="Group 2"/>
        <xdr:cNvGrpSpPr/>
      </xdr:nvGrpSpPr>
      <xdr:grpSpPr>
        <a:xfrm>
          <a:off x="2039445" y="878162"/>
          <a:ext cx="3797739" cy="936109"/>
          <a:chOff x="952499" y="908050"/>
          <a:chExt cx="3822701" cy="908050"/>
        </a:xfrm>
      </xdr:grpSpPr>
      <xdr:sp macro="" textlink="">
        <xdr:nvSpPr>
          <xdr:cNvPr id="20" name="Rounded Rectangle 19"/>
          <xdr:cNvSpPr/>
        </xdr:nvSpPr>
        <xdr:spPr>
          <a:xfrm>
            <a:off x="952499" y="908050"/>
            <a:ext cx="3517901" cy="90805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3" name="TextBox 22"/>
          <xdr:cNvSpPr txBox="1"/>
        </xdr:nvSpPr>
        <xdr:spPr>
          <a:xfrm>
            <a:off x="1003300" y="1089025"/>
            <a:ext cx="1803400" cy="546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3000" b="1" i="0" u="none" strike="noStrike">
                <a:solidFill>
                  <a:srgbClr val="6D6875"/>
                </a:solidFill>
                <a:latin typeface="Andalus" panose="02020603050405020304" pitchFamily="18" charset="-78"/>
                <a:cs typeface="Andalus" panose="02020603050405020304" pitchFamily="18" charset="-78"/>
              </a:rPr>
              <a:t>Total</a:t>
            </a:r>
            <a:r>
              <a:rPr lang="en-US" sz="3000" b="1" i="0" u="none" strike="noStrike" baseline="0">
                <a:solidFill>
                  <a:srgbClr val="6D6875"/>
                </a:solidFill>
                <a:latin typeface="Andalus" panose="02020603050405020304" pitchFamily="18" charset="-78"/>
                <a:cs typeface="Andalus" panose="02020603050405020304" pitchFamily="18" charset="-78"/>
              </a:rPr>
              <a:t> Sales</a:t>
            </a:r>
          </a:p>
          <a:p>
            <a:pPr algn="l"/>
            <a:r>
              <a:rPr lang="en-US" sz="3000" b="1" i="0" u="none" strike="noStrike">
                <a:solidFill>
                  <a:srgbClr val="6D6875"/>
                </a:solidFill>
                <a:latin typeface="Andalus" panose="02020603050405020304" pitchFamily="18" charset="-78"/>
                <a:cs typeface="Andalus" panose="02020603050405020304" pitchFamily="18" charset="-78"/>
              </a:rPr>
              <a:t> </a:t>
            </a:r>
          </a:p>
        </xdr:txBody>
      </xdr:sp>
      <xdr:sp macro="" textlink="Pivots!B2">
        <xdr:nvSpPr>
          <xdr:cNvPr id="24" name="TextBox 23"/>
          <xdr:cNvSpPr txBox="1"/>
        </xdr:nvSpPr>
        <xdr:spPr>
          <a:xfrm>
            <a:off x="2419350" y="1104900"/>
            <a:ext cx="2355850"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E83047E-1922-4419-ADAE-4A4F08A78C8B}" type="TxLink">
              <a:rPr lang="en-US" sz="3200" b="1" i="0" u="none" strike="noStrike" baseline="0">
                <a:solidFill>
                  <a:srgbClr val="B5838D"/>
                </a:solidFill>
                <a:latin typeface="Andalus" panose="02020603050405020304" pitchFamily="18" charset="-78"/>
                <a:cs typeface="Andalus" panose="02020603050405020304" pitchFamily="18" charset="-78"/>
              </a:rPr>
              <a:pPr algn="ctr"/>
              <a:t> 118,554       </a:t>
            </a:fld>
            <a:endParaRPr lang="en-US" sz="3200" b="1" i="0" u="none" strike="noStrike">
              <a:solidFill>
                <a:srgbClr val="B5838D"/>
              </a:solidFill>
              <a:latin typeface="Andalus" panose="02020603050405020304" pitchFamily="18" charset="-78"/>
              <a:cs typeface="Andalus" panose="02020603050405020304" pitchFamily="18" charset="-78"/>
            </a:endParaRPr>
          </a:p>
        </xdr:txBody>
      </xdr:sp>
    </xdr:grpSp>
    <xdr:clientData/>
  </xdr:twoCellAnchor>
  <xdr:twoCellAnchor>
    <xdr:from>
      <xdr:col>8</xdr:col>
      <xdr:colOff>485667</xdr:colOff>
      <xdr:row>4</xdr:row>
      <xdr:rowOff>142437</xdr:rowOff>
    </xdr:from>
    <xdr:to>
      <xdr:col>13</xdr:col>
      <xdr:colOff>390416</xdr:colOff>
      <xdr:row>10</xdr:row>
      <xdr:rowOff>171358</xdr:rowOff>
    </xdr:to>
    <xdr:grpSp>
      <xdr:nvGrpSpPr>
        <xdr:cNvPr id="4" name="Group 3"/>
        <xdr:cNvGrpSpPr/>
      </xdr:nvGrpSpPr>
      <xdr:grpSpPr>
        <a:xfrm>
          <a:off x="5583184" y="878161"/>
          <a:ext cx="3438853" cy="1132507"/>
          <a:chOff x="4552950" y="908050"/>
          <a:chExt cx="3454400" cy="1098550"/>
        </a:xfrm>
      </xdr:grpSpPr>
      <xdr:sp macro="" textlink="">
        <xdr:nvSpPr>
          <xdr:cNvPr id="25" name="Rounded Rectangle 24"/>
          <xdr:cNvSpPr/>
        </xdr:nvSpPr>
        <xdr:spPr>
          <a:xfrm>
            <a:off x="4552950" y="908050"/>
            <a:ext cx="3384550" cy="92075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6" name="TextBox 25"/>
          <xdr:cNvSpPr txBox="1"/>
        </xdr:nvSpPr>
        <xdr:spPr>
          <a:xfrm>
            <a:off x="4800600" y="946150"/>
            <a:ext cx="1663700" cy="546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i="0" u="none" strike="noStrike" baseline="0">
                <a:solidFill>
                  <a:srgbClr val="6D6875"/>
                </a:solidFill>
                <a:latin typeface="Andalus" panose="02020603050405020304" pitchFamily="18" charset="-78"/>
                <a:cs typeface="Andalus" panose="02020603050405020304" pitchFamily="18" charset="-78"/>
              </a:rPr>
              <a:t>Net Sales</a:t>
            </a:r>
          </a:p>
          <a:p>
            <a:pPr algn="ctr"/>
            <a:r>
              <a:rPr lang="en-US" sz="2400" b="1" i="0" u="none" strike="noStrike">
                <a:solidFill>
                  <a:srgbClr val="6D6875"/>
                </a:solidFill>
                <a:latin typeface="Andalus" panose="02020603050405020304" pitchFamily="18" charset="-78"/>
                <a:cs typeface="Andalus" panose="02020603050405020304" pitchFamily="18" charset="-78"/>
              </a:rPr>
              <a:t> </a:t>
            </a:r>
          </a:p>
        </xdr:txBody>
      </xdr:sp>
      <xdr:sp macro="" textlink="Pivots!B3">
        <xdr:nvSpPr>
          <xdr:cNvPr id="27" name="TextBox 26"/>
          <xdr:cNvSpPr txBox="1"/>
        </xdr:nvSpPr>
        <xdr:spPr>
          <a:xfrm>
            <a:off x="5816600" y="962025"/>
            <a:ext cx="2190750"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E87783B-0016-420A-B8F7-089DDC877343}" type="TxLink">
              <a:rPr lang="en-US" sz="2400" b="1" i="0" u="none" strike="noStrike" baseline="0">
                <a:solidFill>
                  <a:srgbClr val="B5838D"/>
                </a:solidFill>
                <a:latin typeface="Andalus" panose="02020603050405020304" pitchFamily="18" charset="-78"/>
                <a:cs typeface="Andalus" panose="02020603050405020304" pitchFamily="18" charset="-78"/>
              </a:rPr>
              <a:pPr algn="ctr"/>
              <a:t> 105,148       </a:t>
            </a:fld>
            <a:endParaRPr lang="en-US" sz="9600" b="1" i="0" u="none" strike="noStrike">
              <a:solidFill>
                <a:srgbClr val="B5838D"/>
              </a:solidFill>
              <a:latin typeface="Andalus" panose="02020603050405020304" pitchFamily="18" charset="-78"/>
              <a:cs typeface="Andalus" panose="02020603050405020304" pitchFamily="18" charset="-78"/>
            </a:endParaRPr>
          </a:p>
        </xdr:txBody>
      </xdr:sp>
      <xdr:graphicFrame macro="">
        <xdr:nvGraphicFramePr>
          <xdr:cNvPr id="30" name="Chart 29"/>
          <xdr:cNvGraphicFramePr>
            <a:graphicFrameLocks/>
          </xdr:cNvGraphicFramePr>
        </xdr:nvGraphicFramePr>
        <xdr:xfrm>
          <a:off x="4654550" y="1219200"/>
          <a:ext cx="3206750" cy="787400"/>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22</xdr:col>
      <xdr:colOff>621204</xdr:colOff>
      <xdr:row>4</xdr:row>
      <xdr:rowOff>129300</xdr:rowOff>
    </xdr:from>
    <xdr:to>
      <xdr:col>28</xdr:col>
      <xdr:colOff>142766</xdr:colOff>
      <xdr:row>9</xdr:row>
      <xdr:rowOff>158863</xdr:rowOff>
    </xdr:to>
    <xdr:grpSp>
      <xdr:nvGrpSpPr>
        <xdr:cNvPr id="5" name="Group 4"/>
        <xdr:cNvGrpSpPr/>
      </xdr:nvGrpSpPr>
      <xdr:grpSpPr>
        <a:xfrm>
          <a:off x="14987532" y="865024"/>
          <a:ext cx="3344700" cy="949218"/>
          <a:chOff x="7981949" y="901700"/>
          <a:chExt cx="3365501" cy="920750"/>
        </a:xfrm>
      </xdr:grpSpPr>
      <xdr:sp macro="" textlink="">
        <xdr:nvSpPr>
          <xdr:cNvPr id="34" name="Rounded Rectangle 33"/>
          <xdr:cNvSpPr/>
        </xdr:nvSpPr>
        <xdr:spPr>
          <a:xfrm>
            <a:off x="7981949" y="901700"/>
            <a:ext cx="3054351" cy="92075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5" name="TextBox 34"/>
          <xdr:cNvSpPr txBox="1"/>
        </xdr:nvSpPr>
        <xdr:spPr>
          <a:xfrm>
            <a:off x="8026400" y="1089025"/>
            <a:ext cx="1803400" cy="546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600" b="1" i="0" u="none" strike="noStrike" baseline="0">
                <a:solidFill>
                  <a:srgbClr val="6D6875"/>
                </a:solidFill>
                <a:latin typeface="Andalus" panose="02020603050405020304" pitchFamily="18" charset="-78"/>
                <a:cs typeface="Andalus" panose="02020603050405020304" pitchFamily="18" charset="-78"/>
              </a:rPr>
              <a:t>Total Profit</a:t>
            </a:r>
          </a:p>
          <a:p>
            <a:pPr algn="l"/>
            <a:r>
              <a:rPr lang="en-US" sz="2600" b="1" i="0" u="none" strike="noStrike">
                <a:solidFill>
                  <a:srgbClr val="6D6875"/>
                </a:solidFill>
                <a:latin typeface="Andalus" panose="02020603050405020304" pitchFamily="18" charset="-78"/>
                <a:cs typeface="Andalus" panose="02020603050405020304" pitchFamily="18" charset="-78"/>
              </a:rPr>
              <a:t> </a:t>
            </a:r>
          </a:p>
        </xdr:txBody>
      </xdr:sp>
      <xdr:sp macro="" textlink="Pivots!B7">
        <xdr:nvSpPr>
          <xdr:cNvPr id="36" name="TextBox 35"/>
          <xdr:cNvSpPr txBox="1"/>
        </xdr:nvSpPr>
        <xdr:spPr>
          <a:xfrm>
            <a:off x="9194800" y="1108075"/>
            <a:ext cx="2152650"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21DE938-50D3-4268-AAFD-65D4D0BE39F2}" type="TxLink">
              <a:rPr lang="en-US" sz="2800" b="1" i="0" u="none" strike="noStrike" baseline="0">
                <a:solidFill>
                  <a:srgbClr val="B5838D"/>
                </a:solidFill>
                <a:latin typeface="Andalus" panose="02020603050405020304" pitchFamily="18" charset="-78"/>
                <a:ea typeface="+mn-ea"/>
                <a:cs typeface="Andalus" panose="02020603050405020304" pitchFamily="18" charset="-78"/>
              </a:rPr>
              <a:pPr marL="0" indent="0" algn="ctr"/>
              <a:t> 29,638       </a:t>
            </a:fld>
            <a:endParaRPr lang="en-US" sz="2800" b="1" i="0" u="none" strike="noStrike" baseline="0">
              <a:solidFill>
                <a:srgbClr val="B5838D"/>
              </a:solidFill>
              <a:latin typeface="Andalus" panose="02020603050405020304" pitchFamily="18" charset="-78"/>
              <a:ea typeface="+mn-ea"/>
              <a:cs typeface="Andalus" panose="02020603050405020304" pitchFamily="18" charset="-78"/>
            </a:endParaRPr>
          </a:p>
        </xdr:txBody>
      </xdr:sp>
    </xdr:grpSp>
    <xdr:clientData/>
  </xdr:twoCellAnchor>
  <xdr:twoCellAnchor>
    <xdr:from>
      <xdr:col>27</xdr:col>
      <xdr:colOff>560772</xdr:colOff>
      <xdr:row>4</xdr:row>
      <xdr:rowOff>115505</xdr:rowOff>
    </xdr:from>
    <xdr:to>
      <xdr:col>33</xdr:col>
      <xdr:colOff>6132</xdr:colOff>
      <xdr:row>9</xdr:row>
      <xdr:rowOff>131959</xdr:rowOff>
    </xdr:to>
    <xdr:grpSp>
      <xdr:nvGrpSpPr>
        <xdr:cNvPr id="6" name="Group 5"/>
        <xdr:cNvGrpSpPr/>
      </xdr:nvGrpSpPr>
      <xdr:grpSpPr>
        <a:xfrm>
          <a:off x="18113048" y="851229"/>
          <a:ext cx="3268498" cy="936109"/>
          <a:chOff x="18084800" y="895350"/>
          <a:chExt cx="2889250" cy="908050"/>
        </a:xfrm>
      </xdr:grpSpPr>
      <xdr:sp macro="" textlink="">
        <xdr:nvSpPr>
          <xdr:cNvPr id="37" name="Rounded Rectangle 36"/>
          <xdr:cNvSpPr/>
        </xdr:nvSpPr>
        <xdr:spPr>
          <a:xfrm>
            <a:off x="18084800" y="895350"/>
            <a:ext cx="2514600" cy="90805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8" name="TextBox 37"/>
          <xdr:cNvSpPr txBox="1"/>
        </xdr:nvSpPr>
        <xdr:spPr>
          <a:xfrm>
            <a:off x="18135600" y="1076325"/>
            <a:ext cx="1250950" cy="546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800" b="1" i="0" u="none" strike="noStrike" baseline="0">
                <a:solidFill>
                  <a:srgbClr val="6D6875"/>
                </a:solidFill>
                <a:latin typeface="Andalus" panose="02020603050405020304" pitchFamily="18" charset="-78"/>
                <a:cs typeface="Andalus" panose="02020603050405020304" pitchFamily="18" charset="-78"/>
              </a:rPr>
              <a:t>Cogs</a:t>
            </a:r>
          </a:p>
          <a:p>
            <a:pPr algn="l"/>
            <a:r>
              <a:rPr lang="en-US" sz="2800" b="1" i="0" u="none" strike="noStrike">
                <a:solidFill>
                  <a:srgbClr val="6D6875"/>
                </a:solidFill>
                <a:latin typeface="Andalus" panose="02020603050405020304" pitchFamily="18" charset="-78"/>
                <a:cs typeface="Andalus" panose="02020603050405020304" pitchFamily="18" charset="-78"/>
              </a:rPr>
              <a:t> </a:t>
            </a:r>
          </a:p>
        </xdr:txBody>
      </xdr:sp>
      <xdr:sp macro="" textlink="Pivots!B8">
        <xdr:nvSpPr>
          <xdr:cNvPr id="39" name="TextBox 38"/>
          <xdr:cNvSpPr txBox="1"/>
        </xdr:nvSpPr>
        <xdr:spPr>
          <a:xfrm>
            <a:off x="18618200" y="1092200"/>
            <a:ext cx="2355850"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5B590CE-A36F-4C3F-85AE-B05286AE6E3B}" type="TxLink">
              <a:rPr lang="en-US" sz="3000" b="1" i="0" u="none" strike="noStrike" baseline="0">
                <a:solidFill>
                  <a:srgbClr val="B5838D"/>
                </a:solidFill>
                <a:latin typeface="Andalus" panose="02020603050405020304" pitchFamily="18" charset="-78"/>
                <a:ea typeface="+mn-ea"/>
                <a:cs typeface="Andalus" panose="02020603050405020304" pitchFamily="18" charset="-78"/>
              </a:rPr>
              <a:pPr marL="0" indent="0" algn="ctr"/>
              <a:t> 82,988       </a:t>
            </a:fld>
            <a:endParaRPr lang="en-US" sz="3000" b="1" i="0" u="none" strike="noStrike" baseline="0">
              <a:solidFill>
                <a:srgbClr val="B5838D"/>
              </a:solidFill>
              <a:latin typeface="Andalus" panose="02020603050405020304" pitchFamily="18" charset="-78"/>
              <a:ea typeface="+mn-ea"/>
              <a:cs typeface="Andalus" panose="02020603050405020304" pitchFamily="18" charset="-78"/>
            </a:endParaRPr>
          </a:p>
        </xdr:txBody>
      </xdr:sp>
    </xdr:grpSp>
    <xdr:clientData/>
  </xdr:twoCellAnchor>
  <xdr:twoCellAnchor>
    <xdr:from>
      <xdr:col>32</xdr:col>
      <xdr:colOff>157886</xdr:colOff>
      <xdr:row>4</xdr:row>
      <xdr:rowOff>95797</xdr:rowOff>
    </xdr:from>
    <xdr:to>
      <xdr:col>38</xdr:col>
      <xdr:colOff>68538</xdr:colOff>
      <xdr:row>9</xdr:row>
      <xdr:rowOff>125360</xdr:rowOff>
    </xdr:to>
    <xdr:grpSp>
      <xdr:nvGrpSpPr>
        <xdr:cNvPr id="7" name="Group 6"/>
        <xdr:cNvGrpSpPr/>
      </xdr:nvGrpSpPr>
      <xdr:grpSpPr>
        <a:xfrm>
          <a:off x="20896110" y="831521"/>
          <a:ext cx="3733790" cy="949218"/>
          <a:chOff x="20553005" y="895350"/>
          <a:chExt cx="3189645" cy="920750"/>
        </a:xfrm>
      </xdr:grpSpPr>
      <xdr:sp macro="" textlink="">
        <xdr:nvSpPr>
          <xdr:cNvPr id="40" name="Rounded Rectangle 39"/>
          <xdr:cNvSpPr/>
        </xdr:nvSpPr>
        <xdr:spPr>
          <a:xfrm>
            <a:off x="20681950" y="895350"/>
            <a:ext cx="2647950" cy="92075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1" name="TextBox 40"/>
          <xdr:cNvSpPr txBox="1"/>
        </xdr:nvSpPr>
        <xdr:spPr>
          <a:xfrm>
            <a:off x="20553005" y="1031875"/>
            <a:ext cx="1803400" cy="546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i="0" u="none" strike="noStrike">
                <a:solidFill>
                  <a:srgbClr val="6D6875"/>
                </a:solidFill>
                <a:latin typeface="Andalus" panose="02020603050405020304" pitchFamily="18" charset="-78"/>
                <a:cs typeface="Andalus" panose="02020603050405020304" pitchFamily="18" charset="-78"/>
              </a:rPr>
              <a:t>Tax</a:t>
            </a:r>
            <a:r>
              <a:rPr lang="en-US" sz="2800" b="1" i="0" u="none" strike="noStrike" baseline="0">
                <a:solidFill>
                  <a:srgbClr val="6D6875"/>
                </a:solidFill>
                <a:latin typeface="Andalus" panose="02020603050405020304" pitchFamily="18" charset="-78"/>
                <a:cs typeface="Andalus" panose="02020603050405020304" pitchFamily="18" charset="-78"/>
              </a:rPr>
              <a:t> 5%</a:t>
            </a:r>
          </a:p>
          <a:p>
            <a:pPr algn="ctr"/>
            <a:r>
              <a:rPr lang="en-US" sz="2800" b="1" i="0" u="none" strike="noStrike">
                <a:solidFill>
                  <a:srgbClr val="6D6875"/>
                </a:solidFill>
                <a:latin typeface="Andalus" panose="02020603050405020304" pitchFamily="18" charset="-78"/>
                <a:cs typeface="Andalus" panose="02020603050405020304" pitchFamily="18" charset="-78"/>
              </a:rPr>
              <a:t> </a:t>
            </a:r>
          </a:p>
        </xdr:txBody>
      </xdr:sp>
      <xdr:sp macro="" textlink="Pivots!C11">
        <xdr:nvSpPr>
          <xdr:cNvPr id="42" name="TextBox 41"/>
          <xdr:cNvSpPr txBox="1"/>
        </xdr:nvSpPr>
        <xdr:spPr>
          <a:xfrm>
            <a:off x="21386800" y="1104900"/>
            <a:ext cx="2355850"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3826599-C90B-48B9-83A7-9F92A1EA816E}" type="TxLink">
              <a:rPr lang="en-US" sz="3000" b="1" i="0" u="none" strike="noStrike" baseline="0">
                <a:solidFill>
                  <a:srgbClr val="B5838D"/>
                </a:solidFill>
                <a:latin typeface="Andalus" panose="02020603050405020304" pitchFamily="18" charset="-78"/>
                <a:ea typeface="+mn-ea"/>
                <a:cs typeface="Andalus" panose="02020603050405020304" pitchFamily="18" charset="-78"/>
              </a:rPr>
              <a:pPr marL="0" indent="0" algn="ctr"/>
              <a:t> 5,928       </a:t>
            </a:fld>
            <a:endParaRPr lang="en-US" sz="3000" b="1" i="0" u="none" strike="noStrike" baseline="0">
              <a:solidFill>
                <a:srgbClr val="B5838D"/>
              </a:solidFill>
              <a:latin typeface="Andalus" panose="02020603050405020304" pitchFamily="18" charset="-78"/>
              <a:ea typeface="+mn-ea"/>
              <a:cs typeface="Andalus" panose="02020603050405020304" pitchFamily="18" charset="-78"/>
            </a:endParaRPr>
          </a:p>
        </xdr:txBody>
      </xdr:sp>
    </xdr:grpSp>
    <xdr:clientData/>
  </xdr:twoCellAnchor>
  <xdr:twoCellAnchor>
    <xdr:from>
      <xdr:col>16</xdr:col>
      <xdr:colOff>486103</xdr:colOff>
      <xdr:row>3</xdr:row>
      <xdr:rowOff>144955</xdr:rowOff>
    </xdr:from>
    <xdr:to>
      <xdr:col>23</xdr:col>
      <xdr:colOff>367425</xdr:colOff>
      <xdr:row>20</xdr:row>
      <xdr:rowOff>45982</xdr:rowOff>
    </xdr:to>
    <xdr:grpSp>
      <xdr:nvGrpSpPr>
        <xdr:cNvPr id="13" name="Group 12"/>
        <xdr:cNvGrpSpPr/>
      </xdr:nvGrpSpPr>
      <xdr:grpSpPr>
        <a:xfrm>
          <a:off x="11029293" y="696748"/>
          <a:ext cx="4341649" cy="3231493"/>
          <a:chOff x="10185401" y="2283277"/>
          <a:chExt cx="4184650" cy="2225224"/>
        </a:xfrm>
      </xdr:grpSpPr>
      <xdr:sp macro="" textlink="">
        <xdr:nvSpPr>
          <xdr:cNvPr id="2" name="Rounded Rectangle 1"/>
          <xdr:cNvSpPr/>
        </xdr:nvSpPr>
        <xdr:spPr>
          <a:xfrm rot="10800000" flipH="1" flipV="1">
            <a:off x="10808153" y="2403929"/>
            <a:ext cx="3098347" cy="2032198"/>
          </a:xfrm>
          <a:prstGeom prst="roundRect">
            <a:avLst>
              <a:gd name="adj" fmla="val 19338"/>
            </a:avLst>
          </a:prstGeom>
          <a:gradFill flip="none" rotWithShape="1">
            <a:gsLst>
              <a:gs pos="0">
                <a:srgbClr val="6D6875">
                  <a:tint val="66000"/>
                  <a:satMod val="160000"/>
                </a:srgbClr>
              </a:gs>
              <a:gs pos="50000">
                <a:srgbClr val="6D6875">
                  <a:tint val="44500"/>
                  <a:satMod val="160000"/>
                </a:srgbClr>
              </a:gs>
              <a:gs pos="100000">
                <a:srgbClr val="6D6875">
                  <a:tint val="23500"/>
                  <a:satMod val="160000"/>
                </a:srgbClr>
              </a:gs>
            </a:gsLst>
            <a:lin ang="18900000" scaled="1"/>
            <a:tileRect/>
          </a:gra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8" name="Chart 27"/>
          <xdr:cNvGraphicFramePr>
            <a:graphicFrameLocks/>
          </xdr:cNvGraphicFramePr>
        </xdr:nvGraphicFramePr>
        <xdr:xfrm>
          <a:off x="10185401" y="2283277"/>
          <a:ext cx="4184650" cy="2225224"/>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13</xdr:col>
      <xdr:colOff>431144</xdr:colOff>
      <xdr:row>4</xdr:row>
      <xdr:rowOff>142437</xdr:rowOff>
    </xdr:from>
    <xdr:to>
      <xdr:col>17</xdr:col>
      <xdr:colOff>437495</xdr:colOff>
      <xdr:row>9</xdr:row>
      <xdr:rowOff>172000</xdr:rowOff>
    </xdr:to>
    <xdr:grpSp>
      <xdr:nvGrpSpPr>
        <xdr:cNvPr id="15" name="Group 14"/>
        <xdr:cNvGrpSpPr/>
      </xdr:nvGrpSpPr>
      <xdr:grpSpPr>
        <a:xfrm>
          <a:off x="9062765" y="878161"/>
          <a:ext cx="2555109" cy="949218"/>
          <a:chOff x="14509750" y="898525"/>
          <a:chExt cx="2457450" cy="920750"/>
        </a:xfrm>
      </xdr:grpSpPr>
      <xdr:sp macro="" textlink="">
        <xdr:nvSpPr>
          <xdr:cNvPr id="47" name="Rounded Rectangle 46"/>
          <xdr:cNvSpPr/>
        </xdr:nvSpPr>
        <xdr:spPr>
          <a:xfrm>
            <a:off x="14509750" y="898525"/>
            <a:ext cx="2413000" cy="92075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8" name="TextBox 47"/>
          <xdr:cNvSpPr txBox="1"/>
        </xdr:nvSpPr>
        <xdr:spPr>
          <a:xfrm>
            <a:off x="14630400" y="1041400"/>
            <a:ext cx="1803400" cy="546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600" b="1" i="0" u="none" strike="noStrike" baseline="0">
                <a:solidFill>
                  <a:srgbClr val="6D6875"/>
                </a:solidFill>
                <a:latin typeface="Andalus" panose="02020603050405020304" pitchFamily="18" charset="-78"/>
                <a:cs typeface="Andalus" panose="02020603050405020304" pitchFamily="18" charset="-78"/>
              </a:rPr>
              <a:t>Profit %</a:t>
            </a:r>
          </a:p>
          <a:p>
            <a:pPr algn="l"/>
            <a:r>
              <a:rPr lang="en-US" sz="2600" b="1" i="0" u="none" strike="noStrike">
                <a:solidFill>
                  <a:srgbClr val="6D6875"/>
                </a:solidFill>
                <a:latin typeface="Andalus" panose="02020603050405020304" pitchFamily="18" charset="-78"/>
                <a:cs typeface="Andalus" panose="02020603050405020304" pitchFamily="18" charset="-78"/>
              </a:rPr>
              <a:t> </a:t>
            </a:r>
          </a:p>
        </xdr:txBody>
      </xdr:sp>
      <xdr:sp macro="" textlink="Pivots!B11">
        <xdr:nvSpPr>
          <xdr:cNvPr id="49" name="TextBox 48"/>
          <xdr:cNvSpPr txBox="1"/>
        </xdr:nvSpPr>
        <xdr:spPr>
          <a:xfrm>
            <a:off x="15582900" y="1060450"/>
            <a:ext cx="1384300"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48ABA1E-E4BE-4DA6-BBE7-1F074BFF445A}" type="TxLink">
              <a:rPr lang="en-US" sz="2800" b="1" i="0" u="none" strike="noStrike" baseline="0">
                <a:solidFill>
                  <a:srgbClr val="B5838D"/>
                </a:solidFill>
                <a:latin typeface="Andalus" panose="02020603050405020304" pitchFamily="18" charset="-78"/>
                <a:ea typeface="+mn-ea"/>
                <a:cs typeface="Andalus" panose="02020603050405020304" pitchFamily="18" charset="-78"/>
              </a:rPr>
              <a:pPr marL="0" indent="0" algn="ctr"/>
              <a:t>25%</a:t>
            </a:fld>
            <a:endParaRPr lang="en-US" sz="2800" b="1" i="0" u="none" strike="noStrike" baseline="0">
              <a:solidFill>
                <a:srgbClr val="B5838D"/>
              </a:solidFill>
              <a:latin typeface="Andalus" panose="02020603050405020304" pitchFamily="18" charset="-78"/>
              <a:ea typeface="+mn-ea"/>
              <a:cs typeface="Andalus" panose="02020603050405020304" pitchFamily="18" charset="-78"/>
            </a:endParaRPr>
          </a:p>
        </xdr:txBody>
      </xdr:sp>
    </xdr:grpSp>
    <xdr:clientData/>
  </xdr:twoCellAnchor>
  <xdr:twoCellAnchor>
    <xdr:from>
      <xdr:col>9</xdr:col>
      <xdr:colOff>703537</xdr:colOff>
      <xdr:row>27</xdr:row>
      <xdr:rowOff>130589</xdr:rowOff>
    </xdr:from>
    <xdr:to>
      <xdr:col>18</xdr:col>
      <xdr:colOff>449537</xdr:colOff>
      <xdr:row>46</xdr:row>
      <xdr:rowOff>125177</xdr:rowOff>
    </xdr:to>
    <xdr:grpSp>
      <xdr:nvGrpSpPr>
        <xdr:cNvPr id="19" name="Group 18"/>
        <xdr:cNvGrpSpPr/>
      </xdr:nvGrpSpPr>
      <xdr:grpSpPr>
        <a:xfrm>
          <a:off x="6438244" y="5300365"/>
          <a:ext cx="5828862" cy="3489278"/>
          <a:chOff x="5340350" y="5207000"/>
          <a:chExt cx="5861050" cy="3384550"/>
        </a:xfrm>
      </xdr:grpSpPr>
      <xdr:sp macro="" textlink="">
        <xdr:nvSpPr>
          <xdr:cNvPr id="8" name="Rounded Rectangle 7"/>
          <xdr:cNvSpPr/>
        </xdr:nvSpPr>
        <xdr:spPr>
          <a:xfrm>
            <a:off x="6076950" y="5283200"/>
            <a:ext cx="4349750" cy="3302000"/>
          </a:xfrm>
          <a:prstGeom prst="roundRect">
            <a:avLst>
              <a:gd name="adj" fmla="val 20766"/>
            </a:avLst>
          </a:prstGeom>
          <a:solidFill>
            <a:schemeClr val="bg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44" name="Chart 43"/>
          <xdr:cNvGraphicFramePr>
            <a:graphicFrameLocks/>
          </xdr:cNvGraphicFramePr>
        </xdr:nvGraphicFramePr>
        <xdr:xfrm>
          <a:off x="5340350" y="5207000"/>
          <a:ext cx="5861050" cy="338455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10</xdr:col>
      <xdr:colOff>393481</xdr:colOff>
      <xdr:row>10</xdr:row>
      <xdr:rowOff>343557</xdr:rowOff>
    </xdr:from>
    <xdr:to>
      <xdr:col>17</xdr:col>
      <xdr:colOff>405087</xdr:colOff>
      <xdr:row>27</xdr:row>
      <xdr:rowOff>83811</xdr:rowOff>
    </xdr:to>
    <xdr:grpSp>
      <xdr:nvGrpSpPr>
        <xdr:cNvPr id="14" name="Group 13"/>
        <xdr:cNvGrpSpPr/>
      </xdr:nvGrpSpPr>
      <xdr:grpSpPr>
        <a:xfrm>
          <a:off x="7113533" y="2182867"/>
          <a:ext cx="4471933" cy="3070720"/>
          <a:chOff x="5962650" y="2171700"/>
          <a:chExt cx="4768850" cy="2978150"/>
        </a:xfrm>
      </xdr:grpSpPr>
      <xdr:sp macro="" textlink="">
        <xdr:nvSpPr>
          <xdr:cNvPr id="50" name="Rounded Rectangle 49"/>
          <xdr:cNvSpPr/>
        </xdr:nvSpPr>
        <xdr:spPr>
          <a:xfrm>
            <a:off x="6026150" y="2197100"/>
            <a:ext cx="4705350" cy="2895600"/>
          </a:xfrm>
          <a:prstGeom prst="roundRect">
            <a:avLst>
              <a:gd name="adj" fmla="val 20766"/>
            </a:avLst>
          </a:prstGeom>
          <a:solidFill>
            <a:schemeClr val="bg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45" name="Chart 44"/>
          <xdr:cNvGraphicFramePr>
            <a:graphicFrameLocks/>
          </xdr:cNvGraphicFramePr>
        </xdr:nvGraphicFramePr>
        <xdr:xfrm>
          <a:off x="5962650" y="2171700"/>
          <a:ext cx="4756150" cy="2978150"/>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22</xdr:col>
      <xdr:colOff>458514</xdr:colOff>
      <xdr:row>10</xdr:row>
      <xdr:rowOff>312025</xdr:rowOff>
    </xdr:from>
    <xdr:to>
      <xdr:col>30</xdr:col>
      <xdr:colOff>119775</xdr:colOff>
      <xdr:row>26</xdr:row>
      <xdr:rowOff>165697</xdr:rowOff>
    </xdr:to>
    <xdr:grpSp>
      <xdr:nvGrpSpPr>
        <xdr:cNvPr id="17" name="Group 16"/>
        <xdr:cNvGrpSpPr/>
      </xdr:nvGrpSpPr>
      <xdr:grpSpPr>
        <a:xfrm>
          <a:off x="14824842" y="2151335"/>
          <a:ext cx="4758778" cy="3000207"/>
          <a:chOff x="13830300" y="2120900"/>
          <a:chExt cx="4984750" cy="3022600"/>
        </a:xfrm>
      </xdr:grpSpPr>
      <xdr:sp macro="" textlink="">
        <xdr:nvSpPr>
          <xdr:cNvPr id="55" name="Rounded Rectangle 54"/>
          <xdr:cNvSpPr/>
        </xdr:nvSpPr>
        <xdr:spPr>
          <a:xfrm>
            <a:off x="13957300" y="2120900"/>
            <a:ext cx="4857750" cy="2952750"/>
          </a:xfrm>
          <a:prstGeom prst="roundRect">
            <a:avLst>
              <a:gd name="adj" fmla="val 20766"/>
            </a:avLst>
          </a:prstGeom>
          <a:solidFill>
            <a:schemeClr val="bg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52" name="Chart 51"/>
          <xdr:cNvGraphicFramePr>
            <a:graphicFrameLocks/>
          </xdr:cNvGraphicFramePr>
        </xdr:nvGraphicFramePr>
        <xdr:xfrm>
          <a:off x="13830300" y="2152650"/>
          <a:ext cx="4953000" cy="299085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29</xdr:col>
      <xdr:colOff>145175</xdr:colOff>
      <xdr:row>10</xdr:row>
      <xdr:rowOff>7445</xdr:rowOff>
    </xdr:from>
    <xdr:to>
      <xdr:col>38</xdr:col>
      <xdr:colOff>369614</xdr:colOff>
      <xdr:row>27</xdr:row>
      <xdr:rowOff>181401</xdr:rowOff>
    </xdr:to>
    <xdr:grpSp>
      <xdr:nvGrpSpPr>
        <xdr:cNvPr id="22" name="Group 21"/>
        <xdr:cNvGrpSpPr/>
      </xdr:nvGrpSpPr>
      <xdr:grpSpPr>
        <a:xfrm>
          <a:off x="18971830" y="1846755"/>
          <a:ext cx="5959146" cy="3504422"/>
          <a:chOff x="18148300" y="1797050"/>
          <a:chExt cx="6000750" cy="3606800"/>
        </a:xfrm>
      </xdr:grpSpPr>
      <xdr:sp macro="" textlink="">
        <xdr:nvSpPr>
          <xdr:cNvPr id="57" name="Rounded Rectangle 56"/>
          <xdr:cNvSpPr/>
        </xdr:nvSpPr>
        <xdr:spPr>
          <a:xfrm>
            <a:off x="18878550" y="2101850"/>
            <a:ext cx="4521200" cy="3028950"/>
          </a:xfrm>
          <a:prstGeom prst="roundRect">
            <a:avLst>
              <a:gd name="adj" fmla="val 20766"/>
            </a:avLst>
          </a:prstGeom>
          <a:solidFill>
            <a:schemeClr val="bg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56" name="Chart 55"/>
          <xdr:cNvGraphicFramePr>
            <a:graphicFrameLocks/>
          </xdr:cNvGraphicFramePr>
        </xdr:nvGraphicFramePr>
        <xdr:xfrm>
          <a:off x="18148300" y="1797050"/>
          <a:ext cx="6000750" cy="3606800"/>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77</xdr:col>
      <xdr:colOff>145174</xdr:colOff>
      <xdr:row>0</xdr:row>
      <xdr:rowOff>26276</xdr:rowOff>
    </xdr:from>
    <xdr:to>
      <xdr:col>85</xdr:col>
      <xdr:colOff>221375</xdr:colOff>
      <xdr:row>11</xdr:row>
      <xdr:rowOff>104414</xdr:rowOff>
    </xdr:to>
    <xdr:sp macro="" textlink="">
      <xdr:nvSpPr>
        <xdr:cNvPr id="62" name="Rounded Rectangle 61"/>
        <xdr:cNvSpPr/>
      </xdr:nvSpPr>
      <xdr:spPr>
        <a:xfrm>
          <a:off x="49556933" y="26276"/>
          <a:ext cx="5173718" cy="2305017"/>
        </a:xfrm>
        <a:prstGeom prst="roundRect">
          <a:avLst>
            <a:gd name="adj" fmla="val 20766"/>
          </a:avLst>
        </a:prstGeom>
        <a:solidFill>
          <a:schemeClr val="bg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26276</xdr:colOff>
      <xdr:row>26</xdr:row>
      <xdr:rowOff>65689</xdr:rowOff>
    </xdr:from>
    <xdr:to>
      <xdr:col>37</xdr:col>
      <xdr:colOff>210207</xdr:colOff>
      <xdr:row>47</xdr:row>
      <xdr:rowOff>45982</xdr:rowOff>
    </xdr:to>
    <xdr:grpSp>
      <xdr:nvGrpSpPr>
        <xdr:cNvPr id="18" name="Group 17"/>
        <xdr:cNvGrpSpPr/>
      </xdr:nvGrpSpPr>
      <xdr:grpSpPr>
        <a:xfrm>
          <a:off x="15029793" y="5051534"/>
          <a:ext cx="9104586" cy="3842845"/>
          <a:chOff x="14930602" y="5081533"/>
          <a:chExt cx="9066705" cy="3539139"/>
        </a:xfrm>
      </xdr:grpSpPr>
      <xdr:sp macro="" textlink="">
        <xdr:nvSpPr>
          <xdr:cNvPr id="63" name="Rounded Rectangle 62"/>
          <xdr:cNvSpPr/>
        </xdr:nvSpPr>
        <xdr:spPr>
          <a:xfrm>
            <a:off x="14930602" y="5233714"/>
            <a:ext cx="9066705" cy="3355208"/>
          </a:xfrm>
          <a:prstGeom prst="roundRect">
            <a:avLst>
              <a:gd name="adj" fmla="val 32486"/>
            </a:avLst>
          </a:prstGeom>
          <a:solidFill>
            <a:schemeClr val="bg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60" name="Chart 59"/>
          <xdr:cNvGraphicFramePr>
            <a:graphicFrameLocks/>
          </xdr:cNvGraphicFramePr>
        </xdr:nvGraphicFramePr>
        <xdr:xfrm>
          <a:off x="15140152" y="5081533"/>
          <a:ext cx="8844455" cy="3539139"/>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3</xdr:col>
      <xdr:colOff>449537</xdr:colOff>
      <xdr:row>27</xdr:row>
      <xdr:rowOff>98044</xdr:rowOff>
    </xdr:from>
    <xdr:to>
      <xdr:col>10</xdr:col>
      <xdr:colOff>304581</xdr:colOff>
      <xdr:row>46</xdr:row>
      <xdr:rowOff>125177</xdr:rowOff>
    </xdr:to>
    <xdr:grpSp>
      <xdr:nvGrpSpPr>
        <xdr:cNvPr id="21" name="Group 20"/>
        <xdr:cNvGrpSpPr/>
      </xdr:nvGrpSpPr>
      <xdr:grpSpPr>
        <a:xfrm>
          <a:off x="2361106" y="5267820"/>
          <a:ext cx="4663527" cy="3521823"/>
          <a:chOff x="1250950" y="5156200"/>
          <a:chExt cx="4692650" cy="3416300"/>
        </a:xfrm>
      </xdr:grpSpPr>
      <xdr:sp macro="" textlink="">
        <xdr:nvSpPr>
          <xdr:cNvPr id="46" name="Rounded Rectangle 45"/>
          <xdr:cNvSpPr/>
        </xdr:nvSpPr>
        <xdr:spPr>
          <a:xfrm>
            <a:off x="1250950" y="5289550"/>
            <a:ext cx="4692650" cy="3282950"/>
          </a:xfrm>
          <a:prstGeom prst="roundRect">
            <a:avLst>
              <a:gd name="adj" fmla="val 20766"/>
            </a:avLst>
          </a:prstGeom>
          <a:solidFill>
            <a:schemeClr val="bg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59" name="Chart 58"/>
          <xdr:cNvGraphicFramePr>
            <a:graphicFrameLocks/>
          </xdr:cNvGraphicFramePr>
        </xdr:nvGraphicFramePr>
        <xdr:xfrm>
          <a:off x="1308100" y="5156200"/>
          <a:ext cx="4476750" cy="3327400"/>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twoCellAnchor>
    <xdr:from>
      <xdr:col>3</xdr:col>
      <xdr:colOff>468587</xdr:colOff>
      <xdr:row>7</xdr:row>
      <xdr:rowOff>19706</xdr:rowOff>
    </xdr:from>
    <xdr:to>
      <xdr:col>10</xdr:col>
      <xdr:colOff>355381</xdr:colOff>
      <xdr:row>29</xdr:row>
      <xdr:rowOff>77904</xdr:rowOff>
    </xdr:to>
    <xdr:grpSp>
      <xdr:nvGrpSpPr>
        <xdr:cNvPr id="16" name="Group 15"/>
        <xdr:cNvGrpSpPr/>
      </xdr:nvGrpSpPr>
      <xdr:grpSpPr>
        <a:xfrm>
          <a:off x="2380156" y="1307223"/>
          <a:ext cx="4695277" cy="4308319"/>
          <a:chOff x="1257300" y="1365250"/>
          <a:chExt cx="4724400" cy="4127500"/>
        </a:xfrm>
      </xdr:grpSpPr>
      <xdr:sp macro="" textlink="">
        <xdr:nvSpPr>
          <xdr:cNvPr id="51" name="Rounded Rectangle 50"/>
          <xdr:cNvSpPr/>
        </xdr:nvSpPr>
        <xdr:spPr>
          <a:xfrm>
            <a:off x="1257300" y="2178050"/>
            <a:ext cx="4654550" cy="2901950"/>
          </a:xfrm>
          <a:prstGeom prst="roundRect">
            <a:avLst>
              <a:gd name="adj" fmla="val 20766"/>
            </a:avLst>
          </a:prstGeom>
          <a:solidFill>
            <a:schemeClr val="bg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64" name="Chart 63"/>
          <xdr:cNvGraphicFramePr>
            <a:graphicFrameLocks/>
          </xdr:cNvGraphicFramePr>
        </xdr:nvGraphicFramePr>
        <xdr:xfrm>
          <a:off x="1536700" y="1365250"/>
          <a:ext cx="4445000" cy="4127500"/>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twoCellAnchor>
    <xdr:from>
      <xdr:col>0</xdr:col>
      <xdr:colOff>65690</xdr:colOff>
      <xdr:row>3</xdr:row>
      <xdr:rowOff>65689</xdr:rowOff>
    </xdr:from>
    <xdr:to>
      <xdr:col>3</xdr:col>
      <xdr:colOff>30585</xdr:colOff>
      <xdr:row>30</xdr:row>
      <xdr:rowOff>143070</xdr:rowOff>
    </xdr:to>
    <xdr:grpSp>
      <xdr:nvGrpSpPr>
        <xdr:cNvPr id="10" name="Group 9"/>
        <xdr:cNvGrpSpPr/>
      </xdr:nvGrpSpPr>
      <xdr:grpSpPr>
        <a:xfrm>
          <a:off x="65690" y="617482"/>
          <a:ext cx="1876464" cy="5247157"/>
          <a:chOff x="0" y="847396"/>
          <a:chExt cx="1876464" cy="5247157"/>
        </a:xfrm>
      </xdr:grpSpPr>
      <mc:AlternateContent xmlns:mc="http://schemas.openxmlformats.org/markup-compatibility/2006" xmlns:a14="http://schemas.microsoft.com/office/drawing/2010/main">
        <mc:Choice Requires="a14">
          <xdr:graphicFrame macro="">
            <xdr:nvGraphicFramePr>
              <xdr:cNvPr id="67" name="Year 2"/>
              <xdr:cNvGraphicFramePr/>
            </xdr:nvGraphicFramePr>
            <xdr:xfrm>
              <a:off x="0" y="847396"/>
              <a:ext cx="1876464" cy="1727639"/>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65690" y="617482"/>
                <a:ext cx="1876464" cy="17276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68" name="Branch City 2"/>
              <xdr:cNvGraphicFramePr/>
            </xdr:nvGraphicFramePr>
            <xdr:xfrm>
              <a:off x="0" y="2551438"/>
              <a:ext cx="1871024" cy="1304546"/>
            </xdr:xfrm>
            <a:graphic>
              <a:graphicData uri="http://schemas.microsoft.com/office/drawing/2010/slicer">
                <sle:slicer xmlns:sle="http://schemas.microsoft.com/office/drawing/2010/slicer" name="Branch City 2"/>
              </a:graphicData>
            </a:graphic>
          </xdr:graphicFrame>
        </mc:Choice>
        <mc:Fallback xmlns="">
          <xdr:sp macro="" textlink="">
            <xdr:nvSpPr>
              <xdr:cNvPr id="0" name=""/>
              <xdr:cNvSpPr>
                <a:spLocks noTextEdit="1"/>
              </xdr:cNvSpPr>
            </xdr:nvSpPr>
            <xdr:spPr>
              <a:xfrm>
                <a:off x="65690" y="2321524"/>
                <a:ext cx="1871024" cy="13045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69" name="Product line 3"/>
              <xdr:cNvGraphicFramePr>
                <a:graphicFrameLocks/>
              </xdr:cNvGraphicFramePr>
            </xdr:nvGraphicFramePr>
            <xdr:xfrm>
              <a:off x="0" y="3862553"/>
              <a:ext cx="1865585" cy="2232000"/>
            </xdr:xfrm>
            <a:graphic>
              <a:graphicData uri="http://schemas.microsoft.com/office/drawing/2010/slicer">
                <sle:slicer xmlns:sle="http://schemas.microsoft.com/office/drawing/2010/slicer" name="Product line 3"/>
              </a:graphicData>
            </a:graphic>
          </xdr:graphicFrame>
        </mc:Choice>
        <mc:Fallback xmlns="">
          <xdr:sp macro="" textlink="">
            <xdr:nvSpPr>
              <xdr:cNvPr id="0" name=""/>
              <xdr:cNvSpPr>
                <a:spLocks noTextEdit="1"/>
              </xdr:cNvSpPr>
            </xdr:nvSpPr>
            <xdr:spPr>
              <a:xfrm>
                <a:off x="65690" y="3632639"/>
                <a:ext cx="1865585" cy="2232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17</xdr:col>
      <xdr:colOff>229915</xdr:colOff>
      <xdr:row>27</xdr:row>
      <xdr:rowOff>78828</xdr:rowOff>
    </xdr:from>
    <xdr:to>
      <xdr:col>23</xdr:col>
      <xdr:colOff>65690</xdr:colOff>
      <xdr:row>46</xdr:row>
      <xdr:rowOff>167730</xdr:rowOff>
    </xdr:to>
    <xdr:grpSp>
      <xdr:nvGrpSpPr>
        <xdr:cNvPr id="73" name="Group 72"/>
        <xdr:cNvGrpSpPr/>
      </xdr:nvGrpSpPr>
      <xdr:grpSpPr>
        <a:xfrm>
          <a:off x="11410294" y="5248604"/>
          <a:ext cx="3658913" cy="3583592"/>
          <a:chOff x="5810250" y="5168900"/>
          <a:chExt cx="4572000" cy="3346450"/>
        </a:xfrm>
      </xdr:grpSpPr>
      <xdr:sp macro="" textlink="">
        <xdr:nvSpPr>
          <xdr:cNvPr id="74" name="Rounded Rectangle 73"/>
          <xdr:cNvSpPr/>
        </xdr:nvSpPr>
        <xdr:spPr>
          <a:xfrm>
            <a:off x="6038850" y="5251449"/>
            <a:ext cx="4165600" cy="3206749"/>
          </a:xfrm>
          <a:prstGeom prst="roundRect">
            <a:avLst>
              <a:gd name="adj" fmla="val 21948"/>
            </a:avLst>
          </a:prstGeom>
          <a:solidFill>
            <a:schemeClr val="bg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75" name="Chart 74"/>
          <xdr:cNvGraphicFramePr>
            <a:graphicFrameLocks/>
          </xdr:cNvGraphicFramePr>
        </xdr:nvGraphicFramePr>
        <xdr:xfrm>
          <a:off x="5810250" y="5168900"/>
          <a:ext cx="4572000" cy="3346450"/>
        </xdr:xfrm>
        <a:graphic>
          <a:graphicData uri="http://schemas.openxmlformats.org/drawingml/2006/chart">
            <c:chart xmlns:c="http://schemas.openxmlformats.org/drawingml/2006/chart" xmlns:r="http://schemas.openxmlformats.org/officeDocument/2006/relationships" r:id="rId10"/>
          </a:graphicData>
        </a:graphic>
      </xdr:graphicFrame>
    </xdr:grpSp>
    <xdr:clientData/>
  </xdr:twoCellAnchor>
  <xdr:twoCellAnchor>
    <xdr:from>
      <xdr:col>0</xdr:col>
      <xdr:colOff>376586</xdr:colOff>
      <xdr:row>29</xdr:row>
      <xdr:rowOff>98536</xdr:rowOff>
    </xdr:from>
    <xdr:to>
      <xdr:col>2</xdr:col>
      <xdr:colOff>356879</xdr:colOff>
      <xdr:row>47</xdr:row>
      <xdr:rowOff>98534</xdr:rowOff>
    </xdr:to>
    <xdr:grpSp>
      <xdr:nvGrpSpPr>
        <xdr:cNvPr id="54" name="Group 53"/>
        <xdr:cNvGrpSpPr/>
      </xdr:nvGrpSpPr>
      <xdr:grpSpPr>
        <a:xfrm>
          <a:off x="376586" y="5636174"/>
          <a:ext cx="1254672" cy="3310757"/>
          <a:chOff x="335017" y="5662450"/>
          <a:chExt cx="1254672" cy="3310757"/>
        </a:xfrm>
      </xdr:grpSpPr>
      <xdr:pic>
        <xdr:nvPicPr>
          <xdr:cNvPr id="32" name="Picture 31">
            <a:hlinkClick xmlns:r="http://schemas.openxmlformats.org/officeDocument/2006/relationships" r:id="rId11"/>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335017" y="5662450"/>
            <a:ext cx="1254672" cy="1254672"/>
          </a:xfrm>
          <a:prstGeom prst="rect">
            <a:avLst/>
          </a:prstGeom>
        </xdr:spPr>
      </xdr:pic>
      <xdr:pic>
        <xdr:nvPicPr>
          <xdr:cNvPr id="33" name="Picture 32">
            <a:hlinkClick xmlns:r="http://schemas.openxmlformats.org/officeDocument/2006/relationships" r:id="rId13"/>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420414" y="6772604"/>
            <a:ext cx="1083879" cy="991914"/>
          </a:xfrm>
          <a:prstGeom prst="rect">
            <a:avLst/>
          </a:prstGeom>
        </xdr:spPr>
      </xdr:pic>
      <xdr:pic>
        <xdr:nvPicPr>
          <xdr:cNvPr id="43" name="Picture 42">
            <a:hlinkClick xmlns:r="http://schemas.openxmlformats.org/officeDocument/2006/relationships" r:id="rId15"/>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443404" y="7935309"/>
            <a:ext cx="1037898" cy="1037898"/>
          </a:xfrm>
          <a:prstGeom prst="rect">
            <a:avLst/>
          </a:prstGeom>
        </xdr:spPr>
      </xdr:pic>
    </xdr:grpSp>
    <xdr:clientData/>
  </xdr:twoCellAnchor>
</xdr:wsDr>
</file>

<file path=xl/drawings/drawing2.xml><?xml version="1.0" encoding="utf-8"?>
<c:userShapes xmlns:c="http://schemas.openxmlformats.org/drawingml/2006/chart">
  <cdr:relSizeAnchor xmlns:cdr="http://schemas.openxmlformats.org/drawingml/2006/chartDrawing">
    <cdr:from>
      <cdr:x>0.41861</cdr:x>
      <cdr:y>0.39027</cdr:y>
    </cdr:from>
    <cdr:to>
      <cdr:x>0.64222</cdr:x>
      <cdr:y>0.72591</cdr:y>
    </cdr:to>
    <cdr:sp macro="" textlink="">
      <cdr:nvSpPr>
        <cdr:cNvPr id="2" name="TextBox 1"/>
        <cdr:cNvSpPr txBox="1"/>
      </cdr:nvSpPr>
      <cdr:spPr>
        <a:xfrm xmlns:a="http://schemas.openxmlformats.org/drawingml/2006/main">
          <a:off x="1913890" y="1070575"/>
          <a:ext cx="1022350" cy="9207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0.41597</cdr:x>
      <cdr:y>0.46078</cdr:y>
    </cdr:from>
    <cdr:to>
      <cdr:x>0.64652</cdr:x>
      <cdr:y>0.78254</cdr:y>
    </cdr:to>
    <cdr:sp macro="" textlink="Pivots!$B$15">
      <cdr:nvSpPr>
        <cdr:cNvPr id="3" name="TextBox 2"/>
        <cdr:cNvSpPr txBox="1"/>
      </cdr:nvSpPr>
      <cdr:spPr>
        <a:xfrm xmlns:a="http://schemas.openxmlformats.org/drawingml/2006/main">
          <a:off x="1806005" y="1489002"/>
          <a:ext cx="1000967" cy="1039765"/>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63BE6B63-37AE-484C-8ECE-D59EEB54FD32}" type="TxLink">
            <a:rPr lang="en-US" sz="2800" b="1" i="0" u="none" strike="noStrike">
              <a:solidFill>
                <a:srgbClr val="FAE1DD"/>
              </a:solidFill>
              <a:latin typeface="Andalus" panose="02020603050405020304" pitchFamily="18" charset="-78"/>
              <a:cs typeface="Andalus" panose="02020603050405020304" pitchFamily="18" charset="-78"/>
            </a:rPr>
            <a:pPr algn="ctr"/>
            <a:t>42%</a:t>
          </a:fld>
          <a:endParaRPr lang="en-US" sz="2800" b="1">
            <a:solidFill>
              <a:srgbClr val="FAE1DD"/>
            </a:solidFill>
            <a:latin typeface="Andalus" panose="02020603050405020304" pitchFamily="18" charset="-78"/>
            <a:cs typeface="Andalus" panose="02020603050405020304" pitchFamily="18" charset="-78"/>
          </a:endParaRPr>
        </a:p>
      </cdr:txBody>
    </cdr:sp>
  </cdr:relSizeAnchor>
</c:userShapes>
</file>

<file path=xl/drawings/drawing3.xml><?xml version="1.0" encoding="utf-8"?>
<xdr:wsDr xmlns:xdr="http://schemas.openxmlformats.org/drawingml/2006/spreadsheetDrawing" xmlns:a="http://schemas.openxmlformats.org/drawingml/2006/main">
  <xdr:twoCellAnchor>
    <xdr:from>
      <xdr:col>3</xdr:col>
      <xdr:colOff>65690</xdr:colOff>
      <xdr:row>3</xdr:row>
      <xdr:rowOff>52551</xdr:rowOff>
    </xdr:from>
    <xdr:to>
      <xdr:col>37</xdr:col>
      <xdr:colOff>310713</xdr:colOff>
      <xdr:row>47</xdr:row>
      <xdr:rowOff>124809</xdr:rowOff>
    </xdr:to>
    <xdr:sp macro="" textlink="">
      <xdr:nvSpPr>
        <xdr:cNvPr id="75" name="Round Same Side Corner Rectangle 74"/>
        <xdr:cNvSpPr/>
      </xdr:nvSpPr>
      <xdr:spPr>
        <a:xfrm flipV="1">
          <a:off x="1977259" y="604344"/>
          <a:ext cx="22257626" cy="8368862"/>
        </a:xfrm>
        <a:prstGeom prst="round2SameRect">
          <a:avLst/>
        </a:prstGeom>
        <a:gradFill flip="none" rotWithShape="1">
          <a:gsLst>
            <a:gs pos="0">
              <a:srgbClr val="6D6875">
                <a:tint val="66000"/>
                <a:satMod val="160000"/>
              </a:srgbClr>
            </a:gs>
            <a:gs pos="50000">
              <a:srgbClr val="6D6875">
                <a:tint val="44500"/>
                <a:satMod val="160000"/>
              </a:srgbClr>
            </a:gs>
            <a:gs pos="100000">
              <a:srgbClr val="6D6875">
                <a:tint val="23500"/>
                <a:satMod val="160000"/>
              </a:srgbClr>
            </a:gs>
          </a:gsLst>
          <a:path path="circle">
            <a:fillToRect l="50000" t="50000" r="50000" b="50000"/>
          </a:path>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44668</xdr:colOff>
      <xdr:row>0</xdr:row>
      <xdr:rowOff>121964</xdr:rowOff>
    </xdr:from>
    <xdr:to>
      <xdr:col>26</xdr:col>
      <xdr:colOff>326258</xdr:colOff>
      <xdr:row>4</xdr:row>
      <xdr:rowOff>63694</xdr:rowOff>
    </xdr:to>
    <xdr:grpSp>
      <xdr:nvGrpSpPr>
        <xdr:cNvPr id="30" name="Group 29"/>
        <xdr:cNvGrpSpPr/>
      </xdr:nvGrpSpPr>
      <xdr:grpSpPr>
        <a:xfrm>
          <a:off x="8039099" y="121964"/>
          <a:ext cx="9202245" cy="677454"/>
          <a:chOff x="8006255" y="128533"/>
          <a:chExt cx="9202245" cy="677454"/>
        </a:xfrm>
      </xdr:grpSpPr>
      <xdr:sp macro="" textlink="">
        <xdr:nvSpPr>
          <xdr:cNvPr id="4" name="Rounded Rectangle 3"/>
          <xdr:cNvSpPr/>
        </xdr:nvSpPr>
        <xdr:spPr>
          <a:xfrm>
            <a:off x="8006255" y="128533"/>
            <a:ext cx="9202245" cy="677454"/>
          </a:xfrm>
          <a:prstGeom prst="roundRect">
            <a:avLst/>
          </a:prstGeom>
          <a:solidFill>
            <a:srgbClr val="6D6875"/>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a:latin typeface="Andalus" panose="02020603050405020304" pitchFamily="18" charset="-78"/>
              <a:cs typeface="Andalus" panose="02020603050405020304" pitchFamily="18" charset="-78"/>
            </a:endParaRPr>
          </a:p>
        </xdr:txBody>
      </xdr:sp>
      <xdr:sp macro="" textlink="Pivots!B1">
        <xdr:nvSpPr>
          <xdr:cNvPr id="5" name="TextBox 4"/>
          <xdr:cNvSpPr txBox="1"/>
        </xdr:nvSpPr>
        <xdr:spPr>
          <a:xfrm>
            <a:off x="8308699" y="128533"/>
            <a:ext cx="8597356" cy="6774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41F7C2-F3A8-4CB0-AA8B-384DD2AEDD03}" type="TxLink">
              <a:rPr lang="en-US" sz="4000" b="1" i="0" u="none" strike="noStrike">
                <a:solidFill>
                  <a:schemeClr val="bg1"/>
                </a:solidFill>
                <a:latin typeface="Andalus" panose="02020603050405020304" pitchFamily="18" charset="-78"/>
                <a:cs typeface="Andalus" panose="02020603050405020304" pitchFamily="18" charset="-78"/>
              </a:rPr>
              <a:pPr algn="ctr"/>
              <a:t>One Day Sales Dashboard In 2022</a:t>
            </a:fld>
            <a:endParaRPr lang="en-US" sz="4000" b="1">
              <a:solidFill>
                <a:schemeClr val="bg1"/>
              </a:solidFill>
              <a:latin typeface="Andalus" panose="02020603050405020304" pitchFamily="18" charset="-78"/>
              <a:cs typeface="Andalus" panose="02020603050405020304" pitchFamily="18" charset="-78"/>
            </a:endParaRPr>
          </a:p>
        </xdr:txBody>
      </xdr:sp>
    </xdr:grpSp>
    <xdr:clientData/>
  </xdr:twoCellAnchor>
  <xdr:twoCellAnchor>
    <xdr:from>
      <xdr:col>4</xdr:col>
      <xdr:colOff>8100</xdr:colOff>
      <xdr:row>4</xdr:row>
      <xdr:rowOff>154918</xdr:rowOff>
    </xdr:from>
    <xdr:to>
      <xdr:col>9</xdr:col>
      <xdr:colOff>315091</xdr:colOff>
      <xdr:row>9</xdr:row>
      <xdr:rowOff>179920</xdr:rowOff>
    </xdr:to>
    <xdr:grpSp>
      <xdr:nvGrpSpPr>
        <xdr:cNvPr id="10" name="Group 9"/>
        <xdr:cNvGrpSpPr/>
      </xdr:nvGrpSpPr>
      <xdr:grpSpPr>
        <a:xfrm>
          <a:off x="2556859" y="890642"/>
          <a:ext cx="3492939" cy="944657"/>
          <a:chOff x="857249" y="873125"/>
          <a:chExt cx="3270251" cy="920750"/>
        </a:xfrm>
      </xdr:grpSpPr>
      <xdr:sp macro="" textlink="">
        <xdr:nvSpPr>
          <xdr:cNvPr id="16" name="Rounded Rectangle 15"/>
          <xdr:cNvSpPr/>
        </xdr:nvSpPr>
        <xdr:spPr>
          <a:xfrm>
            <a:off x="857249" y="873125"/>
            <a:ext cx="2686051" cy="92075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7" name="TextBox 16"/>
          <xdr:cNvSpPr txBox="1"/>
        </xdr:nvSpPr>
        <xdr:spPr>
          <a:xfrm>
            <a:off x="958850" y="1028700"/>
            <a:ext cx="1803400" cy="546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600" b="1" i="0" u="none" strike="noStrike" baseline="0">
                <a:solidFill>
                  <a:srgbClr val="6D6875"/>
                </a:solidFill>
                <a:latin typeface="Andalus" panose="02020603050405020304" pitchFamily="18" charset="-78"/>
                <a:cs typeface="Andalus" panose="02020603050405020304" pitchFamily="18" charset="-78"/>
              </a:rPr>
              <a:t>No. Orders</a:t>
            </a:r>
          </a:p>
          <a:p>
            <a:pPr algn="l"/>
            <a:r>
              <a:rPr lang="en-US" sz="2600" b="1" i="0" u="none" strike="noStrike">
                <a:solidFill>
                  <a:srgbClr val="6D6875"/>
                </a:solidFill>
                <a:latin typeface="Andalus" panose="02020603050405020304" pitchFamily="18" charset="-78"/>
                <a:cs typeface="Andalus" panose="02020603050405020304" pitchFamily="18" charset="-78"/>
              </a:rPr>
              <a:t> </a:t>
            </a:r>
          </a:p>
        </xdr:txBody>
      </xdr:sp>
      <xdr:sp macro="" textlink="Pivots!N30">
        <xdr:nvSpPr>
          <xdr:cNvPr id="18" name="TextBox 17"/>
          <xdr:cNvSpPr txBox="1"/>
        </xdr:nvSpPr>
        <xdr:spPr>
          <a:xfrm>
            <a:off x="1974850" y="1079500"/>
            <a:ext cx="2152650"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BCF973A-4CD6-478B-8672-F1E4D29E2A74}" type="TxLink">
              <a:rPr lang="en-US" sz="3000" b="1" i="0" u="none" strike="noStrike" baseline="0">
                <a:solidFill>
                  <a:srgbClr val="B5838D"/>
                </a:solidFill>
                <a:latin typeface="Andalus" panose="02020603050405020304" pitchFamily="18" charset="-78"/>
                <a:ea typeface="+mn-ea"/>
                <a:cs typeface="Andalus" panose="02020603050405020304" pitchFamily="18" charset="-78"/>
              </a:rPr>
              <a:pPr marL="0" indent="0" algn="ctr"/>
              <a:t>386</a:t>
            </a:fld>
            <a:endParaRPr lang="en-US" sz="3000" b="1" i="0" u="none" strike="noStrike" baseline="0">
              <a:solidFill>
                <a:srgbClr val="B5838D"/>
              </a:solidFill>
              <a:latin typeface="Andalus" panose="02020603050405020304" pitchFamily="18" charset="-78"/>
              <a:ea typeface="+mn-ea"/>
              <a:cs typeface="Andalus" panose="02020603050405020304" pitchFamily="18" charset="-78"/>
            </a:endParaRPr>
          </a:p>
        </xdr:txBody>
      </xdr:sp>
    </xdr:grpSp>
    <xdr:clientData/>
  </xdr:twoCellAnchor>
  <xdr:twoCellAnchor>
    <xdr:from>
      <xdr:col>8</xdr:col>
      <xdr:colOff>473841</xdr:colOff>
      <xdr:row>4</xdr:row>
      <xdr:rowOff>161268</xdr:rowOff>
    </xdr:from>
    <xdr:to>
      <xdr:col>12</xdr:col>
      <xdr:colOff>71602</xdr:colOff>
      <xdr:row>9</xdr:row>
      <xdr:rowOff>173225</xdr:rowOff>
    </xdr:to>
    <xdr:grpSp>
      <xdr:nvGrpSpPr>
        <xdr:cNvPr id="9" name="Group 8"/>
        <xdr:cNvGrpSpPr/>
      </xdr:nvGrpSpPr>
      <xdr:grpSpPr>
        <a:xfrm>
          <a:off x="5571358" y="896992"/>
          <a:ext cx="2494675" cy="931612"/>
          <a:chOff x="3644899" y="892175"/>
          <a:chExt cx="1981201" cy="908050"/>
        </a:xfrm>
      </xdr:grpSpPr>
      <xdr:sp macro="" textlink="">
        <xdr:nvSpPr>
          <xdr:cNvPr id="20" name="Rounded Rectangle 19"/>
          <xdr:cNvSpPr/>
        </xdr:nvSpPr>
        <xdr:spPr>
          <a:xfrm>
            <a:off x="3644899" y="892175"/>
            <a:ext cx="1955800" cy="90805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1" name="TextBox 20"/>
          <xdr:cNvSpPr txBox="1"/>
        </xdr:nvSpPr>
        <xdr:spPr>
          <a:xfrm>
            <a:off x="3695700" y="1073150"/>
            <a:ext cx="1250950" cy="546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i="0" u="none" strike="noStrike" baseline="0">
                <a:solidFill>
                  <a:srgbClr val="6D6875"/>
                </a:solidFill>
                <a:latin typeface="Andalus" panose="02020603050405020304" pitchFamily="18" charset="-78"/>
                <a:cs typeface="Andalus" panose="02020603050405020304" pitchFamily="18" charset="-78"/>
              </a:rPr>
              <a:t>AOV</a:t>
            </a:r>
          </a:p>
          <a:p>
            <a:pPr algn="ctr"/>
            <a:r>
              <a:rPr lang="en-US" sz="2800" b="1" i="0" u="none" strike="noStrike">
                <a:solidFill>
                  <a:srgbClr val="6D6875"/>
                </a:solidFill>
                <a:latin typeface="Andalus" panose="02020603050405020304" pitchFamily="18" charset="-78"/>
                <a:cs typeface="Andalus" panose="02020603050405020304" pitchFamily="18" charset="-78"/>
              </a:rPr>
              <a:t> </a:t>
            </a:r>
          </a:p>
        </xdr:txBody>
      </xdr:sp>
      <xdr:sp macro="" textlink="Pivots!B19">
        <xdr:nvSpPr>
          <xdr:cNvPr id="22" name="TextBox 21"/>
          <xdr:cNvSpPr txBox="1"/>
        </xdr:nvSpPr>
        <xdr:spPr>
          <a:xfrm>
            <a:off x="4476750" y="1082675"/>
            <a:ext cx="1149350"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72168B3-7914-4298-8937-7DF1591C962D}" type="TxLink">
              <a:rPr lang="en-US" sz="3000" b="1" i="0" u="none" strike="noStrike" baseline="0">
                <a:solidFill>
                  <a:srgbClr val="B5838D"/>
                </a:solidFill>
                <a:latin typeface="Andalus" panose="02020603050405020304" pitchFamily="18" charset="-78"/>
                <a:ea typeface="+mn-ea"/>
                <a:cs typeface="Andalus" panose="02020603050405020304" pitchFamily="18" charset="-78"/>
              </a:rPr>
              <a:pPr marL="0" indent="0" algn="ctr"/>
              <a:t> 307       </a:t>
            </a:fld>
            <a:endParaRPr lang="en-US" sz="3000" b="1" i="0" u="none" strike="noStrike" baseline="0">
              <a:solidFill>
                <a:srgbClr val="B5838D"/>
              </a:solidFill>
              <a:latin typeface="Andalus" panose="02020603050405020304" pitchFamily="18" charset="-78"/>
              <a:ea typeface="+mn-ea"/>
              <a:cs typeface="Andalus" panose="02020603050405020304" pitchFamily="18" charset="-78"/>
            </a:endParaRPr>
          </a:p>
        </xdr:txBody>
      </xdr:sp>
    </xdr:grpSp>
    <xdr:clientData/>
  </xdr:twoCellAnchor>
  <xdr:twoCellAnchor>
    <xdr:from>
      <xdr:col>29</xdr:col>
      <xdr:colOff>169041</xdr:colOff>
      <xdr:row>4</xdr:row>
      <xdr:rowOff>154918</xdr:rowOff>
    </xdr:from>
    <xdr:to>
      <xdr:col>36</xdr:col>
      <xdr:colOff>1752</xdr:colOff>
      <xdr:row>9</xdr:row>
      <xdr:rowOff>179920</xdr:rowOff>
    </xdr:to>
    <xdr:grpSp>
      <xdr:nvGrpSpPr>
        <xdr:cNvPr id="3" name="Group 2"/>
        <xdr:cNvGrpSpPr/>
      </xdr:nvGrpSpPr>
      <xdr:grpSpPr>
        <a:xfrm>
          <a:off x="18995696" y="890642"/>
          <a:ext cx="4293039" cy="944657"/>
          <a:chOff x="16040099" y="892175"/>
          <a:chExt cx="4318002" cy="920750"/>
        </a:xfrm>
      </xdr:grpSpPr>
      <xdr:sp macro="" textlink="">
        <xdr:nvSpPr>
          <xdr:cNvPr id="24" name="Rounded Rectangle 23"/>
          <xdr:cNvSpPr/>
        </xdr:nvSpPr>
        <xdr:spPr>
          <a:xfrm>
            <a:off x="16040099" y="892175"/>
            <a:ext cx="3727451" cy="92075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5" name="TextBox 24"/>
          <xdr:cNvSpPr txBox="1"/>
        </xdr:nvSpPr>
        <xdr:spPr>
          <a:xfrm>
            <a:off x="16108869" y="1035050"/>
            <a:ext cx="3255099" cy="546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800" b="1" i="0" u="none" strike="noStrike" baseline="0">
                <a:solidFill>
                  <a:srgbClr val="6D6875"/>
                </a:solidFill>
                <a:latin typeface="Andalus" panose="02020603050405020304" pitchFamily="18" charset="-78"/>
                <a:cs typeface="Andalus" panose="02020603050405020304" pitchFamily="18" charset="-78"/>
              </a:rPr>
              <a:t>Avg. Of Unit Price</a:t>
            </a:r>
          </a:p>
          <a:p>
            <a:pPr algn="l"/>
            <a:r>
              <a:rPr lang="en-US" sz="2800" b="1" i="0" u="none" strike="noStrike">
                <a:solidFill>
                  <a:srgbClr val="6D6875"/>
                </a:solidFill>
                <a:latin typeface="Andalus" panose="02020603050405020304" pitchFamily="18" charset="-78"/>
                <a:cs typeface="Andalus" panose="02020603050405020304" pitchFamily="18" charset="-78"/>
              </a:rPr>
              <a:t> </a:t>
            </a:r>
          </a:p>
        </xdr:txBody>
      </xdr:sp>
      <xdr:sp macro="" textlink="Pivots!B17">
        <xdr:nvSpPr>
          <xdr:cNvPr id="26" name="TextBox 25"/>
          <xdr:cNvSpPr txBox="1"/>
        </xdr:nvSpPr>
        <xdr:spPr>
          <a:xfrm>
            <a:off x="18065751" y="1114425"/>
            <a:ext cx="2292350"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028A17D-B205-43CB-9914-1C70FD2206A0}" type="TxLink">
              <a:rPr lang="en-US" sz="3000" b="1" i="0" u="none" strike="noStrike" baseline="0">
                <a:solidFill>
                  <a:srgbClr val="B5838D"/>
                </a:solidFill>
                <a:latin typeface="Andalus" panose="02020603050405020304" pitchFamily="18" charset="-78"/>
                <a:ea typeface="+mn-ea"/>
                <a:cs typeface="Andalus" panose="02020603050405020304" pitchFamily="18" charset="-78"/>
              </a:rPr>
              <a:pPr marL="0" indent="0" algn="ctr"/>
              <a:t>56</a:t>
            </a:fld>
            <a:endParaRPr lang="en-US" sz="3000" b="1" i="0" u="none" strike="noStrike" baseline="0">
              <a:solidFill>
                <a:srgbClr val="B5838D"/>
              </a:solidFill>
              <a:latin typeface="Andalus" panose="02020603050405020304" pitchFamily="18" charset="-78"/>
              <a:ea typeface="+mn-ea"/>
              <a:cs typeface="Andalus" panose="02020603050405020304" pitchFamily="18" charset="-78"/>
            </a:endParaRPr>
          </a:p>
        </xdr:txBody>
      </xdr:sp>
    </xdr:grpSp>
    <xdr:clientData/>
  </xdr:twoCellAnchor>
  <xdr:twoCellAnchor>
    <xdr:from>
      <xdr:col>77</xdr:col>
      <xdr:colOff>33501</xdr:colOff>
      <xdr:row>0</xdr:row>
      <xdr:rowOff>45983</xdr:rowOff>
    </xdr:from>
    <xdr:to>
      <xdr:col>85</xdr:col>
      <xdr:colOff>109702</xdr:colOff>
      <xdr:row>11</xdr:row>
      <xdr:rowOff>113046</xdr:rowOff>
    </xdr:to>
    <xdr:sp macro="" textlink="">
      <xdr:nvSpPr>
        <xdr:cNvPr id="47" name="Rounded Rectangle 46"/>
        <xdr:cNvSpPr/>
      </xdr:nvSpPr>
      <xdr:spPr>
        <a:xfrm>
          <a:off x="49445260" y="45983"/>
          <a:ext cx="5173718" cy="2293942"/>
        </a:xfrm>
        <a:prstGeom prst="roundRect">
          <a:avLst>
            <a:gd name="adj" fmla="val 20766"/>
          </a:avLst>
        </a:prstGeom>
        <a:solidFill>
          <a:schemeClr val="bg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156340</xdr:colOff>
      <xdr:row>4</xdr:row>
      <xdr:rowOff>154918</xdr:rowOff>
    </xdr:from>
    <xdr:to>
      <xdr:col>19</xdr:col>
      <xdr:colOff>143641</xdr:colOff>
      <xdr:row>9</xdr:row>
      <xdr:rowOff>179920</xdr:rowOff>
    </xdr:to>
    <xdr:grpSp>
      <xdr:nvGrpSpPr>
        <xdr:cNvPr id="8" name="Group 7"/>
        <xdr:cNvGrpSpPr/>
      </xdr:nvGrpSpPr>
      <xdr:grpSpPr>
        <a:xfrm>
          <a:off x="8150771" y="890642"/>
          <a:ext cx="4447629" cy="944657"/>
          <a:chOff x="5689599" y="892175"/>
          <a:chExt cx="4476751" cy="920750"/>
        </a:xfrm>
      </xdr:grpSpPr>
      <xdr:sp macro="" textlink="">
        <xdr:nvSpPr>
          <xdr:cNvPr id="29" name="Rounded Rectangle 28"/>
          <xdr:cNvSpPr/>
        </xdr:nvSpPr>
        <xdr:spPr>
          <a:xfrm>
            <a:off x="5689599" y="892175"/>
            <a:ext cx="3886201" cy="92075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0" name="TextBox 49"/>
          <xdr:cNvSpPr txBox="1"/>
        </xdr:nvSpPr>
        <xdr:spPr>
          <a:xfrm>
            <a:off x="5740400" y="1060450"/>
            <a:ext cx="3175000" cy="546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600" b="1" i="0" u="none" strike="noStrike" baseline="0">
                <a:solidFill>
                  <a:srgbClr val="6D6875"/>
                </a:solidFill>
                <a:latin typeface="Andalus" panose="02020603050405020304" pitchFamily="18" charset="-78"/>
                <a:cs typeface="Andalus" panose="02020603050405020304" pitchFamily="18" charset="-78"/>
              </a:rPr>
              <a:t>No. Orders  Returned</a:t>
            </a:r>
          </a:p>
          <a:p>
            <a:pPr algn="l"/>
            <a:r>
              <a:rPr lang="en-US" sz="2600" b="1" i="0" u="none" strike="noStrike">
                <a:solidFill>
                  <a:srgbClr val="6D6875"/>
                </a:solidFill>
                <a:latin typeface="Andalus" panose="02020603050405020304" pitchFamily="18" charset="-78"/>
                <a:cs typeface="Andalus" panose="02020603050405020304" pitchFamily="18" charset="-78"/>
              </a:rPr>
              <a:t> </a:t>
            </a:r>
          </a:p>
        </xdr:txBody>
      </xdr:sp>
      <xdr:sp macro="" textlink="Pivots!N31">
        <xdr:nvSpPr>
          <xdr:cNvPr id="51" name="TextBox 50"/>
          <xdr:cNvSpPr txBox="1"/>
        </xdr:nvSpPr>
        <xdr:spPr>
          <a:xfrm>
            <a:off x="8013700" y="1079500"/>
            <a:ext cx="2152650"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F8500F9-AD63-4A69-9C87-47EBC82A8F0A}" type="TxLink">
              <a:rPr lang="en-US" sz="3000" b="1" i="0" u="none" strike="noStrike" baseline="0">
                <a:solidFill>
                  <a:srgbClr val="B5838D"/>
                </a:solidFill>
                <a:latin typeface="Andalus" panose="02020603050405020304" pitchFamily="18" charset="-78"/>
                <a:ea typeface="+mn-ea"/>
                <a:cs typeface="Andalus" panose="02020603050405020304" pitchFamily="18" charset="-78"/>
              </a:rPr>
              <a:pPr marL="0" indent="0" algn="ctr"/>
              <a:t>43</a:t>
            </a:fld>
            <a:endParaRPr lang="en-US" sz="3000" b="1" i="0" u="none" strike="noStrike" baseline="0">
              <a:solidFill>
                <a:srgbClr val="B5838D"/>
              </a:solidFill>
              <a:latin typeface="Andalus" panose="02020603050405020304" pitchFamily="18" charset="-78"/>
              <a:ea typeface="+mn-ea"/>
              <a:cs typeface="Andalus" panose="02020603050405020304" pitchFamily="18" charset="-78"/>
            </a:endParaRPr>
          </a:p>
        </xdr:txBody>
      </xdr:sp>
    </xdr:grpSp>
    <xdr:clientData/>
  </xdr:twoCellAnchor>
  <xdr:twoCellAnchor>
    <xdr:from>
      <xdr:col>18</xdr:col>
      <xdr:colOff>296042</xdr:colOff>
      <xdr:row>4</xdr:row>
      <xdr:rowOff>154918</xdr:rowOff>
    </xdr:from>
    <xdr:to>
      <xdr:col>23</xdr:col>
      <xdr:colOff>632594</xdr:colOff>
      <xdr:row>9</xdr:row>
      <xdr:rowOff>179920</xdr:rowOff>
    </xdr:to>
    <xdr:grpSp>
      <xdr:nvGrpSpPr>
        <xdr:cNvPr id="7" name="Group 6"/>
        <xdr:cNvGrpSpPr/>
      </xdr:nvGrpSpPr>
      <xdr:grpSpPr>
        <a:xfrm>
          <a:off x="12113611" y="890642"/>
          <a:ext cx="3522500" cy="944657"/>
          <a:chOff x="9658349" y="911225"/>
          <a:chExt cx="3039779" cy="920750"/>
        </a:xfrm>
      </xdr:grpSpPr>
      <xdr:sp macro="" textlink="">
        <xdr:nvSpPr>
          <xdr:cNvPr id="52" name="Rounded Rectangle 51"/>
          <xdr:cNvSpPr/>
        </xdr:nvSpPr>
        <xdr:spPr>
          <a:xfrm>
            <a:off x="9658349" y="911225"/>
            <a:ext cx="2603501" cy="92075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3" name="TextBox 52"/>
          <xdr:cNvSpPr txBox="1"/>
        </xdr:nvSpPr>
        <xdr:spPr>
          <a:xfrm>
            <a:off x="9825322" y="1079500"/>
            <a:ext cx="1803400" cy="546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600" b="1" i="0" u="none" strike="noStrike" baseline="0">
                <a:solidFill>
                  <a:srgbClr val="6D6875"/>
                </a:solidFill>
                <a:latin typeface="Andalus" panose="02020603050405020304" pitchFamily="18" charset="-78"/>
                <a:cs typeface="Andalus" panose="02020603050405020304" pitchFamily="18" charset="-78"/>
              </a:rPr>
              <a:t>No. Units</a:t>
            </a:r>
          </a:p>
          <a:p>
            <a:pPr algn="l"/>
            <a:r>
              <a:rPr lang="en-US" sz="2600" b="1" i="0" u="none" strike="noStrike">
                <a:solidFill>
                  <a:srgbClr val="6D6875"/>
                </a:solidFill>
                <a:latin typeface="Andalus" panose="02020603050405020304" pitchFamily="18" charset="-78"/>
                <a:cs typeface="Andalus" panose="02020603050405020304" pitchFamily="18" charset="-78"/>
              </a:rPr>
              <a:t> </a:t>
            </a:r>
          </a:p>
        </xdr:txBody>
      </xdr:sp>
      <xdr:sp macro="" textlink="Pivots!P36">
        <xdr:nvSpPr>
          <xdr:cNvPr id="54" name="TextBox 53"/>
          <xdr:cNvSpPr txBox="1"/>
        </xdr:nvSpPr>
        <xdr:spPr>
          <a:xfrm>
            <a:off x="10545478" y="1098550"/>
            <a:ext cx="2152650"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B4A26E5-225A-47EC-9562-36384D4AEEB0}" type="TxLink">
              <a:rPr lang="en-US" sz="3000" b="1" i="0" u="none" strike="noStrike" baseline="0">
                <a:solidFill>
                  <a:srgbClr val="B5838D"/>
                </a:solidFill>
                <a:latin typeface="Andalus" panose="02020603050405020304" pitchFamily="18" charset="-78"/>
                <a:ea typeface="+mn-ea"/>
                <a:cs typeface="Andalus" panose="02020603050405020304" pitchFamily="18" charset="-78"/>
              </a:rPr>
              <a:pPr marL="0" indent="0" algn="ctr"/>
              <a:t>2091</a:t>
            </a:fld>
            <a:endParaRPr lang="en-US" sz="3000" b="1" i="0" u="none" strike="noStrike" baseline="0">
              <a:solidFill>
                <a:srgbClr val="B5838D"/>
              </a:solidFill>
              <a:latin typeface="Andalus" panose="02020603050405020304" pitchFamily="18" charset="-78"/>
              <a:ea typeface="+mn-ea"/>
              <a:cs typeface="Andalus" panose="02020603050405020304" pitchFamily="18" charset="-78"/>
            </a:endParaRPr>
          </a:p>
        </xdr:txBody>
      </xdr:sp>
    </xdr:grpSp>
    <xdr:clientData/>
  </xdr:twoCellAnchor>
  <xdr:twoCellAnchor>
    <xdr:from>
      <xdr:col>23</xdr:col>
      <xdr:colOff>251591</xdr:colOff>
      <xdr:row>4</xdr:row>
      <xdr:rowOff>154918</xdr:rowOff>
    </xdr:from>
    <xdr:to>
      <xdr:col>30</xdr:col>
      <xdr:colOff>52552</xdr:colOff>
      <xdr:row>9</xdr:row>
      <xdr:rowOff>179920</xdr:rowOff>
    </xdr:to>
    <xdr:grpSp>
      <xdr:nvGrpSpPr>
        <xdr:cNvPr id="6" name="Group 5"/>
        <xdr:cNvGrpSpPr/>
      </xdr:nvGrpSpPr>
      <xdr:grpSpPr>
        <a:xfrm>
          <a:off x="15255108" y="890642"/>
          <a:ext cx="4261289" cy="944657"/>
          <a:chOff x="12338049" y="911225"/>
          <a:chExt cx="4286251" cy="920750"/>
        </a:xfrm>
      </xdr:grpSpPr>
      <xdr:sp macro="" textlink="">
        <xdr:nvSpPr>
          <xdr:cNvPr id="58" name="Rounded Rectangle 57"/>
          <xdr:cNvSpPr/>
        </xdr:nvSpPr>
        <xdr:spPr>
          <a:xfrm>
            <a:off x="12338049" y="911225"/>
            <a:ext cx="3619501" cy="92075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9" name="TextBox 58"/>
          <xdr:cNvSpPr txBox="1"/>
        </xdr:nvSpPr>
        <xdr:spPr>
          <a:xfrm>
            <a:off x="12388850" y="1079500"/>
            <a:ext cx="3175000" cy="546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600" b="1" i="0" u="none" strike="noStrike" baseline="0">
                <a:solidFill>
                  <a:srgbClr val="6D6875"/>
                </a:solidFill>
                <a:latin typeface="Andalus" panose="02020603050405020304" pitchFamily="18" charset="-78"/>
                <a:cs typeface="Andalus" panose="02020603050405020304" pitchFamily="18" charset="-78"/>
              </a:rPr>
              <a:t>No. Units Returned</a:t>
            </a:r>
          </a:p>
          <a:p>
            <a:pPr algn="l"/>
            <a:r>
              <a:rPr lang="en-US" sz="2600" b="1" i="0" u="none" strike="noStrike">
                <a:solidFill>
                  <a:srgbClr val="6D6875"/>
                </a:solidFill>
                <a:latin typeface="Andalus" panose="02020603050405020304" pitchFamily="18" charset="-78"/>
                <a:cs typeface="Andalus" panose="02020603050405020304" pitchFamily="18" charset="-78"/>
              </a:rPr>
              <a:t> </a:t>
            </a:r>
          </a:p>
        </xdr:txBody>
      </xdr:sp>
      <xdr:sp macro="" textlink="Pivots!P37">
        <xdr:nvSpPr>
          <xdr:cNvPr id="60" name="TextBox 59"/>
          <xdr:cNvSpPr txBox="1"/>
        </xdr:nvSpPr>
        <xdr:spPr>
          <a:xfrm>
            <a:off x="14471650" y="1130300"/>
            <a:ext cx="2152650"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B9B2006-9224-4B30-8515-BDC717C6B953}" type="TxLink">
              <a:rPr lang="en-US" sz="3000" b="1" i="0" u="none" strike="noStrike" baseline="0">
                <a:solidFill>
                  <a:srgbClr val="B5838D"/>
                </a:solidFill>
                <a:latin typeface="Andalus" panose="02020603050405020304" pitchFamily="18" charset="-78"/>
                <a:ea typeface="+mn-ea"/>
                <a:cs typeface="Andalus" panose="02020603050405020304" pitchFamily="18" charset="-78"/>
              </a:rPr>
              <a:pPr marL="0" indent="0" algn="ctr"/>
              <a:t>213</a:t>
            </a:fld>
            <a:endParaRPr lang="en-US" sz="3000" b="1" i="0" u="none" strike="noStrike" baseline="0">
              <a:solidFill>
                <a:srgbClr val="B5838D"/>
              </a:solidFill>
              <a:latin typeface="Andalus" panose="02020603050405020304" pitchFamily="18" charset="-78"/>
              <a:ea typeface="+mn-ea"/>
              <a:cs typeface="Andalus" panose="02020603050405020304" pitchFamily="18" charset="-78"/>
            </a:endParaRPr>
          </a:p>
        </xdr:txBody>
      </xdr:sp>
    </xdr:grpSp>
    <xdr:clientData/>
  </xdr:twoCellAnchor>
  <xdr:twoCellAnchor>
    <xdr:from>
      <xdr:col>3</xdr:col>
      <xdr:colOff>505811</xdr:colOff>
      <xdr:row>10</xdr:row>
      <xdr:rowOff>206266</xdr:rowOff>
    </xdr:from>
    <xdr:to>
      <xdr:col>13</xdr:col>
      <xdr:colOff>85397</xdr:colOff>
      <xdr:row>27</xdr:row>
      <xdr:rowOff>75264</xdr:rowOff>
    </xdr:to>
    <xdr:grpSp>
      <xdr:nvGrpSpPr>
        <xdr:cNvPr id="15" name="Group 14"/>
        <xdr:cNvGrpSpPr/>
      </xdr:nvGrpSpPr>
      <xdr:grpSpPr>
        <a:xfrm>
          <a:off x="2417380" y="2045576"/>
          <a:ext cx="6299638" cy="3199464"/>
          <a:chOff x="412750" y="1962150"/>
          <a:chExt cx="5638800" cy="3194050"/>
        </a:xfrm>
      </xdr:grpSpPr>
      <xdr:sp macro="" textlink="">
        <xdr:nvSpPr>
          <xdr:cNvPr id="36" name="Rounded Rectangle 35"/>
          <xdr:cNvSpPr/>
        </xdr:nvSpPr>
        <xdr:spPr>
          <a:xfrm>
            <a:off x="412750" y="2108200"/>
            <a:ext cx="5626100" cy="3048000"/>
          </a:xfrm>
          <a:prstGeom prst="roundRect">
            <a:avLst>
              <a:gd name="adj" fmla="val 20766"/>
            </a:avLst>
          </a:prstGeom>
          <a:solidFill>
            <a:schemeClr val="bg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48" name="Chart 47"/>
          <xdr:cNvGraphicFramePr>
            <a:graphicFrameLocks/>
          </xdr:cNvGraphicFramePr>
        </xdr:nvGraphicFramePr>
        <xdr:xfrm>
          <a:off x="419100" y="1962150"/>
          <a:ext cx="5632450" cy="3168650"/>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21</xdr:col>
      <xdr:colOff>183932</xdr:colOff>
      <xdr:row>27</xdr:row>
      <xdr:rowOff>131379</xdr:rowOff>
    </xdr:from>
    <xdr:to>
      <xdr:col>36</xdr:col>
      <xdr:colOff>420414</xdr:colOff>
      <xdr:row>47</xdr:row>
      <xdr:rowOff>19706</xdr:rowOff>
    </xdr:to>
    <xdr:grpSp>
      <xdr:nvGrpSpPr>
        <xdr:cNvPr id="38" name="Group 37"/>
        <xdr:cNvGrpSpPr/>
      </xdr:nvGrpSpPr>
      <xdr:grpSpPr>
        <a:xfrm>
          <a:off x="13913070" y="5301155"/>
          <a:ext cx="9794327" cy="3566948"/>
          <a:chOff x="14831191" y="5328460"/>
          <a:chExt cx="8933355" cy="3355669"/>
        </a:xfrm>
      </xdr:grpSpPr>
      <xdr:sp macro="" textlink="">
        <xdr:nvSpPr>
          <xdr:cNvPr id="45" name="Rounded Rectangle 44"/>
          <xdr:cNvSpPr/>
        </xdr:nvSpPr>
        <xdr:spPr>
          <a:xfrm>
            <a:off x="14831191" y="5368159"/>
            <a:ext cx="8933355" cy="3315970"/>
          </a:xfrm>
          <a:prstGeom prst="roundRect">
            <a:avLst>
              <a:gd name="adj" fmla="val 29312"/>
            </a:avLst>
          </a:prstGeom>
          <a:solidFill>
            <a:schemeClr val="bg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55" name="Chart 54"/>
          <xdr:cNvGraphicFramePr>
            <a:graphicFrameLocks/>
          </xdr:cNvGraphicFramePr>
        </xdr:nvGraphicFramePr>
        <xdr:xfrm>
          <a:off x="14958840" y="5328460"/>
          <a:ext cx="8729506" cy="3241253"/>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30</xdr:col>
      <xdr:colOff>127219</xdr:colOff>
      <xdr:row>9</xdr:row>
      <xdr:rowOff>154808</xdr:rowOff>
    </xdr:from>
    <xdr:to>
      <xdr:col>36</xdr:col>
      <xdr:colOff>591207</xdr:colOff>
      <xdr:row>27</xdr:row>
      <xdr:rowOff>139691</xdr:rowOff>
    </xdr:to>
    <xdr:grpSp>
      <xdr:nvGrpSpPr>
        <xdr:cNvPr id="28" name="Group 27"/>
        <xdr:cNvGrpSpPr/>
      </xdr:nvGrpSpPr>
      <xdr:grpSpPr>
        <a:xfrm>
          <a:off x="19591064" y="1810187"/>
          <a:ext cx="4287126" cy="3499280"/>
          <a:chOff x="18796000" y="1873250"/>
          <a:chExt cx="4235450" cy="3346450"/>
        </a:xfrm>
      </xdr:grpSpPr>
      <xdr:sp macro="" textlink="">
        <xdr:nvSpPr>
          <xdr:cNvPr id="43" name="Rounded Rectangle 42"/>
          <xdr:cNvSpPr/>
        </xdr:nvSpPr>
        <xdr:spPr>
          <a:xfrm>
            <a:off x="18878550" y="2101850"/>
            <a:ext cx="4152900" cy="3028950"/>
          </a:xfrm>
          <a:prstGeom prst="roundRect">
            <a:avLst>
              <a:gd name="adj" fmla="val 20766"/>
            </a:avLst>
          </a:prstGeom>
          <a:solidFill>
            <a:schemeClr val="bg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64" name="Chart 63"/>
          <xdr:cNvGraphicFramePr>
            <a:graphicFrameLocks/>
          </xdr:cNvGraphicFramePr>
        </xdr:nvGraphicFramePr>
        <xdr:xfrm>
          <a:off x="18796000" y="1873250"/>
          <a:ext cx="4216400" cy="334645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12</xdr:col>
      <xdr:colOff>570185</xdr:colOff>
      <xdr:row>10</xdr:row>
      <xdr:rowOff>249619</xdr:rowOff>
    </xdr:from>
    <xdr:to>
      <xdr:col>20</xdr:col>
      <xdr:colOff>551794</xdr:colOff>
      <xdr:row>27</xdr:row>
      <xdr:rowOff>104206</xdr:rowOff>
    </xdr:to>
    <xdr:grpSp>
      <xdr:nvGrpSpPr>
        <xdr:cNvPr id="32" name="Group 31"/>
        <xdr:cNvGrpSpPr/>
      </xdr:nvGrpSpPr>
      <xdr:grpSpPr>
        <a:xfrm>
          <a:off x="8564616" y="2088929"/>
          <a:ext cx="5079126" cy="3185053"/>
          <a:chOff x="7625254" y="2009009"/>
          <a:chExt cx="4526893" cy="3192716"/>
        </a:xfrm>
      </xdr:grpSpPr>
      <xdr:sp macro="" textlink="">
        <xdr:nvSpPr>
          <xdr:cNvPr id="35" name="Rounded Rectangle 34"/>
          <xdr:cNvSpPr/>
        </xdr:nvSpPr>
        <xdr:spPr>
          <a:xfrm>
            <a:off x="7889116" y="2084903"/>
            <a:ext cx="4230626" cy="3111149"/>
          </a:xfrm>
          <a:prstGeom prst="roundRect">
            <a:avLst>
              <a:gd name="adj" fmla="val 20766"/>
            </a:avLst>
          </a:prstGeom>
          <a:solidFill>
            <a:schemeClr val="bg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d</a:t>
            </a:r>
          </a:p>
        </xdr:txBody>
      </xdr:sp>
      <xdr:graphicFrame macro="">
        <xdr:nvGraphicFramePr>
          <xdr:cNvPr id="65" name="Chart 64"/>
          <xdr:cNvGraphicFramePr>
            <a:graphicFrameLocks/>
          </xdr:cNvGraphicFramePr>
        </xdr:nvGraphicFramePr>
        <xdr:xfrm>
          <a:off x="7625254" y="2009009"/>
          <a:ext cx="4526893" cy="3192716"/>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3</xdr:col>
      <xdr:colOff>512380</xdr:colOff>
      <xdr:row>28</xdr:row>
      <xdr:rowOff>39414</xdr:rowOff>
    </xdr:from>
    <xdr:to>
      <xdr:col>13</xdr:col>
      <xdr:colOff>45982</xdr:colOff>
      <xdr:row>46</xdr:row>
      <xdr:rowOff>177361</xdr:rowOff>
    </xdr:to>
    <xdr:grpSp>
      <xdr:nvGrpSpPr>
        <xdr:cNvPr id="13" name="Group 12"/>
        <xdr:cNvGrpSpPr/>
      </xdr:nvGrpSpPr>
      <xdr:grpSpPr>
        <a:xfrm>
          <a:off x="2423949" y="5393121"/>
          <a:ext cx="6253654" cy="3448706"/>
          <a:chOff x="4411061" y="5353707"/>
          <a:chExt cx="5535009" cy="3356740"/>
        </a:xfrm>
      </xdr:grpSpPr>
      <xdr:sp macro="" textlink="">
        <xdr:nvSpPr>
          <xdr:cNvPr id="33" name="Rounded Rectangle 32"/>
          <xdr:cNvSpPr/>
        </xdr:nvSpPr>
        <xdr:spPr>
          <a:xfrm>
            <a:off x="4411061" y="5361048"/>
            <a:ext cx="5535009" cy="3342061"/>
          </a:xfrm>
          <a:prstGeom prst="roundRect">
            <a:avLst>
              <a:gd name="adj" fmla="val 20766"/>
            </a:avLst>
          </a:prstGeom>
          <a:solidFill>
            <a:schemeClr val="bg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61" name="Chart 60"/>
          <xdr:cNvGraphicFramePr>
            <a:graphicFrameLocks/>
          </xdr:cNvGraphicFramePr>
        </xdr:nvGraphicFramePr>
        <xdr:xfrm>
          <a:off x="4439307" y="5353707"/>
          <a:ext cx="5478516" cy="335674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13</xdr:col>
      <xdr:colOff>262431</xdr:colOff>
      <xdr:row>28</xdr:row>
      <xdr:rowOff>65689</xdr:rowOff>
    </xdr:from>
    <xdr:to>
      <xdr:col>20</xdr:col>
      <xdr:colOff>532087</xdr:colOff>
      <xdr:row>47</xdr:row>
      <xdr:rowOff>-1</xdr:rowOff>
    </xdr:to>
    <xdr:grpSp>
      <xdr:nvGrpSpPr>
        <xdr:cNvPr id="31" name="Group 30"/>
        <xdr:cNvGrpSpPr/>
      </xdr:nvGrpSpPr>
      <xdr:grpSpPr>
        <a:xfrm>
          <a:off x="8894052" y="5419396"/>
          <a:ext cx="4729983" cy="3429000"/>
          <a:chOff x="7790464" y="5267666"/>
          <a:chExt cx="4204467" cy="3488766"/>
        </a:xfrm>
      </xdr:grpSpPr>
      <xdr:sp macro="" textlink="">
        <xdr:nvSpPr>
          <xdr:cNvPr id="37" name="Rounded Rectangle 36"/>
          <xdr:cNvSpPr/>
        </xdr:nvSpPr>
        <xdr:spPr>
          <a:xfrm>
            <a:off x="7790464" y="5267666"/>
            <a:ext cx="4204467" cy="3488766"/>
          </a:xfrm>
          <a:prstGeom prst="roundRect">
            <a:avLst>
              <a:gd name="adj" fmla="val 20766"/>
            </a:avLst>
          </a:prstGeom>
          <a:solidFill>
            <a:schemeClr val="bg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63" name="Chart 62"/>
          <xdr:cNvGraphicFramePr>
            <a:graphicFrameLocks/>
          </xdr:cNvGraphicFramePr>
        </xdr:nvGraphicFramePr>
        <xdr:xfrm>
          <a:off x="7830207" y="5309046"/>
          <a:ext cx="4099035" cy="3353817"/>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21</xdr:col>
      <xdr:colOff>164224</xdr:colOff>
      <xdr:row>10</xdr:row>
      <xdr:rowOff>284610</xdr:rowOff>
    </xdr:from>
    <xdr:to>
      <xdr:col>30</xdr:col>
      <xdr:colOff>72259</xdr:colOff>
      <xdr:row>27</xdr:row>
      <xdr:rowOff>22888</xdr:rowOff>
    </xdr:to>
    <xdr:grpSp>
      <xdr:nvGrpSpPr>
        <xdr:cNvPr id="34" name="Group 33"/>
        <xdr:cNvGrpSpPr/>
      </xdr:nvGrpSpPr>
      <xdr:grpSpPr>
        <a:xfrm>
          <a:off x="13893362" y="2123920"/>
          <a:ext cx="5642742" cy="3068744"/>
          <a:chOff x="14773784" y="2222456"/>
          <a:chExt cx="4862824" cy="3068744"/>
        </a:xfrm>
      </xdr:grpSpPr>
      <xdr:sp macro="" textlink="">
        <xdr:nvSpPr>
          <xdr:cNvPr id="40" name="Rounded Rectangle 39"/>
          <xdr:cNvSpPr/>
        </xdr:nvSpPr>
        <xdr:spPr>
          <a:xfrm>
            <a:off x="14773784" y="2222456"/>
            <a:ext cx="4862824" cy="3068744"/>
          </a:xfrm>
          <a:prstGeom prst="roundRect">
            <a:avLst>
              <a:gd name="adj" fmla="val 20766"/>
            </a:avLst>
          </a:prstGeom>
          <a:solidFill>
            <a:schemeClr val="bg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70" name="Chart 69"/>
          <xdr:cNvGraphicFramePr>
            <a:graphicFrameLocks/>
          </xdr:cNvGraphicFramePr>
        </xdr:nvGraphicFramePr>
        <xdr:xfrm>
          <a:off x="14773784" y="2222456"/>
          <a:ext cx="4861711" cy="3039460"/>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0</xdr:col>
      <xdr:colOff>78828</xdr:colOff>
      <xdr:row>3</xdr:row>
      <xdr:rowOff>39415</xdr:rowOff>
    </xdr:from>
    <xdr:to>
      <xdr:col>3</xdr:col>
      <xdr:colOff>65690</xdr:colOff>
      <xdr:row>30</xdr:row>
      <xdr:rowOff>116796</xdr:rowOff>
    </xdr:to>
    <xdr:grpSp>
      <xdr:nvGrpSpPr>
        <xdr:cNvPr id="2" name="Group 1"/>
        <xdr:cNvGrpSpPr/>
      </xdr:nvGrpSpPr>
      <xdr:grpSpPr>
        <a:xfrm>
          <a:off x="78828" y="591208"/>
          <a:ext cx="1898431" cy="5247157"/>
          <a:chOff x="0" y="1983828"/>
          <a:chExt cx="1764140" cy="5247157"/>
        </a:xfrm>
      </xdr:grpSpPr>
      <mc:AlternateContent xmlns:mc="http://schemas.openxmlformats.org/markup-compatibility/2006" xmlns:a14="http://schemas.microsoft.com/office/drawing/2010/main">
        <mc:Choice Requires="a14">
          <xdr:graphicFrame macro="">
            <xdr:nvGraphicFramePr>
              <xdr:cNvPr id="76" name="Year 4"/>
              <xdr:cNvGraphicFramePr/>
            </xdr:nvGraphicFramePr>
            <xdr:xfrm>
              <a:off x="0" y="1983828"/>
              <a:ext cx="1764140" cy="1727639"/>
            </xdr:xfrm>
            <a:graphic>
              <a:graphicData uri="http://schemas.microsoft.com/office/drawing/2010/slicer">
                <sle:slicer xmlns:sle="http://schemas.microsoft.com/office/drawing/2010/slicer" name="Year 4"/>
              </a:graphicData>
            </a:graphic>
          </xdr:graphicFrame>
        </mc:Choice>
        <mc:Fallback xmlns="">
          <xdr:sp macro="" textlink="">
            <xdr:nvSpPr>
              <xdr:cNvPr id="0" name=""/>
              <xdr:cNvSpPr>
                <a:spLocks noTextEdit="1"/>
              </xdr:cNvSpPr>
            </xdr:nvSpPr>
            <xdr:spPr>
              <a:xfrm>
                <a:off x="78828" y="591208"/>
                <a:ext cx="1898431" cy="17276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7" name="Branch City 4"/>
              <xdr:cNvGraphicFramePr/>
            </xdr:nvGraphicFramePr>
            <xdr:xfrm>
              <a:off x="1" y="3687870"/>
              <a:ext cx="1759026" cy="1304546"/>
            </xdr:xfrm>
            <a:graphic>
              <a:graphicData uri="http://schemas.microsoft.com/office/drawing/2010/slicer">
                <sle:slicer xmlns:sle="http://schemas.microsoft.com/office/drawing/2010/slicer" name="Branch City 4"/>
              </a:graphicData>
            </a:graphic>
          </xdr:graphicFrame>
        </mc:Choice>
        <mc:Fallback xmlns="">
          <xdr:sp macro="" textlink="">
            <xdr:nvSpPr>
              <xdr:cNvPr id="0" name=""/>
              <xdr:cNvSpPr>
                <a:spLocks noTextEdit="1"/>
              </xdr:cNvSpPr>
            </xdr:nvSpPr>
            <xdr:spPr>
              <a:xfrm>
                <a:off x="78829" y="2295250"/>
                <a:ext cx="1892928" cy="13045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8" name="Product line 5"/>
              <xdr:cNvGraphicFramePr>
                <a:graphicFrameLocks/>
              </xdr:cNvGraphicFramePr>
            </xdr:nvGraphicFramePr>
            <xdr:xfrm>
              <a:off x="1" y="4998985"/>
              <a:ext cx="1753913" cy="2232000"/>
            </xdr:xfrm>
            <a:graphic>
              <a:graphicData uri="http://schemas.microsoft.com/office/drawing/2010/slicer">
                <sle:slicer xmlns:sle="http://schemas.microsoft.com/office/drawing/2010/slicer" name="Product line 5"/>
              </a:graphicData>
            </a:graphic>
          </xdr:graphicFrame>
        </mc:Choice>
        <mc:Fallback xmlns="">
          <xdr:sp macro="" textlink="">
            <xdr:nvSpPr>
              <xdr:cNvPr id="0" name=""/>
              <xdr:cNvSpPr>
                <a:spLocks noTextEdit="1"/>
              </xdr:cNvSpPr>
            </xdr:nvSpPr>
            <xdr:spPr>
              <a:xfrm>
                <a:off x="78829" y="3606365"/>
                <a:ext cx="1887425" cy="2232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335018</xdr:colOff>
      <xdr:row>29</xdr:row>
      <xdr:rowOff>111673</xdr:rowOff>
    </xdr:from>
    <xdr:to>
      <xdr:col>2</xdr:col>
      <xdr:colOff>315311</xdr:colOff>
      <xdr:row>47</xdr:row>
      <xdr:rowOff>111671</xdr:rowOff>
    </xdr:to>
    <xdr:grpSp>
      <xdr:nvGrpSpPr>
        <xdr:cNvPr id="62" name="Group 61"/>
        <xdr:cNvGrpSpPr/>
      </xdr:nvGrpSpPr>
      <xdr:grpSpPr>
        <a:xfrm>
          <a:off x="335018" y="5649311"/>
          <a:ext cx="1254672" cy="3310757"/>
          <a:chOff x="335017" y="5662450"/>
          <a:chExt cx="1254672" cy="3310757"/>
        </a:xfrm>
      </xdr:grpSpPr>
      <xdr:pic>
        <xdr:nvPicPr>
          <xdr:cNvPr id="66" name="Picture 65">
            <a:hlinkClick xmlns:r="http://schemas.openxmlformats.org/officeDocument/2006/relationships" r:id="rId8"/>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335017" y="5662450"/>
            <a:ext cx="1254672" cy="1254672"/>
          </a:xfrm>
          <a:prstGeom prst="rect">
            <a:avLst/>
          </a:prstGeom>
        </xdr:spPr>
      </xdr:pic>
      <xdr:pic>
        <xdr:nvPicPr>
          <xdr:cNvPr id="67" name="Picture 66">
            <a:hlinkClick xmlns:r="http://schemas.openxmlformats.org/officeDocument/2006/relationships" r:id="rId10"/>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420414" y="6772604"/>
            <a:ext cx="1083879" cy="991914"/>
          </a:xfrm>
          <a:prstGeom prst="rect">
            <a:avLst/>
          </a:prstGeom>
        </xdr:spPr>
      </xdr:pic>
      <xdr:pic>
        <xdr:nvPicPr>
          <xdr:cNvPr id="68" name="Picture 67">
            <a:hlinkClick xmlns:r="http://schemas.openxmlformats.org/officeDocument/2006/relationships" r:id="rId12"/>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443404" y="7935309"/>
            <a:ext cx="1037898" cy="1037898"/>
          </a:xfrm>
          <a:prstGeom prst="rect">
            <a:avLst/>
          </a:prstGeom>
        </xdr:spPr>
      </xdr:pic>
    </xdr:grpSp>
    <xdr:clientData/>
  </xdr:twoCellAnchor>
</xdr:wsDr>
</file>

<file path=xl/drawings/drawing4.xml><?xml version="1.0" encoding="utf-8"?>
<c:userShapes xmlns:c="http://schemas.openxmlformats.org/drawingml/2006/chart">
  <cdr:relSizeAnchor xmlns:cdr="http://schemas.openxmlformats.org/drawingml/2006/chartDrawing">
    <cdr:from>
      <cdr:x>0.42086</cdr:x>
      <cdr:y>0.39908</cdr:y>
    </cdr:from>
    <cdr:to>
      <cdr:x>0.64427</cdr:x>
      <cdr:y>0.71379</cdr:y>
    </cdr:to>
    <cdr:sp macro="" textlink="Pivots!$N$29">
      <cdr:nvSpPr>
        <cdr:cNvPr id="2" name="TextBox 1"/>
        <cdr:cNvSpPr txBox="1"/>
      </cdr:nvSpPr>
      <cdr:spPr>
        <a:xfrm xmlns:a="http://schemas.openxmlformats.org/drawingml/2006/main">
          <a:off x="1905198" y="1274134"/>
          <a:ext cx="1011353" cy="1004780"/>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rtlCol="0" anchor="ctr"/>
        <a:lstStyle xmlns:a="http://schemas.openxmlformats.org/drawingml/2006/main"/>
        <a:p xmlns:a="http://schemas.openxmlformats.org/drawingml/2006/main">
          <a:pPr algn="ctr"/>
          <a:fld id="{899678C9-27EF-4990-AF02-C9B977239E19}" type="TxLink">
            <a:rPr lang="en-US" sz="2800" b="1" i="0" u="none" strike="noStrike">
              <a:solidFill>
                <a:srgbClr val="C9184A"/>
              </a:solidFill>
              <a:latin typeface="Calibri"/>
              <a:cs typeface="Calibri"/>
            </a:rPr>
            <a:pPr algn="ctr"/>
            <a:t>11%</a:t>
          </a:fld>
          <a:endParaRPr lang="en-US" sz="2800">
            <a:solidFill>
              <a:srgbClr val="C9184A"/>
            </a:solidFill>
          </a:endParaRPr>
        </a:p>
      </cdr:txBody>
    </cdr:sp>
  </cdr:relSizeAnchor>
  <cdr:relSizeAnchor xmlns:cdr="http://schemas.openxmlformats.org/drawingml/2006/chartDrawing">
    <cdr:from>
      <cdr:x>0.43528</cdr:x>
      <cdr:y>0.42538</cdr:y>
    </cdr:from>
    <cdr:to>
      <cdr:x>0.61525</cdr:x>
      <cdr:y>0.71203</cdr:y>
    </cdr:to>
    <cdr:sp macro="" textlink="">
      <cdr:nvSpPr>
        <cdr:cNvPr id="3" name="TextBox 2"/>
        <cdr:cNvSpPr txBox="1"/>
      </cdr:nvSpPr>
      <cdr:spPr>
        <a:xfrm xmlns:a="http://schemas.openxmlformats.org/drawingml/2006/main">
          <a:off x="1990117" y="1166914"/>
          <a:ext cx="822798" cy="78631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userShapes>
</file>

<file path=xl/drawings/drawing5.xml><?xml version="1.0" encoding="utf-8"?>
<xdr:wsDr xmlns:xdr="http://schemas.openxmlformats.org/drawingml/2006/spreadsheetDrawing" xmlns:a="http://schemas.openxmlformats.org/drawingml/2006/main">
  <xdr:twoCellAnchor>
    <xdr:from>
      <xdr:col>3</xdr:col>
      <xdr:colOff>59120</xdr:colOff>
      <xdr:row>3</xdr:row>
      <xdr:rowOff>59120</xdr:rowOff>
    </xdr:from>
    <xdr:to>
      <xdr:col>37</xdr:col>
      <xdr:colOff>363264</xdr:colOff>
      <xdr:row>47</xdr:row>
      <xdr:rowOff>131378</xdr:rowOff>
    </xdr:to>
    <xdr:sp macro="" textlink="">
      <xdr:nvSpPr>
        <xdr:cNvPr id="2" name="Round Same Side Corner Rectangle 1"/>
        <xdr:cNvSpPr/>
      </xdr:nvSpPr>
      <xdr:spPr>
        <a:xfrm flipV="1">
          <a:off x="1970689" y="610913"/>
          <a:ext cx="22316747" cy="8368862"/>
        </a:xfrm>
        <a:prstGeom prst="round2SameRect">
          <a:avLst/>
        </a:prstGeom>
        <a:gradFill flip="none" rotWithShape="1">
          <a:gsLst>
            <a:gs pos="0">
              <a:srgbClr val="6D6875">
                <a:tint val="66000"/>
                <a:satMod val="160000"/>
              </a:srgbClr>
            </a:gs>
            <a:gs pos="50000">
              <a:srgbClr val="6D6875">
                <a:tint val="44500"/>
                <a:satMod val="160000"/>
              </a:srgbClr>
            </a:gs>
            <a:gs pos="100000">
              <a:srgbClr val="6D6875">
                <a:tint val="23500"/>
                <a:satMod val="160000"/>
              </a:srgbClr>
            </a:gs>
          </a:gsLst>
          <a:path path="circle">
            <a:fillToRect l="50000" t="50000" r="50000" b="50000"/>
          </a:path>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31529</xdr:colOff>
      <xdr:row>0</xdr:row>
      <xdr:rowOff>121964</xdr:rowOff>
    </xdr:from>
    <xdr:to>
      <xdr:col>26</xdr:col>
      <xdr:colOff>313119</xdr:colOff>
      <xdr:row>4</xdr:row>
      <xdr:rowOff>63694</xdr:rowOff>
    </xdr:to>
    <xdr:grpSp>
      <xdr:nvGrpSpPr>
        <xdr:cNvPr id="3" name="Group 2"/>
        <xdr:cNvGrpSpPr/>
      </xdr:nvGrpSpPr>
      <xdr:grpSpPr>
        <a:xfrm>
          <a:off x="8025960" y="121964"/>
          <a:ext cx="9202245" cy="677454"/>
          <a:chOff x="8006255" y="128533"/>
          <a:chExt cx="9202245" cy="677454"/>
        </a:xfrm>
      </xdr:grpSpPr>
      <xdr:sp macro="" textlink="">
        <xdr:nvSpPr>
          <xdr:cNvPr id="4" name="Rounded Rectangle 3"/>
          <xdr:cNvSpPr/>
        </xdr:nvSpPr>
        <xdr:spPr>
          <a:xfrm>
            <a:off x="8006255" y="128533"/>
            <a:ext cx="9202245" cy="677454"/>
          </a:xfrm>
          <a:prstGeom prst="roundRect">
            <a:avLst/>
          </a:prstGeom>
          <a:solidFill>
            <a:srgbClr val="6D6875"/>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a:latin typeface="Andalus" panose="02020603050405020304" pitchFamily="18" charset="-78"/>
              <a:cs typeface="Andalus" panose="02020603050405020304" pitchFamily="18" charset="-78"/>
            </a:endParaRPr>
          </a:p>
        </xdr:txBody>
      </xdr:sp>
      <xdr:sp macro="" textlink="Pivots!B1">
        <xdr:nvSpPr>
          <xdr:cNvPr id="5" name="TextBox 4"/>
          <xdr:cNvSpPr txBox="1"/>
        </xdr:nvSpPr>
        <xdr:spPr>
          <a:xfrm>
            <a:off x="8308699" y="128533"/>
            <a:ext cx="8597356" cy="6774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41F7C2-F3A8-4CB0-AA8B-384DD2AEDD03}" type="TxLink">
              <a:rPr lang="en-US" sz="4000" b="1" i="0" u="none" strike="noStrike">
                <a:solidFill>
                  <a:schemeClr val="bg1"/>
                </a:solidFill>
                <a:latin typeface="Andalus" panose="02020603050405020304" pitchFamily="18" charset="-78"/>
                <a:cs typeface="Andalus" panose="02020603050405020304" pitchFamily="18" charset="-78"/>
              </a:rPr>
              <a:pPr algn="ctr"/>
              <a:t>One Day Sales Dashboard In 2022</a:t>
            </a:fld>
            <a:endParaRPr lang="en-US" sz="4000" b="1">
              <a:solidFill>
                <a:schemeClr val="bg1"/>
              </a:solidFill>
              <a:latin typeface="Andalus" panose="02020603050405020304" pitchFamily="18" charset="-78"/>
              <a:cs typeface="Andalus" panose="02020603050405020304" pitchFamily="18" charset="-78"/>
            </a:endParaRPr>
          </a:p>
        </xdr:txBody>
      </xdr:sp>
    </xdr:grpSp>
    <xdr:clientData/>
  </xdr:twoCellAnchor>
  <xdr:twoCellAnchor>
    <xdr:from>
      <xdr:col>77</xdr:col>
      <xdr:colOff>20362</xdr:colOff>
      <xdr:row>0</xdr:row>
      <xdr:rowOff>45983</xdr:rowOff>
    </xdr:from>
    <xdr:to>
      <xdr:col>85</xdr:col>
      <xdr:colOff>96563</xdr:colOff>
      <xdr:row>11</xdr:row>
      <xdr:rowOff>113046</xdr:rowOff>
    </xdr:to>
    <xdr:sp macro="" textlink="">
      <xdr:nvSpPr>
        <xdr:cNvPr id="19" name="Rounded Rectangle 18"/>
        <xdr:cNvSpPr/>
      </xdr:nvSpPr>
      <xdr:spPr>
        <a:xfrm>
          <a:off x="49432121" y="45983"/>
          <a:ext cx="5173718" cy="2293942"/>
        </a:xfrm>
        <a:prstGeom prst="roundRect">
          <a:avLst>
            <a:gd name="adj" fmla="val 20766"/>
          </a:avLst>
        </a:prstGeom>
        <a:solidFill>
          <a:schemeClr val="bg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116926</xdr:colOff>
      <xdr:row>10</xdr:row>
      <xdr:rowOff>216775</xdr:rowOff>
    </xdr:from>
    <xdr:to>
      <xdr:col>18</xdr:col>
      <xdr:colOff>183491</xdr:colOff>
      <xdr:row>27</xdr:row>
      <xdr:rowOff>71362</xdr:rowOff>
    </xdr:to>
    <xdr:graphicFrame macro="">
      <xdr:nvGraphicFramePr>
        <xdr:cNvPr id="43" name="Chart 4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65689</xdr:colOff>
      <xdr:row>3</xdr:row>
      <xdr:rowOff>65690</xdr:rowOff>
    </xdr:from>
    <xdr:to>
      <xdr:col>3</xdr:col>
      <xdr:colOff>43797</xdr:colOff>
      <xdr:row>30</xdr:row>
      <xdr:rowOff>143071</xdr:rowOff>
    </xdr:to>
    <xdr:grpSp>
      <xdr:nvGrpSpPr>
        <xdr:cNvPr id="11" name="Group 10"/>
        <xdr:cNvGrpSpPr/>
      </xdr:nvGrpSpPr>
      <xdr:grpSpPr>
        <a:xfrm>
          <a:off x="65689" y="617483"/>
          <a:ext cx="1889677" cy="5247157"/>
          <a:chOff x="0" y="1149569"/>
          <a:chExt cx="1889677" cy="5247157"/>
        </a:xfrm>
      </xdr:grpSpPr>
      <mc:AlternateContent xmlns:mc="http://schemas.openxmlformats.org/markup-compatibility/2006" xmlns:a14="http://schemas.microsoft.com/office/drawing/2010/main">
        <mc:Choice Requires="a14">
          <xdr:graphicFrame macro="">
            <xdr:nvGraphicFramePr>
              <xdr:cNvPr id="53" name="Year 5"/>
              <xdr:cNvGraphicFramePr/>
            </xdr:nvGraphicFramePr>
            <xdr:xfrm>
              <a:off x="0" y="1149569"/>
              <a:ext cx="1889677" cy="1727639"/>
            </xdr:xfrm>
            <a:graphic>
              <a:graphicData uri="http://schemas.microsoft.com/office/drawing/2010/slicer">
                <sle:slicer xmlns:sle="http://schemas.microsoft.com/office/drawing/2010/slicer" name="Year 5"/>
              </a:graphicData>
            </a:graphic>
          </xdr:graphicFrame>
        </mc:Choice>
        <mc:Fallback xmlns="">
          <xdr:sp macro="" textlink="">
            <xdr:nvSpPr>
              <xdr:cNvPr id="0" name=""/>
              <xdr:cNvSpPr>
                <a:spLocks noTextEdit="1"/>
              </xdr:cNvSpPr>
            </xdr:nvSpPr>
            <xdr:spPr>
              <a:xfrm>
                <a:off x="65689" y="617483"/>
                <a:ext cx="1889677" cy="17276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4" name="Branch City 5"/>
              <xdr:cNvGraphicFramePr/>
            </xdr:nvGraphicFramePr>
            <xdr:xfrm>
              <a:off x="0" y="2853611"/>
              <a:ext cx="1884201" cy="1304546"/>
            </xdr:xfrm>
            <a:graphic>
              <a:graphicData uri="http://schemas.microsoft.com/office/drawing/2010/slicer">
                <sle:slicer xmlns:sle="http://schemas.microsoft.com/office/drawing/2010/slicer" name="Branch City 5"/>
              </a:graphicData>
            </a:graphic>
          </xdr:graphicFrame>
        </mc:Choice>
        <mc:Fallback xmlns="">
          <xdr:sp macro="" textlink="">
            <xdr:nvSpPr>
              <xdr:cNvPr id="0" name=""/>
              <xdr:cNvSpPr>
                <a:spLocks noTextEdit="1"/>
              </xdr:cNvSpPr>
            </xdr:nvSpPr>
            <xdr:spPr>
              <a:xfrm>
                <a:off x="65689" y="2321525"/>
                <a:ext cx="1884201" cy="13045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5" name="Product line 6"/>
              <xdr:cNvGraphicFramePr>
                <a:graphicFrameLocks/>
              </xdr:cNvGraphicFramePr>
            </xdr:nvGraphicFramePr>
            <xdr:xfrm>
              <a:off x="0" y="4164726"/>
              <a:ext cx="1878723" cy="2232000"/>
            </xdr:xfrm>
            <a:graphic>
              <a:graphicData uri="http://schemas.microsoft.com/office/drawing/2010/slicer">
                <sle:slicer xmlns:sle="http://schemas.microsoft.com/office/drawing/2010/slicer" name="Product line 6"/>
              </a:graphicData>
            </a:graphic>
          </xdr:graphicFrame>
        </mc:Choice>
        <mc:Fallback xmlns="">
          <xdr:sp macro="" textlink="">
            <xdr:nvSpPr>
              <xdr:cNvPr id="0" name=""/>
              <xdr:cNvSpPr>
                <a:spLocks noTextEdit="1"/>
              </xdr:cNvSpPr>
            </xdr:nvSpPr>
            <xdr:spPr>
              <a:xfrm>
                <a:off x="65689" y="3632640"/>
                <a:ext cx="1878723" cy="2232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17</xdr:col>
      <xdr:colOff>433550</xdr:colOff>
      <xdr:row>26</xdr:row>
      <xdr:rowOff>39415</xdr:rowOff>
    </xdr:from>
    <xdr:to>
      <xdr:col>27</xdr:col>
      <xdr:colOff>624050</xdr:colOff>
      <xdr:row>47</xdr:row>
      <xdr:rowOff>52552</xdr:rowOff>
    </xdr:to>
    <xdr:grpSp>
      <xdr:nvGrpSpPr>
        <xdr:cNvPr id="8" name="Group 7"/>
        <xdr:cNvGrpSpPr/>
      </xdr:nvGrpSpPr>
      <xdr:grpSpPr>
        <a:xfrm>
          <a:off x="11613929" y="5025260"/>
          <a:ext cx="6562397" cy="3875689"/>
          <a:chOff x="2502776" y="827689"/>
          <a:chExt cx="5931776" cy="3921673"/>
        </a:xfrm>
      </xdr:grpSpPr>
      <xdr:sp macro="" textlink="">
        <xdr:nvSpPr>
          <xdr:cNvPr id="33" name="Rounded Rectangle 32"/>
          <xdr:cNvSpPr/>
        </xdr:nvSpPr>
        <xdr:spPr>
          <a:xfrm>
            <a:off x="2719552" y="897788"/>
            <a:ext cx="5590190" cy="3772746"/>
          </a:xfrm>
          <a:prstGeom prst="roundRect">
            <a:avLst>
              <a:gd name="adj" fmla="val 24744"/>
            </a:avLst>
          </a:prstGeom>
          <a:solidFill>
            <a:schemeClr val="bg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58" name="Chart 57"/>
          <xdr:cNvGraphicFramePr>
            <a:graphicFrameLocks/>
          </xdr:cNvGraphicFramePr>
        </xdr:nvGraphicFramePr>
        <xdr:xfrm>
          <a:off x="2502776" y="827689"/>
          <a:ext cx="5931776" cy="3921673"/>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14</xdr:col>
      <xdr:colOff>216774</xdr:colOff>
      <xdr:row>5</xdr:row>
      <xdr:rowOff>170793</xdr:rowOff>
    </xdr:from>
    <xdr:to>
      <xdr:col>23</xdr:col>
      <xdr:colOff>262756</xdr:colOff>
      <xdr:row>25</xdr:row>
      <xdr:rowOff>131379</xdr:rowOff>
    </xdr:to>
    <xdr:grpSp>
      <xdr:nvGrpSpPr>
        <xdr:cNvPr id="6" name="Group 5"/>
        <xdr:cNvGrpSpPr/>
      </xdr:nvGrpSpPr>
      <xdr:grpSpPr>
        <a:xfrm>
          <a:off x="9485584" y="1090448"/>
          <a:ext cx="5780689" cy="3842845"/>
          <a:chOff x="17943128" y="4816026"/>
          <a:chExt cx="5409542" cy="3474008"/>
        </a:xfrm>
      </xdr:grpSpPr>
      <xdr:sp macro="" textlink="">
        <xdr:nvSpPr>
          <xdr:cNvPr id="45" name="Rounded Rectangle 44"/>
          <xdr:cNvSpPr/>
        </xdr:nvSpPr>
        <xdr:spPr>
          <a:xfrm>
            <a:off x="17943128" y="4816027"/>
            <a:ext cx="5409542" cy="3433625"/>
          </a:xfrm>
          <a:prstGeom prst="roundRect">
            <a:avLst>
              <a:gd name="adj" fmla="val 23173"/>
            </a:avLst>
          </a:prstGeom>
          <a:solidFill>
            <a:schemeClr val="bg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59" name="Chart 58"/>
          <xdr:cNvGraphicFramePr>
            <a:graphicFrameLocks/>
          </xdr:cNvGraphicFramePr>
        </xdr:nvGraphicFramePr>
        <xdr:xfrm>
          <a:off x="17943129" y="4816026"/>
          <a:ext cx="5396405" cy="3474008"/>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3</xdr:col>
      <xdr:colOff>387567</xdr:colOff>
      <xdr:row>26</xdr:row>
      <xdr:rowOff>13138</xdr:rowOff>
    </xdr:from>
    <xdr:to>
      <xdr:col>17</xdr:col>
      <xdr:colOff>505809</xdr:colOff>
      <xdr:row>46</xdr:row>
      <xdr:rowOff>177362</xdr:rowOff>
    </xdr:to>
    <xdr:grpSp>
      <xdr:nvGrpSpPr>
        <xdr:cNvPr id="9" name="Group 8"/>
        <xdr:cNvGrpSpPr/>
      </xdr:nvGrpSpPr>
      <xdr:grpSpPr>
        <a:xfrm>
          <a:off x="2299136" y="4998983"/>
          <a:ext cx="9387052" cy="3842845"/>
          <a:chOff x="9728638" y="945931"/>
          <a:chExt cx="8734753" cy="3599793"/>
        </a:xfrm>
      </xdr:grpSpPr>
      <xdr:sp macro="" textlink="">
        <xdr:nvSpPr>
          <xdr:cNvPr id="36" name="Rounded Rectangle 35"/>
          <xdr:cNvSpPr/>
        </xdr:nvSpPr>
        <xdr:spPr>
          <a:xfrm>
            <a:off x="9728638" y="1001268"/>
            <a:ext cx="8734753" cy="3524749"/>
          </a:xfrm>
          <a:prstGeom prst="roundRect">
            <a:avLst>
              <a:gd name="adj" fmla="val 25026"/>
            </a:avLst>
          </a:prstGeom>
          <a:solidFill>
            <a:schemeClr val="bg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60" name="Chart 59"/>
          <xdr:cNvGraphicFramePr>
            <a:graphicFrameLocks/>
          </xdr:cNvGraphicFramePr>
        </xdr:nvGraphicFramePr>
        <xdr:xfrm>
          <a:off x="9795877" y="945931"/>
          <a:ext cx="8624728" cy="3599793"/>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25</xdr:col>
      <xdr:colOff>617481</xdr:colOff>
      <xdr:row>26</xdr:row>
      <xdr:rowOff>121897</xdr:rowOff>
    </xdr:from>
    <xdr:to>
      <xdr:col>36</xdr:col>
      <xdr:colOff>157655</xdr:colOff>
      <xdr:row>46</xdr:row>
      <xdr:rowOff>164224</xdr:rowOff>
    </xdr:to>
    <xdr:grpSp>
      <xdr:nvGrpSpPr>
        <xdr:cNvPr id="13" name="Group 12"/>
        <xdr:cNvGrpSpPr/>
      </xdr:nvGrpSpPr>
      <xdr:grpSpPr>
        <a:xfrm>
          <a:off x="16895378" y="5107742"/>
          <a:ext cx="6549260" cy="3720948"/>
          <a:chOff x="13991896" y="1113811"/>
          <a:chExt cx="6549260" cy="3832619"/>
        </a:xfrm>
      </xdr:grpSpPr>
      <xdr:sp macro="" textlink="">
        <xdr:nvSpPr>
          <xdr:cNvPr id="42" name="Rounded Rectangle 41"/>
          <xdr:cNvSpPr/>
        </xdr:nvSpPr>
        <xdr:spPr>
          <a:xfrm>
            <a:off x="15292995" y="1113811"/>
            <a:ext cx="5248161" cy="3819087"/>
          </a:xfrm>
          <a:prstGeom prst="roundRect">
            <a:avLst>
              <a:gd name="adj" fmla="val 20766"/>
            </a:avLst>
          </a:prstGeom>
          <a:solidFill>
            <a:schemeClr val="bg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d</a:t>
            </a:r>
          </a:p>
        </xdr:txBody>
      </xdr:sp>
      <xdr:graphicFrame macro="">
        <xdr:nvGraphicFramePr>
          <xdr:cNvPr id="23" name="Chart 22"/>
          <xdr:cNvGraphicFramePr>
            <a:graphicFrameLocks/>
          </xdr:cNvGraphicFramePr>
        </xdr:nvGraphicFramePr>
        <xdr:xfrm>
          <a:off x="13991896" y="1116724"/>
          <a:ext cx="6424449" cy="3829706"/>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3</xdr:col>
      <xdr:colOff>492671</xdr:colOff>
      <xdr:row>5</xdr:row>
      <xdr:rowOff>131379</xdr:rowOff>
    </xdr:from>
    <xdr:to>
      <xdr:col>13</xdr:col>
      <xdr:colOff>624050</xdr:colOff>
      <xdr:row>25</xdr:row>
      <xdr:rowOff>98534</xdr:rowOff>
    </xdr:to>
    <xdr:grpSp>
      <xdr:nvGrpSpPr>
        <xdr:cNvPr id="7" name="Group 6"/>
        <xdr:cNvGrpSpPr/>
      </xdr:nvGrpSpPr>
      <xdr:grpSpPr>
        <a:xfrm>
          <a:off x="2404240" y="1051034"/>
          <a:ext cx="6851431" cy="3849414"/>
          <a:chOff x="11535104" y="4959569"/>
          <a:chExt cx="7429500" cy="3534103"/>
        </a:xfrm>
      </xdr:grpSpPr>
      <xdr:sp macro="" textlink="">
        <xdr:nvSpPr>
          <xdr:cNvPr id="24" name="Rounded Rectangle 23"/>
          <xdr:cNvSpPr/>
        </xdr:nvSpPr>
        <xdr:spPr>
          <a:xfrm>
            <a:off x="11535104" y="4962354"/>
            <a:ext cx="7429500" cy="3531318"/>
          </a:xfrm>
          <a:prstGeom prst="roundRect">
            <a:avLst>
              <a:gd name="adj" fmla="val 21712"/>
            </a:avLst>
          </a:prstGeom>
          <a:solidFill>
            <a:schemeClr val="bg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5" name="Chart 24"/>
          <xdr:cNvGraphicFramePr>
            <a:graphicFrameLocks/>
          </xdr:cNvGraphicFramePr>
        </xdr:nvGraphicFramePr>
        <xdr:xfrm>
          <a:off x="11640207" y="4959569"/>
          <a:ext cx="7252137" cy="3527533"/>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0</xdr:col>
      <xdr:colOff>383191</xdr:colOff>
      <xdr:row>29</xdr:row>
      <xdr:rowOff>105103</xdr:rowOff>
    </xdr:from>
    <xdr:to>
      <xdr:col>2</xdr:col>
      <xdr:colOff>363484</xdr:colOff>
      <xdr:row>47</xdr:row>
      <xdr:rowOff>105101</xdr:rowOff>
    </xdr:to>
    <xdr:grpSp>
      <xdr:nvGrpSpPr>
        <xdr:cNvPr id="32" name="Group 31"/>
        <xdr:cNvGrpSpPr/>
      </xdr:nvGrpSpPr>
      <xdr:grpSpPr>
        <a:xfrm>
          <a:off x="383191" y="5642741"/>
          <a:ext cx="1254672" cy="3310757"/>
          <a:chOff x="335017" y="5662450"/>
          <a:chExt cx="1254672" cy="3310757"/>
        </a:xfrm>
      </xdr:grpSpPr>
      <xdr:pic>
        <xdr:nvPicPr>
          <xdr:cNvPr id="34" name="Picture 33">
            <a:hlinkClick xmlns:r="http://schemas.openxmlformats.org/officeDocument/2006/relationships" r:id="rId7"/>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335017" y="5662450"/>
            <a:ext cx="1254672" cy="1254672"/>
          </a:xfrm>
          <a:prstGeom prst="rect">
            <a:avLst/>
          </a:prstGeom>
        </xdr:spPr>
      </xdr:pic>
      <xdr:pic>
        <xdr:nvPicPr>
          <xdr:cNvPr id="35" name="Picture 34">
            <a:hlinkClick xmlns:r="http://schemas.openxmlformats.org/officeDocument/2006/relationships" r:id="rId9"/>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20414" y="6772604"/>
            <a:ext cx="1083879" cy="991914"/>
          </a:xfrm>
          <a:prstGeom prst="rect">
            <a:avLst/>
          </a:prstGeom>
        </xdr:spPr>
      </xdr:pic>
      <xdr:pic>
        <xdr:nvPicPr>
          <xdr:cNvPr id="37" name="Picture 36">
            <a:hlinkClick xmlns:r="http://schemas.openxmlformats.org/officeDocument/2006/relationships" r:id="rId11"/>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443404" y="7935309"/>
            <a:ext cx="1037898" cy="1037898"/>
          </a:xfrm>
          <a:prstGeom prst="rect">
            <a:avLst/>
          </a:prstGeom>
        </xdr:spPr>
      </xdr:pic>
    </xdr:grpSp>
    <xdr:clientData/>
  </xdr:twoCellAnchor>
  <xdr:twoCellAnchor>
    <xdr:from>
      <xdr:col>22</xdr:col>
      <xdr:colOff>203637</xdr:colOff>
      <xdr:row>5</xdr:row>
      <xdr:rowOff>157655</xdr:rowOff>
    </xdr:from>
    <xdr:to>
      <xdr:col>36</xdr:col>
      <xdr:colOff>170792</xdr:colOff>
      <xdr:row>25</xdr:row>
      <xdr:rowOff>78827</xdr:rowOff>
    </xdr:to>
    <xdr:grpSp>
      <xdr:nvGrpSpPr>
        <xdr:cNvPr id="14" name="Group 13"/>
        <xdr:cNvGrpSpPr/>
      </xdr:nvGrpSpPr>
      <xdr:grpSpPr>
        <a:xfrm>
          <a:off x="14569965" y="1077310"/>
          <a:ext cx="8887810" cy="3803431"/>
          <a:chOff x="14504276" y="1077310"/>
          <a:chExt cx="8887810" cy="3803431"/>
        </a:xfrm>
      </xdr:grpSpPr>
      <xdr:sp macro="" textlink="">
        <xdr:nvSpPr>
          <xdr:cNvPr id="57" name="Rounded Rectangle 56"/>
          <xdr:cNvSpPr/>
        </xdr:nvSpPr>
        <xdr:spPr>
          <a:xfrm>
            <a:off x="15423933" y="1104379"/>
            <a:ext cx="7968153" cy="3735755"/>
          </a:xfrm>
          <a:prstGeom prst="roundRect">
            <a:avLst>
              <a:gd name="adj" fmla="val 20766"/>
            </a:avLst>
          </a:prstGeom>
          <a:solidFill>
            <a:schemeClr val="bg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38" name="Chart 37"/>
          <xdr:cNvGraphicFramePr>
            <a:graphicFrameLocks/>
          </xdr:cNvGraphicFramePr>
        </xdr:nvGraphicFramePr>
        <xdr:xfrm>
          <a:off x="14504276" y="1077310"/>
          <a:ext cx="8782708" cy="3803431"/>
        </xdr:xfrm>
        <a:graphic>
          <a:graphicData uri="http://schemas.openxmlformats.org/drawingml/2006/chart">
            <c:chart xmlns:c="http://schemas.openxmlformats.org/drawingml/2006/chart" xmlns:r="http://schemas.openxmlformats.org/officeDocument/2006/relationships" r:id="rId13"/>
          </a:graphicData>
        </a:graphic>
      </xdr:graphicFrame>
    </xdr:grpSp>
    <xdr:clientData/>
  </xdr:twoCellAnchor>
</xdr:wsDr>
</file>

<file path=xl/drawings/drawing6.xml><?xml version="1.0" encoding="utf-8"?>
<c:userShapes xmlns:c="http://schemas.openxmlformats.org/drawingml/2006/chart">
  <cdr:relSizeAnchor xmlns:cdr="http://schemas.openxmlformats.org/drawingml/2006/chartDrawing">
    <cdr:from>
      <cdr:x>0.43528</cdr:x>
      <cdr:y>0.42538</cdr:y>
    </cdr:from>
    <cdr:to>
      <cdr:x>0.61525</cdr:x>
      <cdr:y>0.71203</cdr:y>
    </cdr:to>
    <cdr:sp macro="" textlink="">
      <cdr:nvSpPr>
        <cdr:cNvPr id="3" name="TextBox 2"/>
        <cdr:cNvSpPr txBox="1"/>
      </cdr:nvSpPr>
      <cdr:spPr>
        <a:xfrm xmlns:a="http://schemas.openxmlformats.org/drawingml/2006/main">
          <a:off x="1990117" y="1166914"/>
          <a:ext cx="822798" cy="78631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userShapes>
</file>

<file path=xl/pivotCache/pivotCacheDefinition1.xml><?xml version="1.0" encoding="utf-8"?>
<pivotCacheDefinition xmlns="http://schemas.openxmlformats.org/spreadsheetml/2006/main" xmlns:r="http://schemas.openxmlformats.org/officeDocument/2006/relationships" saveData="0" refreshedBy="Amira" refreshedDate="46138.588829513887" backgroundQuery="1" createdVersion="6" refreshedVersion="6" minRefreshableVersion="3" recordCount="0" supportSubquery="1" supportAdvancedDrill="1">
  <cacheSource type="external" connectionId="1"/>
  <cacheFields count="3">
    <cacheField name="[Measures].[Sum of Total]" caption="Sum of Total" numFmtId="0" hierarchy="30" level="32767"/>
    <cacheField name="[Data].[Year].[Year]" caption="Year" numFmtId="0" hierarchy="14" level="1">
      <sharedItems containsSemiMixedTypes="0" containsString="0" containsNumber="1" containsInteger="1" minValue="2019" maxValue="2022" count="4">
        <n v="2019"/>
        <n v="2020"/>
        <n v="2021"/>
        <n v="2022"/>
      </sharedItems>
      <extLst>
        <ext xmlns:x15="http://schemas.microsoft.com/office/spreadsheetml/2010/11/main" uri="{4F2E5C28-24EA-4eb8-9CBF-B6C8F9C3D259}">
          <x15:cachedUniqueNames>
            <x15:cachedUniqueName index="0" name="[Data].[Year].&amp;[2019]"/>
            <x15:cachedUniqueName index="1" name="[Data].[Year].&amp;[2020]"/>
            <x15:cachedUniqueName index="2" name="[Data].[Year].&amp;[2021]"/>
            <x15:cachedUniqueName index="3" name="[Data].[Year].&amp;[2022]"/>
          </x15:cachedUniqueNames>
        </ext>
      </extLst>
    </cacheField>
    <cacheField name="[Data].[Product line].[Product line]" caption="Product line" numFmtId="0" hierarchy="6" level="1">
      <sharedItems count="6">
        <s v="Electronic accessories"/>
        <s v="Fashion accessories"/>
        <s v="Food and beverages"/>
        <s v="Health and beauty"/>
        <s v="Home and lifestyle"/>
        <s v="Sports and travel"/>
      </sharedItems>
    </cacheField>
  </cacheFields>
  <cacheHierarchies count="55">
    <cacheHierarchy uniqueName="[Data].[Invoice ID]" caption="Invoice ID" attribute="1" defaultMemberUniqueName="[Data].[Invoice ID].[All]" allUniqueName="[Data].[Invoice ID].[All]" dimensionUniqueName="[Data]" displayFolder="" count="0" memberValueDatatype="130" unbalanced="0"/>
    <cacheHierarchy uniqueName="[Data].[Branch]" caption="Branch" attribute="1" defaultMemberUniqueName="[Data].[Branch].[All]" allUniqueName="[Data].[Branch].[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Branch City]" caption="Branch City" attribute="1" defaultMemberUniqueName="[Data].[Branch City].[All]" allUniqueName="[Data].[Branch City].[All]" dimensionUniqueName="[Data]" displayFolder="" count="2" memberValueDatatype="130" unbalanced="0"/>
    <cacheHierarchy uniqueName="[Data].[Customer type]" caption="Customer type" attribute="1" defaultMemberUniqueName="[Data].[Customer type].[All]" allUniqueName="[Data].[Customer type].[All]" dimensionUniqueName="[Data]" displayFolder="" count="0" memberValueDatatype="130" unbalanced="0"/>
    <cacheHierarchy uniqueName="[Data].[Gender]" caption="Gender" attribute="1" defaultMemberUniqueName="[Data].[Gender].[All]" allUniqueName="[Data].[Gender].[All]" dimensionUniqueName="[Data]" displayFolder="" count="0" memberValueDatatype="130" unbalanced="0"/>
    <cacheHierarchy uniqueName="[Data].[Product line]" caption="Product line" attribute="1" defaultMemberUniqueName="[Data].[Product line].[All]" allUniqueName="[Data].[Product line].[All]" dimensionUniqueName="[Data]" displayFolder="" count="2" memberValueDatatype="130" unbalanced="0">
      <fieldsUsage count="2">
        <fieldUsage x="-1"/>
        <fieldUsage x="2"/>
      </fieldsUsage>
    </cacheHierarchy>
    <cacheHierarchy uniqueName="[Data].[Unit price]" caption="Unit price" attribute="1" defaultMemberUniqueName="[Data].[Unit price].[All]" allUniqueName="[Data].[Unit price].[All]" dimensionUniqueName="[Data]" displayFolder="" count="0" memberValueDatatype="5" unbalanced="0"/>
    <cacheHierarchy uniqueName="[Data].[Quantity]" caption="Quantity" attribute="1" defaultMemberUniqueName="[Data].[Quantity].[All]" allUniqueName="[Data].[Quantity].[All]" dimensionUniqueName="[Data]" displayFolder="" count="0" memberValueDatatype="20" unbalanced="0"/>
    <cacheHierarchy uniqueName="[Data].[Tax 5%]" caption="Tax 5%" attribute="1" defaultMemberUniqueName="[Data].[Tax 5%].[All]" allUniqueName="[Data].[Tax 5%].[All]" dimensionUniqueName="[Data]" displayFolder="" count="0" memberValueDatatype="5" unbalanced="0"/>
    <cacheHierarchy uniqueName="[Data].[Total]" caption="Total" attribute="1" defaultMemberUniqueName="[Data].[Total].[All]" allUniqueName="[Data].[Total].[All]" dimensionUniqueName="[Data]" displayFolder="" count="0" memberValueDatatype="5" unbalanced="0"/>
    <cacheHierarchy uniqueName="[Data].[Date]" caption="Date" attribute="1" time="1" defaultMemberUniqueName="[Data].[Date].[All]" allUniqueName="[Data].[Date].[All]" dimensionUniqueName="[Data]" displayFolder="" count="0" memberValueDatatype="7" unbalanced="0"/>
    <cacheHierarchy uniqueName="[Data].[Day]" caption="Day" attribute="1" defaultMemberUniqueName="[Data].[Day].[All]" allUniqueName="[Data].[Day].[All]" dimensionUniqueName="[Data]" displayFolder="" count="0" memberValueDatatype="20" unbalanced="0"/>
    <cacheHierarchy uniqueName="[Data].[Month]" caption="Month" attribute="1" defaultMemberUniqueName="[Data].[Month].[All]" allUniqueName="[Data].[Month].[All]" dimensionUniqueName="[Data]" displayFolder="" count="0" memberValueDatatype="20" unbalanced="0"/>
    <cacheHierarchy uniqueName="[Data].[Year]" caption="Year" attribute="1" defaultMemberUniqueName="[Data].[Year].[All]" allUniqueName="[Data].[Year].[All]" dimensionUniqueName="[Data]" displayFolder="" count="2" memberValueDatatype="20" unbalanced="0">
      <fieldsUsage count="2">
        <fieldUsage x="-1"/>
        <fieldUsage x="1"/>
      </fieldsUsage>
    </cacheHierarchy>
    <cacheHierarchy uniqueName="[Data].[Time]" caption="Time" attribute="1" time="1" defaultMemberUniqueName="[Data].[Time].[All]" allUniqueName="[Data].[Time].[All]" dimensionUniqueName="[Data]" displayFolder="" count="0" memberValueDatatype="7" unbalanced="0"/>
    <cacheHierarchy uniqueName="[Data].[Payment]" caption="Payment" attribute="1" defaultMemberUniqueName="[Data].[Payment].[All]" allUniqueName="[Data].[Payment].[All]" dimensionUniqueName="[Data]" displayFolder="" count="0" memberValueDatatype="130" unbalanced="0"/>
    <cacheHierarchy uniqueName="[Data].[cogs]" caption="cogs" attribute="1" defaultMemberUniqueName="[Data].[cogs].[All]" allUniqueName="[Data].[cogs].[All]" dimensionUniqueName="[Data]" displayFolder="" count="0" memberValueDatatype="5" unbalanced="0"/>
    <cacheHierarchy uniqueName="[Data].[Net Profit]" caption="Net Profit" attribute="1" defaultMemberUniqueName="[Data].[Net Profit].[All]" allUniqueName="[Data].[Net Profit].[All]" dimensionUniqueName="[Data]" displayFolder="" count="0" memberValueDatatype="5" unbalanced="0"/>
    <cacheHierarchy uniqueName="[Data].[Rating]" caption="Rating" attribute="1" defaultMemberUniqueName="[Data].[Rating].[All]" allUniqueName="[Data].[Rating].[All]" dimensionUniqueName="[Data]" displayFolder="" count="0" memberValueDatatype="5" unbalanced="0"/>
    <cacheHierarchy uniqueName="[Data].[Time (Hour)]" caption="Time (Hour)" attribute="1" defaultMemberUniqueName="[Data].[Time (Hour)].[All]" allUniqueName="[Data].[Time (Hour)].[All]" dimensionUniqueName="[Data]" displayFolder="" count="0" memberValueDatatype="130" unbalanced="0"/>
    <cacheHierarchy uniqueName="[Data].[Time (Minute)]" caption="Time (Minute)" attribute="1" defaultMemberUniqueName="[Data].[Time (Minute)].[All]" allUniqueName="[Data].[Time (Minute)].[All]" dimensionUniqueName="[Data]" displayFolder="" count="0" memberValueDatatype="130" unbalanced="0"/>
    <cacheHierarchy uniqueName="[REP].[city]" caption="city" attribute="1" defaultMemberUniqueName="[REP].[city].[All]" allUniqueName="[REP].[city].[All]" dimensionUniqueName="[REP]" displayFolder="" count="0" memberValueDatatype="130" unbalanced="0"/>
    <cacheHierarchy uniqueName="[REP].[Rep]" caption="Rep" attribute="1" defaultMemberUniqueName="[REP].[Rep].[All]" allUniqueName="[REP].[Rep].[All]" dimensionUniqueName="[REP]" displayFolder="" count="0" memberValueDatatype="130" unbalanced="0"/>
    <cacheHierarchy uniqueName="[Returns].[returns]" caption="returns" attribute="1" defaultMemberUniqueName="[Returns].[returns].[All]" allUniqueName="[Returns].[returns].[All]" dimensionUniqueName="[Returns]" displayFolder="" count="0" memberValueDatatype="130" unbalanced="0"/>
    <cacheHierarchy uniqueName="[Returns].[Invoice ID]" caption="Invoice ID" attribute="1" defaultMemberUniqueName="[Returns].[Invoice ID].[All]" allUniqueName="[Returns].[Invoice ID].[All]" dimensionUniqueName="[Returns]" displayFolder="" count="0" memberValueDatatype="130" unbalanced="0"/>
    <cacheHierarchy uniqueName="[Measures].[__XL_Count REP]" caption="__XL_Count REP" measure="1" displayFolder="" measureGroup="REP" count="0" hidden="1"/>
    <cacheHierarchy uniqueName="[Measures].[__XL_Count Returns]" caption="__XL_Count Returns" measure="1" displayFolder="" measureGroup="Returns" count="0" hidden="1"/>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Total]" caption="Sum of Total" measure="1" displayFolder="" measureGroup="Data" count="0" oneField="1" hidden="1">
      <fieldsUsage count="1">
        <fieldUsage x="0"/>
      </fieldsUsage>
      <extLst>
        <ext xmlns:x15="http://schemas.microsoft.com/office/spreadsheetml/2010/11/main" uri="{B97F6D7D-B522-45F9-BDA1-12C45D357490}">
          <x15:cacheHierarchy aggregatedColumn="10"/>
        </ext>
      </extLst>
    </cacheHierarchy>
    <cacheHierarchy uniqueName="[Measures].[Count of returns]" caption="Count of returns" measure="1" displayFolder="" measureGroup="Returns" count="0" hidden="1">
      <extLst>
        <ext xmlns:x15="http://schemas.microsoft.com/office/spreadsheetml/2010/11/main" uri="{B97F6D7D-B522-45F9-BDA1-12C45D357490}">
          <x15:cacheHierarchy aggregatedColumn="24"/>
        </ext>
      </extLst>
    </cacheHierarchy>
    <cacheHierarchy uniqueName="[Measures].[Sum of Net Profit]" caption="Sum of Net Profit" measure="1" displayFolder="" measureGroup="Data" count="0" hidden="1">
      <extLst>
        <ext xmlns:x15="http://schemas.microsoft.com/office/spreadsheetml/2010/11/main" uri="{B97F6D7D-B522-45F9-BDA1-12C45D357490}">
          <x15:cacheHierarchy aggregatedColumn="18"/>
        </ext>
      </extLst>
    </cacheHierarchy>
    <cacheHierarchy uniqueName="[Measures].[Sum of cogs]" caption="Sum of cogs" measure="1" displayFolder="" measureGroup="Data" count="0" hidden="1">
      <extLst>
        <ext xmlns:x15="http://schemas.microsoft.com/office/spreadsheetml/2010/11/main" uri="{B97F6D7D-B522-45F9-BDA1-12C45D357490}">
          <x15:cacheHierarchy aggregatedColumn="17"/>
        </ext>
      </extLst>
    </cacheHierarchy>
    <cacheHierarchy uniqueName="[Measures].[Sum of Tax 5%]" caption="Sum of Tax 5%" measure="1" displayFolder="" measureGroup="Data" count="0" hidden="1">
      <extLst>
        <ext xmlns:x15="http://schemas.microsoft.com/office/spreadsheetml/2010/11/main" uri="{B97F6D7D-B522-45F9-BDA1-12C45D357490}">
          <x15:cacheHierarchy aggregatedColumn="9"/>
        </ext>
      </extLst>
    </cacheHierarchy>
    <cacheHierarchy uniqueName="[Measures].[Average of Net Profit]" caption="Average of Net Profit" measure="1" displayFolder="" measureGroup="Data"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8"/>
        </ext>
      </extLst>
    </cacheHierarchy>
    <cacheHierarchy uniqueName="[Measures].[Count of Invoice ID]" caption="Count of Invoice ID" measure="1" displayFolder="" measureGroup="Data" count="0" hidden="1">
      <extLst>
        <ext xmlns:x15="http://schemas.microsoft.com/office/spreadsheetml/2010/11/main" uri="{B97F6D7D-B522-45F9-BDA1-12C45D357490}">
          <x15:cacheHierarchy aggregatedColumn="0"/>
        </ext>
      </extLst>
    </cacheHierarchy>
    <cacheHierarchy uniqueName="[Measures].[Count of Quantity]" caption="Count of Quantity" measure="1" displayFolder="" measureGroup="Data" count="0" hidden="1">
      <extLst>
        <ext xmlns:x15="http://schemas.microsoft.com/office/spreadsheetml/2010/11/main" uri="{B97F6D7D-B522-45F9-BDA1-12C45D357490}">
          <x15:cacheHierarchy aggregatedColumn="8"/>
        </ext>
      </extLst>
    </cacheHierarchy>
    <cacheHierarchy uniqueName="[Measures].[Count of Product line]" caption="Count of Product line" measure="1" displayFolder="" measureGroup="Data" count="0" hidden="1">
      <extLst>
        <ext xmlns:x15="http://schemas.microsoft.com/office/spreadsheetml/2010/11/main" uri="{B97F6D7D-B522-45F9-BDA1-12C45D357490}">
          <x15:cacheHierarchy aggregatedColumn="6"/>
        </ext>
      </extLst>
    </cacheHierarchy>
    <cacheHierarchy uniqueName="[Measures].[Count of Invoice ID 2]" caption="Count of Invoice ID 2" measure="1" displayFolder="" measureGroup="Returns" count="0" hidden="1">
      <extLst>
        <ext xmlns:x15="http://schemas.microsoft.com/office/spreadsheetml/2010/11/main" uri="{B97F6D7D-B522-45F9-BDA1-12C45D357490}">
          <x15:cacheHierarchy aggregatedColumn="25"/>
        </ext>
      </extLst>
    </cacheHierarchy>
    <cacheHierarchy uniqueName="[Measures].[Sum of Rating]" caption="Sum of Rating" measure="1" displayFolder="" measureGroup="Data" count="0" hidden="1">
      <extLst>
        <ext xmlns:x15="http://schemas.microsoft.com/office/spreadsheetml/2010/11/main" uri="{B97F6D7D-B522-45F9-BDA1-12C45D357490}">
          <x15:cacheHierarchy aggregatedColumn="19"/>
        </ext>
      </extLst>
    </cacheHierarchy>
    <cacheHierarchy uniqueName="[Measures].[Average of Rating]" caption="Average of Rating" measure="1" displayFolder="" measureGroup="Data" count="0" hidden="1">
      <extLst>
        <ext xmlns:x15="http://schemas.microsoft.com/office/spreadsheetml/2010/11/main" uri="{B97F6D7D-B522-45F9-BDA1-12C45D357490}">
          <x15:cacheHierarchy aggregatedColumn="19"/>
        </ext>
      </extLst>
    </cacheHierarchy>
    <cacheHierarchy uniqueName="[Measures].[Min of Rating]" caption="Min of Rating" measure="1" displayFolder="" measureGroup="Data" count="0" hidden="1">
      <extLst>
        <ext xmlns:x15="http://schemas.microsoft.com/office/spreadsheetml/2010/11/main" uri="{B97F6D7D-B522-45F9-BDA1-12C45D357490}">
          <x15:cacheHierarchy aggregatedColumn="19"/>
        </ext>
      </extLst>
    </cacheHierarchy>
    <cacheHierarchy uniqueName="[Measures].[Max of Rating]" caption="Max of Rating" measure="1" displayFolder="" measureGroup="Data" count="0" hidden="1">
      <extLst>
        <ext xmlns:x15="http://schemas.microsoft.com/office/spreadsheetml/2010/11/main" uri="{B97F6D7D-B522-45F9-BDA1-12C45D357490}">
          <x15:cacheHierarchy aggregatedColumn="19"/>
        </ext>
      </extLst>
    </cacheHierarchy>
    <cacheHierarchy uniqueName="[Measures].[Count of Rating]" caption="Count of Rating" measure="1" displayFolder="" measureGroup="Data" count="0" hidden="1">
      <extLst>
        <ext xmlns:x15="http://schemas.microsoft.com/office/spreadsheetml/2010/11/main" uri="{B97F6D7D-B522-45F9-BDA1-12C45D357490}">
          <x15:cacheHierarchy aggregatedColumn="19"/>
        </ext>
      </extLst>
    </cacheHierarchy>
    <cacheHierarchy uniqueName="[Measures].[Distinct Count of Rating]" caption="Distinct Count of Rating" measure="1" displayFolder="" measureGroup="Data" count="0" hidden="1">
      <extLst>
        <ext xmlns:x15="http://schemas.microsoft.com/office/spreadsheetml/2010/11/main" uri="{B97F6D7D-B522-45F9-BDA1-12C45D357490}">
          <x15:cacheHierarchy aggregatedColumn="19"/>
        </ext>
      </extLst>
    </cacheHierarchy>
    <cacheHierarchy uniqueName="[Measures].[Distinct Count of Invoice ID]" caption="Distinct Count of Invoice ID" measure="1" displayFolder="" measureGroup="Data" count="0" hidden="1">
      <extLst>
        <ext xmlns:x15="http://schemas.microsoft.com/office/spreadsheetml/2010/11/main" uri="{B97F6D7D-B522-45F9-BDA1-12C45D357490}">
          <x15:cacheHierarchy aggregatedColumn="0"/>
        </ext>
      </extLst>
    </cacheHierarchy>
    <cacheHierarchy uniqueName="[Measures].[Count of Customer type]" caption="Count of Customer type" measure="1" displayFolder="" measureGroup="Data" count="0" hidden="1">
      <extLst>
        <ext xmlns:x15="http://schemas.microsoft.com/office/spreadsheetml/2010/11/main" uri="{B97F6D7D-B522-45F9-BDA1-12C45D357490}">
          <x15:cacheHierarchy aggregatedColumn="4"/>
        </ext>
      </extLst>
    </cacheHierarchy>
    <cacheHierarchy uniqueName="[Measures].[Count of Payment]" caption="Count of Payment" measure="1" displayFolder="" measureGroup="Data" count="0" hidden="1">
      <extLst>
        <ext xmlns:x15="http://schemas.microsoft.com/office/spreadsheetml/2010/11/main" uri="{B97F6D7D-B522-45F9-BDA1-12C45D357490}">
          <x15:cacheHierarchy aggregatedColumn="16"/>
        </ext>
      </extLst>
    </cacheHierarchy>
    <cacheHierarchy uniqueName="[Measures].[Average of Total]" caption="Average of Total" measure="1" displayFolder="" measureGroup="Data" count="0" hidden="1">
      <extLst>
        <ext xmlns:x15="http://schemas.microsoft.com/office/spreadsheetml/2010/11/main" uri="{B97F6D7D-B522-45F9-BDA1-12C45D357490}">
          <x15:cacheHierarchy aggregatedColumn="10"/>
        </ext>
      </extLst>
    </cacheHierarchy>
    <cacheHierarchy uniqueName="[Measures].[Sum of Unit price]" caption="Sum of Unit price" measure="1" displayFolder="" measureGroup="Data" count="0" hidden="1">
      <extLst>
        <ext xmlns:x15="http://schemas.microsoft.com/office/spreadsheetml/2010/11/main" uri="{B97F6D7D-B522-45F9-BDA1-12C45D357490}">
          <x15:cacheHierarchy aggregatedColumn="7"/>
        </ext>
      </extLst>
    </cacheHierarchy>
    <cacheHierarchy uniqueName="[Measures].[Average of Unit price]" caption="Average of Unit price" measure="1" displayFolder="" measureGroup="Data" count="0" hidden="1">
      <extLst>
        <ext xmlns:x15="http://schemas.microsoft.com/office/spreadsheetml/2010/11/main" uri="{B97F6D7D-B522-45F9-BDA1-12C45D357490}">
          <x15:cacheHierarchy aggregatedColumn="7"/>
        </ext>
      </extLst>
    </cacheHierarchy>
    <cacheHierarchy uniqueName="[Measures].[Max of Unit price]" caption="Max of Unit price" measure="1" displayFolder="" measureGroup="Data" count="0" hidden="1">
      <extLst>
        <ext xmlns:x15="http://schemas.microsoft.com/office/spreadsheetml/2010/11/main" uri="{B97F6D7D-B522-45F9-BDA1-12C45D357490}">
          <x15:cacheHierarchy aggregatedColumn="7"/>
        </ext>
      </extLst>
    </cacheHierarchy>
    <cacheHierarchy uniqueName="[Measures].[Min of Unit price]" caption="Min of Unit price" measure="1" displayFolder="" measureGroup="Data" count="0" hidden="1">
      <extLst>
        <ext xmlns:x15="http://schemas.microsoft.com/office/spreadsheetml/2010/11/main" uri="{B97F6D7D-B522-45F9-BDA1-12C45D357490}">
          <x15:cacheHierarchy aggregatedColumn="7"/>
        </ext>
      </extLst>
    </cacheHierarchy>
  </cacheHierarchies>
  <kpis count="0"/>
  <dimensions count="4">
    <dimension name="Data" uniqueName="[Data]" caption="Data"/>
    <dimension measure="1" name="Measures" uniqueName="[Measures]" caption="Measures"/>
    <dimension name="REP" uniqueName="[REP]" caption="REP"/>
    <dimension name="Returns" uniqueName="[Returns]" caption="Returns"/>
  </dimensions>
  <measureGroups count="3">
    <measureGroup name="Data" caption="Data"/>
    <measureGroup name="REP" caption="REP"/>
    <measureGroup name="Returns" caption="Returns"/>
  </measureGroups>
  <maps count="5">
    <map measureGroup="0" dimension="0"/>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Amira" refreshedDate="46138.606736574075" backgroundQuery="1" createdVersion="6" refreshedVersion="6" minRefreshableVersion="3" recordCount="0" supportSubquery="1" supportAdvancedDrill="1">
  <cacheSource type="external" connectionId="1"/>
  <cacheFields count="6">
    <cacheField name="[Data].[Year].[Year]" caption="Year" numFmtId="0" hierarchy="14" level="1">
      <sharedItems containsSemiMixedTypes="0" containsString="0" containsNumber="1" containsInteger="1" minValue="2019" maxValue="2022" count="4">
        <n v="2019"/>
        <n v="2020"/>
        <n v="2021"/>
        <n v="2022"/>
      </sharedItems>
      <extLst>
        <ext xmlns:x15="http://schemas.microsoft.com/office/spreadsheetml/2010/11/main" uri="{4F2E5C28-24EA-4eb8-9CBF-B6C8F9C3D259}">
          <x15:cachedUniqueNames>
            <x15:cachedUniqueName index="0" name="[Data].[Year].&amp;[2019]"/>
            <x15:cachedUniqueName index="1" name="[Data].[Year].&amp;[2020]"/>
            <x15:cachedUniqueName index="2" name="[Data].[Year].&amp;[2021]"/>
            <x15:cachedUniqueName index="3" name="[Data].[Year].&amp;[2022]"/>
          </x15:cachedUniqueNames>
        </ext>
      </extLst>
    </cacheField>
    <cacheField name="[Data].[Time].[Time]" caption="Time" numFmtId="0" hierarchy="15" level="1">
      <sharedItems containsSemiMixedTypes="0" containsNonDate="0" containsDate="1" containsString="0" count="506">
        <d v="1899-12-30T10:00:00"/>
        <d v="1899-12-30T10:01:00"/>
        <d v="1899-12-30T10:02:00"/>
        <d v="1899-12-30T10:03:00"/>
        <d v="1899-12-30T10:04:00"/>
        <d v="1899-12-30T10:05:00"/>
        <d v="1899-12-30T10:06:00"/>
        <d v="1899-12-30T10:08:00"/>
        <d v="1899-12-30T10:09:00"/>
        <d v="1899-12-30T10:10:00"/>
        <d v="1899-12-30T10:11:00"/>
        <d v="1899-12-30T10:12:00"/>
        <d v="1899-12-30T10:13:00"/>
        <d v="1899-12-30T10:16:00"/>
        <d v="1899-12-30T10:17:00"/>
        <d v="1899-12-30T10:18:00"/>
        <d v="1899-12-30T10:19:00"/>
        <d v="1899-12-30T10:21:00"/>
        <d v="1899-12-30T10:22:00"/>
        <d v="1899-12-30T10:23:00"/>
        <d v="1899-12-30T10:25:00"/>
        <d v="1899-12-30T10:26:00"/>
        <d v="1899-12-30T10:28:00"/>
        <d v="1899-12-30T10:29:00"/>
        <d v="1899-12-30T10:30:00"/>
        <d v="1899-12-30T10:31:00"/>
        <d v="1899-12-30T10:33:00"/>
        <d v="1899-12-30T10:34:00"/>
        <d v="1899-12-30T10:36:00"/>
        <d v="1899-12-30T10:37:00"/>
        <d v="1899-12-30T10:38:00"/>
        <d v="1899-12-30T10:39:00"/>
        <d v="1899-12-30T10:40:00"/>
        <d v="1899-12-30T10:41:00"/>
        <d v="1899-12-30T10:42:00"/>
        <d v="1899-12-30T10:43:00"/>
        <d v="1899-12-30T10:44:00"/>
        <d v="1899-12-30T10:46:00"/>
        <d v="1899-12-30T10:48:00"/>
        <d v="1899-12-30T10:49:00"/>
        <d v="1899-12-30T10:50:00"/>
        <d v="1899-12-30T10:52:00"/>
        <d v="1899-12-30T10:53:00"/>
        <d v="1899-12-30T10:54:00"/>
        <d v="1899-12-30T10:55:00"/>
        <d v="1899-12-30T10:57:00"/>
        <d v="1899-12-30T10:58:00"/>
        <d v="1899-12-30T11:00:00"/>
        <d v="1899-12-30T11:01:00"/>
        <d v="1899-12-30T11:02:00"/>
        <d v="1899-12-30T11:03:00"/>
        <d v="1899-12-30T11:05:00"/>
        <d v="1899-12-30T11:06:00"/>
        <d v="1899-12-30T11:07:00"/>
        <d v="1899-12-30T11:09:00"/>
        <d v="1899-12-30T11:10:00"/>
        <d v="1899-12-30T11:12:00"/>
        <d v="1899-12-30T11:15:00"/>
        <d v="1899-12-30T11:16:00"/>
        <d v="1899-12-30T11:17:00"/>
        <d v="1899-12-30T11:18:00"/>
        <d v="1899-12-30T11:19:00"/>
        <d v="1899-12-30T11:20:00"/>
        <d v="1899-12-30T11:21:00"/>
        <d v="1899-12-30T11:22:00"/>
        <d v="1899-12-30T11:23:00"/>
        <d v="1899-12-30T11:24:00"/>
        <d v="1899-12-30T11:25:00"/>
        <d v="1899-12-30T11:26:00"/>
        <d v="1899-12-30T11:27:00"/>
        <d v="1899-12-30T11:28:00"/>
        <d v="1899-12-30T11:29:00"/>
        <d v="1899-12-30T11:30:00"/>
        <d v="1899-12-30T11:32:00"/>
        <d v="1899-12-30T11:33:00"/>
        <d v="1899-12-30T11:34:00"/>
        <d v="1899-12-30T11:36:00"/>
        <d v="1899-12-30T11:38:00"/>
        <d v="1899-12-30T11:39:00"/>
        <d v="1899-12-30T11:40:00"/>
        <d v="1899-12-30T11:42:00"/>
        <d v="1899-12-30T11:43:00"/>
        <d v="1899-12-30T11:44:00"/>
        <d v="1899-12-30T11:45:00"/>
        <d v="1899-12-30T11:46:00"/>
        <d v="1899-12-30T11:48:00"/>
        <d v="1899-12-30T11:49:00"/>
        <d v="1899-12-30T11:51:00"/>
        <d v="1899-12-30T11:52:00"/>
        <d v="1899-12-30T11:55:00"/>
        <d v="1899-12-30T11:56:00"/>
        <d v="1899-12-30T11:57:00"/>
        <d v="1899-12-30T11:58:00"/>
        <d v="1899-12-30T11:59:00"/>
        <d v="1899-12-30T12:01:00"/>
        <d v="1899-12-30T12:02:00"/>
        <d v="1899-12-30T12:04:00"/>
        <d v="1899-12-30T12:07:00"/>
        <d v="1899-12-30T12:08:00"/>
        <d v="1899-12-30T12:09:00"/>
        <d v="1899-12-30T12:10:00"/>
        <d v="1899-12-30T12:12:00"/>
        <d v="1899-12-30T12:14:00"/>
        <d v="1899-12-30T12:15:00"/>
        <d v="1899-12-30T12:16:00"/>
        <d v="1899-12-30T12:17:00"/>
        <d v="1899-12-30T12:20:00"/>
        <d v="1899-12-30T12:21:00"/>
        <d v="1899-12-30T12:22:00"/>
        <d v="1899-12-30T12:23:00"/>
        <d v="1899-12-30T12:24:00"/>
        <d v="1899-12-30T12:25:00"/>
        <d v="1899-12-30T12:27:00"/>
        <d v="1899-12-30T12:28:00"/>
        <d v="1899-12-30T12:29:00"/>
        <d v="1899-12-30T12:30:00"/>
        <d v="1899-12-30T12:31:00"/>
        <d v="1899-12-30T12:32:00"/>
        <d v="1899-12-30T12:34:00"/>
        <d v="1899-12-30T12:35:00"/>
        <d v="1899-12-30T12:36:00"/>
        <d v="1899-12-30T12:37:00"/>
        <d v="1899-12-30T12:38:00"/>
        <d v="1899-12-30T12:39:00"/>
        <d v="1899-12-30T12:40:00"/>
        <d v="1899-12-30T12:41:00"/>
        <d v="1899-12-30T12:42:00"/>
        <d v="1899-12-30T12:43:00"/>
        <d v="1899-12-30T12:44:00"/>
        <d v="1899-12-30T12:45:00"/>
        <d v="1899-12-30T12:46:00"/>
        <d v="1899-12-30T12:47:00"/>
        <d v="1899-12-30T12:48:00"/>
        <d v="1899-12-30T12:50:00"/>
        <d v="1899-12-30T12:51:00"/>
        <d v="1899-12-30T12:52:00"/>
        <d v="1899-12-30T12:55:00"/>
        <d v="1899-12-30T12:56:00"/>
        <d v="1899-12-30T12:58:00"/>
        <d v="1899-12-30T13:00:00"/>
        <d v="1899-12-30T13:01:00"/>
        <d v="1899-12-30T13:02:00"/>
        <d v="1899-12-30T13:03:00"/>
        <d v="1899-12-30T13:05:00"/>
        <d v="1899-12-30T13:06:00"/>
        <d v="1899-12-30T13:07:00"/>
        <d v="1899-12-30T13:08:00"/>
        <d v="1899-12-30T13:10:00"/>
        <d v="1899-12-30T13:11:00"/>
        <d v="1899-12-30T13:12:00"/>
        <d v="1899-12-30T13:14:00"/>
        <d v="1899-12-30T13:18:00"/>
        <d v="1899-12-30T13:19:00"/>
        <d v="1899-12-30T13:21:00"/>
        <d v="1899-12-30T13:22:00"/>
        <d v="1899-12-30T13:23:00"/>
        <d v="1899-12-30T13:24:00"/>
        <d v="1899-12-30T13:25:00"/>
        <d v="1899-12-30T13:26:00"/>
        <d v="1899-12-30T13:27:00"/>
        <d v="1899-12-30T13:28:00"/>
        <d v="1899-12-30T13:29:00"/>
        <d v="1899-12-30T13:30:00"/>
        <d v="1899-12-30T13:32:00"/>
        <d v="1899-12-30T13:33:00"/>
        <d v="1899-12-30T13:34:00"/>
        <d v="1899-12-30T13:35:00"/>
        <d v="1899-12-30T13:37:00"/>
        <d v="1899-12-30T13:38:00"/>
        <d v="1899-12-30T13:40:00"/>
        <d v="1899-12-30T13:41:00"/>
        <d v="1899-12-30T13:42:00"/>
        <d v="1899-12-30T13:44:00"/>
        <d v="1899-12-30T13:45:00"/>
        <d v="1899-12-30T13:46:00"/>
        <d v="1899-12-30T13:47:00"/>
        <d v="1899-12-30T13:48:00"/>
        <d v="1899-12-30T13:49:00"/>
        <d v="1899-12-30T13:50:00"/>
        <d v="1899-12-30T13:51:00"/>
        <d v="1899-12-30T13:52:00"/>
        <d v="1899-12-30T13:53:00"/>
        <d v="1899-12-30T13:54:00"/>
        <d v="1899-12-30T13:55:00"/>
        <d v="1899-12-30T13:56:00"/>
        <d v="1899-12-30T13:57:00"/>
        <d v="1899-12-30T13:58:00"/>
        <d v="1899-12-30T13:59:00"/>
        <d v="1899-12-30T14:00:00"/>
        <d v="1899-12-30T14:03:00"/>
        <d v="1899-12-30T14:04:00"/>
        <d v="1899-12-30T14:05:00"/>
        <d v="1899-12-30T14:06:00"/>
        <d v="1899-12-30T14:08:00"/>
        <d v="1899-12-30T14:11:00"/>
        <d v="1899-12-30T14:12:00"/>
        <d v="1899-12-30T14:13:00"/>
        <d v="1899-12-30T14:14:00"/>
        <d v="1899-12-30T14:15:00"/>
        <d v="1899-12-30T14:16:00"/>
        <d v="1899-12-30T14:19:00"/>
        <d v="1899-12-30T14:20:00"/>
        <d v="1899-12-30T14:21:00"/>
        <d v="1899-12-30T14:22:00"/>
        <d v="1899-12-30T14:24:00"/>
        <d v="1899-12-30T14:25:00"/>
        <d v="1899-12-30T14:26:00"/>
        <d v="1899-12-30T14:27:00"/>
        <d v="1899-12-30T14:28:00"/>
        <d v="1899-12-30T14:29:00"/>
        <d v="1899-12-30T14:30:00"/>
        <d v="1899-12-30T14:31:00"/>
        <d v="1899-12-30T14:33:00"/>
        <d v="1899-12-30T14:35:00"/>
        <d v="1899-12-30T14:36:00"/>
        <d v="1899-12-30T14:38:00"/>
        <d v="1899-12-30T14:40:00"/>
        <d v="1899-12-30T14:41:00"/>
        <d v="1899-12-30T14:42:00"/>
        <d v="1899-12-30T14:43:00"/>
        <d v="1899-12-30T14:44:00"/>
        <d v="1899-12-30T14:45:00"/>
        <d v="1899-12-30T14:47:00"/>
        <d v="1899-12-30T14:48:00"/>
        <d v="1899-12-30T14:49:00"/>
        <d v="1899-12-30T14:50:00"/>
        <d v="1899-12-30T14:51:00"/>
        <d v="1899-12-30T14:53:00"/>
        <d v="1899-12-30T14:55:00"/>
        <d v="1899-12-30T14:57:00"/>
        <d v="1899-12-30T14:58:00"/>
        <d v="1899-12-30T15:00:00"/>
        <d v="1899-12-30T15:01:00"/>
        <d v="1899-12-30T15:02:00"/>
        <d v="1899-12-30T15:04:00"/>
        <d v="1899-12-30T15:05:00"/>
        <d v="1899-12-30T15:06:00"/>
        <d v="1899-12-30T15:07:00"/>
        <d v="1899-12-30T15:08:00"/>
        <d v="1899-12-30T15:09:00"/>
        <d v="1899-12-30T15:10:00"/>
        <d v="1899-12-30T15:11:00"/>
        <d v="1899-12-30T15:12:00"/>
        <d v="1899-12-30T15:14:00"/>
        <d v="1899-12-30T15:15:00"/>
        <d v="1899-12-30T15:16:00"/>
        <d v="1899-12-30T15:17:00"/>
        <d v="1899-12-30T15:18:00"/>
        <d v="1899-12-30T15:19:00"/>
        <d v="1899-12-30T15:20:00"/>
        <d v="1899-12-30T15:21:00"/>
        <d v="1899-12-30T15:23:00"/>
        <d v="1899-12-30T15:24:00"/>
        <d v="1899-12-30T15:25:00"/>
        <d v="1899-12-30T15:26:00"/>
        <d v="1899-12-30T15:27:00"/>
        <d v="1899-12-30T15:28:00"/>
        <d v="1899-12-30T15:29:00"/>
        <d v="1899-12-30T15:30:00"/>
        <d v="1899-12-30T15:31:00"/>
        <d v="1899-12-30T15:32:00"/>
        <d v="1899-12-30T15:33:00"/>
        <d v="1899-12-30T15:34:00"/>
        <d v="1899-12-30T15:36:00"/>
        <d v="1899-12-30T15:37:00"/>
        <d v="1899-12-30T15:39:00"/>
        <d v="1899-12-30T15:40:00"/>
        <d v="1899-12-30T15:42:00"/>
        <d v="1899-12-30T15:43:00"/>
        <d v="1899-12-30T15:44:00"/>
        <d v="1899-12-30T15:45:00"/>
        <d v="1899-12-30T15:46:00"/>
        <d v="1899-12-30T15:47:00"/>
        <d v="1899-12-30T15:48:00"/>
        <d v="1899-12-30T15:49:00"/>
        <d v="1899-12-30T15:51:00"/>
        <d v="1899-12-30T15:52:00"/>
        <d v="1899-12-30T15:53:00"/>
        <d v="1899-12-30T15:54:00"/>
        <d v="1899-12-30T15:55:00"/>
        <d v="1899-12-30T15:56:00"/>
        <d v="1899-12-30T15:57:00"/>
        <d v="1899-12-30T15:58:00"/>
        <d v="1899-12-30T15:59:00"/>
        <d v="1899-12-30T16:03:00"/>
        <d v="1899-12-30T16:04:00"/>
        <d v="1899-12-30T16:05:00"/>
        <d v="1899-12-30T16:06:00"/>
        <d v="1899-12-30T16:07:00"/>
        <d v="1899-12-30T16:08:00"/>
        <d v="1899-12-30T16:09:00"/>
        <d v="1899-12-30T16:10:00"/>
        <d v="1899-12-30T16:11:00"/>
        <d v="1899-12-30T16:16:00"/>
        <d v="1899-12-30T16:17:00"/>
        <d v="1899-12-30T16:18:00"/>
        <d v="1899-12-30T16:19:00"/>
        <d v="1899-12-30T16:20:00"/>
        <d v="1899-12-30T16:21:00"/>
        <d v="1899-12-30T16:23:00"/>
        <d v="1899-12-30T16:24:00"/>
        <d v="1899-12-30T16:26:00"/>
        <d v="1899-12-30T16:27:00"/>
        <d v="1899-12-30T16:28:00"/>
        <d v="1899-12-30T16:30:00"/>
        <d v="1899-12-30T16:31:00"/>
        <d v="1899-12-30T16:32:00"/>
        <d v="1899-12-30T16:33:00"/>
        <d v="1899-12-30T16:34:00"/>
        <d v="1899-12-30T16:35:00"/>
        <d v="1899-12-30T16:36:00"/>
        <d v="1899-12-30T16:37:00"/>
        <d v="1899-12-30T16:38:00"/>
        <d v="1899-12-30T16:40:00"/>
        <d v="1899-12-30T16:42:00"/>
        <d v="1899-12-30T16:43:00"/>
        <d v="1899-12-30T16:44:00"/>
        <d v="1899-12-30T16:45:00"/>
        <d v="1899-12-30T16:46:00"/>
        <d v="1899-12-30T16:47:00"/>
        <d v="1899-12-30T16:48:00"/>
        <d v="1899-12-30T16:49:00"/>
        <d v="1899-12-30T16:50:00"/>
        <d v="1899-12-30T16:51:00"/>
        <d v="1899-12-30T16:52:00"/>
        <d v="1899-12-30T16:53:00"/>
        <d v="1899-12-30T16:54:00"/>
        <d v="1899-12-30T16:55:00"/>
        <d v="1899-12-30T16:57:00"/>
        <d v="1899-12-30T16:58:00"/>
        <d v="1899-12-30T16:59:00"/>
        <d v="1899-12-30T17:01:00"/>
        <d v="1899-12-30T17:03:00"/>
        <d v="1899-12-30T17:04:00"/>
        <d v="1899-12-30T17:07:00"/>
        <d v="1899-12-30T17:08:00"/>
        <d v="1899-12-30T17:09:00"/>
        <d v="1899-12-30T17:10:00"/>
        <d v="1899-12-30T17:11:00"/>
        <d v="1899-12-30T17:12:00"/>
        <d v="1899-12-30T17:13:00"/>
        <d v="1899-12-30T17:15:00"/>
        <d v="1899-12-30T17:16:00"/>
        <d v="1899-12-30T17:17:00"/>
        <d v="1899-12-30T17:20:00"/>
        <d v="1899-12-30T17:22:00"/>
        <d v="1899-12-30T17:24:00"/>
        <d v="1899-12-30T17:26:00"/>
        <d v="1899-12-30T17:27:00"/>
        <d v="1899-12-30T17:29:00"/>
        <d v="1899-12-30T17:30:00"/>
        <d v="1899-12-30T17:34:00"/>
        <d v="1899-12-30T17:35:00"/>
        <d v="1899-12-30T17:36:00"/>
        <d v="1899-12-30T17:37:00"/>
        <d v="1899-12-30T17:38:00"/>
        <d v="1899-12-30T17:43:00"/>
        <d v="1899-12-30T17:44:00"/>
        <d v="1899-12-30T17:45:00"/>
        <d v="1899-12-30T17:46:00"/>
        <d v="1899-12-30T17:47:00"/>
        <d v="1899-12-30T17:48:00"/>
        <d v="1899-12-30T17:49:00"/>
        <d v="1899-12-30T17:52:00"/>
        <d v="1899-12-30T17:53:00"/>
        <d v="1899-12-30T17:54:00"/>
        <d v="1899-12-30T17:55:00"/>
        <d v="1899-12-30T17:56:00"/>
        <d v="1899-12-30T17:58:00"/>
        <d v="1899-12-30T17:59:00"/>
        <d v="1899-12-30T18:00:00"/>
        <d v="1899-12-30T18:01:00"/>
        <d v="1899-12-30T18:02:00"/>
        <d v="1899-12-30T18:03:00"/>
        <d v="1899-12-30T18:04:00"/>
        <d v="1899-12-30T18:05:00"/>
        <d v="1899-12-30T18:06:00"/>
        <d v="1899-12-30T18:07:00"/>
        <d v="1899-12-30T18:08:00"/>
        <d v="1899-12-30T18:09:00"/>
        <d v="1899-12-30T18:10:00"/>
        <d v="1899-12-30T18:13:00"/>
        <d v="1899-12-30T18:14:00"/>
        <d v="1899-12-30T18:15:00"/>
        <d v="1899-12-30T18:17:00"/>
        <d v="1899-12-30T18:18:00"/>
        <d v="1899-12-30T18:19:00"/>
        <d v="1899-12-30T18:20:00"/>
        <d v="1899-12-30T18:21:00"/>
        <d v="1899-12-30T18:22:00"/>
        <d v="1899-12-30T18:23:00"/>
        <d v="1899-12-30T18:24:00"/>
        <d v="1899-12-30T18:27:00"/>
        <d v="1899-12-30T18:30:00"/>
        <d v="1899-12-30T18:31:00"/>
        <d v="1899-12-30T18:33:00"/>
        <d v="1899-12-30T18:35:00"/>
        <d v="1899-12-30T18:36:00"/>
        <d v="1899-12-30T18:37:00"/>
        <d v="1899-12-30T18:38:00"/>
        <d v="1899-12-30T18:41:00"/>
        <d v="1899-12-30T18:42:00"/>
        <d v="1899-12-30T18:43:00"/>
        <d v="1899-12-30T18:44:00"/>
        <d v="1899-12-30T18:45:00"/>
        <d v="1899-12-30T18:48:00"/>
        <d v="1899-12-30T18:50:00"/>
        <d v="1899-12-30T18:51:00"/>
        <d v="1899-12-30T18:53:00"/>
        <d v="1899-12-30T18:55:00"/>
        <d v="1899-12-30T18:56:00"/>
        <d v="1899-12-30T18:57:00"/>
        <d v="1899-12-30T18:58:00"/>
        <d v="1899-12-30T18:59:00"/>
        <d v="1899-12-30T19:00:00"/>
        <d v="1899-12-30T19:01:00"/>
        <d v="1899-12-30T19:02:00"/>
        <d v="1899-12-30T19:05:00"/>
        <d v="1899-12-30T19:06:00"/>
        <d v="1899-12-30T19:07:00"/>
        <d v="1899-12-30T19:08:00"/>
        <d v="1899-12-30T19:09:00"/>
        <d v="1899-12-30T19:11:00"/>
        <d v="1899-12-30T19:12:00"/>
        <d v="1899-12-30T19:14:00"/>
        <d v="1899-12-30T19:15:00"/>
        <d v="1899-12-30T19:16:00"/>
        <d v="1899-12-30T19:17:00"/>
        <d v="1899-12-30T19:18:00"/>
        <d v="1899-12-30T19:20:00"/>
        <d v="1899-12-30T19:21:00"/>
        <d v="1899-12-30T19:22:00"/>
        <d v="1899-12-30T19:24:00"/>
        <d v="1899-12-30T19:25:00"/>
        <d v="1899-12-30T19:26:00"/>
        <d v="1899-12-30T19:28:00"/>
        <d v="1899-12-30T19:29:00"/>
        <d v="1899-12-30T19:30:00"/>
        <d v="1899-12-30T19:31:00"/>
        <d v="1899-12-30T19:33:00"/>
        <d v="1899-12-30T19:35:00"/>
        <d v="1899-12-30T19:36:00"/>
        <d v="1899-12-30T19:38:00"/>
        <d v="1899-12-30T19:39:00"/>
        <d v="1899-12-30T19:40:00"/>
        <d v="1899-12-30T19:41:00"/>
        <d v="1899-12-30T19:42:00"/>
        <d v="1899-12-30T19:43:00"/>
        <d v="1899-12-30T19:44:00"/>
        <d v="1899-12-30T19:45:00"/>
        <d v="1899-12-30T19:46:00"/>
        <d v="1899-12-30T19:47:00"/>
        <d v="1899-12-30T19:48:00"/>
        <d v="1899-12-30T19:49:00"/>
        <d v="1899-12-30T19:50:00"/>
        <d v="1899-12-30T19:51:00"/>
        <d v="1899-12-30T19:52:00"/>
        <d v="1899-12-30T19:53:00"/>
        <d v="1899-12-30T19:54:00"/>
        <d v="1899-12-30T19:55:00"/>
        <d v="1899-12-30T19:56:00"/>
        <d v="1899-12-30T19:57:00"/>
        <d v="1899-12-30T19:58:00"/>
        <d v="1899-12-30T20:00:00"/>
        <d v="1899-12-30T20:01:00"/>
        <d v="1899-12-30T20:03:00"/>
        <d v="1899-12-30T20:04:00"/>
        <d v="1899-12-30T20:05:00"/>
        <d v="1899-12-30T20:06:00"/>
        <d v="1899-12-30T20:07:00"/>
        <d v="1899-12-30T20:08:00"/>
        <d v="1899-12-30T20:10:00"/>
        <d v="1899-12-30T20:13:00"/>
        <d v="1899-12-30T20:14:00"/>
        <d v="1899-12-30T20:15:00"/>
        <d v="1899-12-30T20:18:00"/>
        <d v="1899-12-30T20:19:00"/>
        <d v="1899-12-30T20:21:00"/>
        <d v="1899-12-30T20:23:00"/>
        <d v="1899-12-30T20:24:00"/>
        <d v="1899-12-30T20:26:00"/>
        <d v="1899-12-30T20:29:00"/>
        <d v="1899-12-30T20:30:00"/>
        <d v="1899-12-30T20:31:00"/>
        <d v="1899-12-30T20:32:00"/>
        <d v="1899-12-30T20:33:00"/>
        <d v="1899-12-30T20:34:00"/>
        <d v="1899-12-30T20:35:00"/>
        <d v="1899-12-30T20:36:00"/>
        <d v="1899-12-30T20:37:00"/>
        <d v="1899-12-30T20:38:00"/>
        <d v="1899-12-30T20:39:00"/>
        <d v="1899-12-30T20:40:00"/>
        <d v="1899-12-30T20:42:00"/>
        <d v="1899-12-30T20:43:00"/>
        <d v="1899-12-30T20:44:00"/>
        <d v="1899-12-30T20:46:00"/>
        <d v="1899-12-30T20:47:00"/>
        <d v="1899-12-30T20:48:00"/>
        <d v="1899-12-30T20:50:00"/>
        <d v="1899-12-30T20:51:00"/>
        <d v="1899-12-30T20:52:00"/>
        <d v="1899-12-30T20:54:00"/>
        <d v="1899-12-30T20:55:00"/>
        <d v="1899-12-30T20:57:00"/>
        <d v="1899-12-30T20:59:00"/>
      </sharedItems>
      <extLst>
        <ext xmlns:x15="http://schemas.microsoft.com/office/spreadsheetml/2010/11/main" uri="{4F2E5C28-24EA-4eb8-9CBF-B6C8F9C3D259}">
          <x15:cachedUniqueNames>
            <x15:cachedUniqueName index="0" name="[Data].[Time].&amp;[1899-12-30T10:00:00]"/>
            <x15:cachedUniqueName index="1" name="[Data].[Time].&amp;[1899-12-30T10:01:00]"/>
            <x15:cachedUniqueName index="2" name="[Data].[Time].&amp;[1899-12-30T10:02:00]"/>
            <x15:cachedUniqueName index="3" name="[Data].[Time].&amp;[1899-12-30T10:03:00]"/>
            <x15:cachedUniqueName index="4" name="[Data].[Time].&amp;[1899-12-30T10:04:00]"/>
            <x15:cachedUniqueName index="5" name="[Data].[Time].&amp;[1899-12-30T10:05:00]"/>
            <x15:cachedUniqueName index="6" name="[Data].[Time].&amp;[1899-12-30T10:06:00]"/>
            <x15:cachedUniqueName index="7" name="[Data].[Time].&amp;[1899-12-30T10:08:00]"/>
            <x15:cachedUniqueName index="8" name="[Data].[Time].&amp;[1899-12-30T10:09:00]"/>
            <x15:cachedUniqueName index="9" name="[Data].[Time].&amp;[1899-12-30T10:10:00]"/>
            <x15:cachedUniqueName index="10" name="[Data].[Time].&amp;[1899-12-30T10:11:00]"/>
            <x15:cachedUniqueName index="11" name="[Data].[Time].&amp;[1899-12-30T10:12:00]"/>
            <x15:cachedUniqueName index="12" name="[Data].[Time].&amp;[1899-12-30T10:13:00]"/>
            <x15:cachedUniqueName index="13" name="[Data].[Time].&amp;[1899-12-30T10:16:00]"/>
            <x15:cachedUniqueName index="14" name="[Data].[Time].&amp;[1899-12-30T10:17:00]"/>
            <x15:cachedUniqueName index="15" name="[Data].[Time].&amp;[1899-12-30T10:18:00]"/>
            <x15:cachedUniqueName index="16" name="[Data].[Time].&amp;[1899-12-30T10:19:00]"/>
            <x15:cachedUniqueName index="17" name="[Data].[Time].&amp;[1899-12-30T10:21:00]"/>
            <x15:cachedUniqueName index="18" name="[Data].[Time].&amp;[1899-12-30T10:22:00]"/>
            <x15:cachedUniqueName index="19" name="[Data].[Time].&amp;[1899-12-30T10:23:00]"/>
            <x15:cachedUniqueName index="20" name="[Data].[Time].&amp;[1899-12-30T10:25:00]"/>
            <x15:cachedUniqueName index="21" name="[Data].[Time].&amp;[1899-12-30T10:26:00]"/>
            <x15:cachedUniqueName index="22" name="[Data].[Time].&amp;[1899-12-30T10:28:00]"/>
            <x15:cachedUniqueName index="23" name="[Data].[Time].&amp;[1899-12-30T10:29:00]"/>
            <x15:cachedUniqueName index="24" name="[Data].[Time].&amp;[1899-12-30T10:30:00]"/>
            <x15:cachedUniqueName index="25" name="[Data].[Time].&amp;[1899-12-30T10:31:00]"/>
            <x15:cachedUniqueName index="26" name="[Data].[Time].&amp;[1899-12-30T10:33:00]"/>
            <x15:cachedUniqueName index="27" name="[Data].[Time].&amp;[1899-12-30T10:34:00]"/>
            <x15:cachedUniqueName index="28" name="[Data].[Time].&amp;[1899-12-30T10:36:00]"/>
            <x15:cachedUniqueName index="29" name="[Data].[Time].&amp;[1899-12-30T10:37:00]"/>
            <x15:cachedUniqueName index="30" name="[Data].[Time].&amp;[1899-12-30T10:38:00]"/>
            <x15:cachedUniqueName index="31" name="[Data].[Time].&amp;[1899-12-30T10:39:00]"/>
            <x15:cachedUniqueName index="32" name="[Data].[Time].&amp;[1899-12-30T10:40:00]"/>
            <x15:cachedUniqueName index="33" name="[Data].[Time].&amp;[1899-12-30T10:41:00]"/>
            <x15:cachedUniqueName index="34" name="[Data].[Time].&amp;[1899-12-30T10:42:00]"/>
            <x15:cachedUniqueName index="35" name="[Data].[Time].&amp;[1899-12-30T10:43:00]"/>
            <x15:cachedUniqueName index="36" name="[Data].[Time].&amp;[1899-12-30T10:44:00]"/>
            <x15:cachedUniqueName index="37" name="[Data].[Time].&amp;[1899-12-30T10:46:00]"/>
            <x15:cachedUniqueName index="38" name="[Data].[Time].&amp;[1899-12-30T10:48:00]"/>
            <x15:cachedUniqueName index="39" name="[Data].[Time].&amp;[1899-12-30T10:49:00]"/>
            <x15:cachedUniqueName index="40" name="[Data].[Time].&amp;[1899-12-30T10:50:00]"/>
            <x15:cachedUniqueName index="41" name="[Data].[Time].&amp;[1899-12-30T10:52:00]"/>
            <x15:cachedUniqueName index="42" name="[Data].[Time].&amp;[1899-12-30T10:53:00]"/>
            <x15:cachedUniqueName index="43" name="[Data].[Time].&amp;[1899-12-30T10:54:00]"/>
            <x15:cachedUniqueName index="44" name="[Data].[Time].&amp;[1899-12-30T10:55:00]"/>
            <x15:cachedUniqueName index="45" name="[Data].[Time].&amp;[1899-12-30T10:57:00]"/>
            <x15:cachedUniqueName index="46" name="[Data].[Time].&amp;[1899-12-30T10:58:00]"/>
            <x15:cachedUniqueName index="47" name="[Data].[Time].&amp;[1899-12-30T11:00:00]"/>
            <x15:cachedUniqueName index="48" name="[Data].[Time].&amp;[1899-12-30T11:01:00]"/>
            <x15:cachedUniqueName index="49" name="[Data].[Time].&amp;[1899-12-30T11:02:00]"/>
            <x15:cachedUniqueName index="50" name="[Data].[Time].&amp;[1899-12-30T11:03:00]"/>
            <x15:cachedUniqueName index="51" name="[Data].[Time].&amp;[1899-12-30T11:05:00]"/>
            <x15:cachedUniqueName index="52" name="[Data].[Time].&amp;[1899-12-30T11:06:00]"/>
            <x15:cachedUniqueName index="53" name="[Data].[Time].&amp;[1899-12-30T11:07:00]"/>
            <x15:cachedUniqueName index="54" name="[Data].[Time].&amp;[1899-12-30T11:09:00]"/>
            <x15:cachedUniqueName index="55" name="[Data].[Time].&amp;[1899-12-30T11:10:00]"/>
            <x15:cachedUniqueName index="56" name="[Data].[Time].&amp;[1899-12-30T11:12:00]"/>
            <x15:cachedUniqueName index="57" name="[Data].[Time].&amp;[1899-12-30T11:15:00]"/>
            <x15:cachedUniqueName index="58" name="[Data].[Time].&amp;[1899-12-30T11:16:00]"/>
            <x15:cachedUniqueName index="59" name="[Data].[Time].&amp;[1899-12-30T11:17:00]"/>
            <x15:cachedUniqueName index="60" name="[Data].[Time].&amp;[1899-12-30T11:18:00]"/>
            <x15:cachedUniqueName index="61" name="[Data].[Time].&amp;[1899-12-30T11:19:00]"/>
            <x15:cachedUniqueName index="62" name="[Data].[Time].&amp;[1899-12-30T11:20:00]"/>
            <x15:cachedUniqueName index="63" name="[Data].[Time].&amp;[1899-12-30T11:21:00]"/>
            <x15:cachedUniqueName index="64" name="[Data].[Time].&amp;[1899-12-30T11:22:00]"/>
            <x15:cachedUniqueName index="65" name="[Data].[Time].&amp;[1899-12-30T11:23:00]"/>
            <x15:cachedUniqueName index="66" name="[Data].[Time].&amp;[1899-12-30T11:24:00]"/>
            <x15:cachedUniqueName index="67" name="[Data].[Time].&amp;[1899-12-30T11:25:00]"/>
            <x15:cachedUniqueName index="68" name="[Data].[Time].&amp;[1899-12-30T11:26:00]"/>
            <x15:cachedUniqueName index="69" name="[Data].[Time].&amp;[1899-12-30T11:27:00]"/>
            <x15:cachedUniqueName index="70" name="[Data].[Time].&amp;[1899-12-30T11:28:00]"/>
            <x15:cachedUniqueName index="71" name="[Data].[Time].&amp;[1899-12-30T11:29:00]"/>
            <x15:cachedUniqueName index="72" name="[Data].[Time].&amp;[1899-12-30T11:30:00]"/>
            <x15:cachedUniqueName index="73" name="[Data].[Time].&amp;[1899-12-30T11:32:00]"/>
            <x15:cachedUniqueName index="74" name="[Data].[Time].&amp;[1899-12-30T11:33:00]"/>
            <x15:cachedUniqueName index="75" name="[Data].[Time].&amp;[1899-12-30T11:34:00]"/>
            <x15:cachedUniqueName index="76" name="[Data].[Time].&amp;[1899-12-30T11:36:00]"/>
            <x15:cachedUniqueName index="77" name="[Data].[Time].&amp;[1899-12-30T11:38:00]"/>
            <x15:cachedUniqueName index="78" name="[Data].[Time].&amp;[1899-12-30T11:39:00]"/>
            <x15:cachedUniqueName index="79" name="[Data].[Time].&amp;[1899-12-30T11:40:00]"/>
            <x15:cachedUniqueName index="80" name="[Data].[Time].&amp;[1899-12-30T11:42:00]"/>
            <x15:cachedUniqueName index="81" name="[Data].[Time].&amp;[1899-12-30T11:43:00]"/>
            <x15:cachedUniqueName index="82" name="[Data].[Time].&amp;[1899-12-30T11:44:00]"/>
            <x15:cachedUniqueName index="83" name="[Data].[Time].&amp;[1899-12-30T11:45:00]"/>
            <x15:cachedUniqueName index="84" name="[Data].[Time].&amp;[1899-12-30T11:46:00]"/>
            <x15:cachedUniqueName index="85" name="[Data].[Time].&amp;[1899-12-30T11:48:00]"/>
            <x15:cachedUniqueName index="86" name="[Data].[Time].&amp;[1899-12-30T11:49:00]"/>
            <x15:cachedUniqueName index="87" name="[Data].[Time].&amp;[1899-12-30T11:51:00]"/>
            <x15:cachedUniqueName index="88" name="[Data].[Time].&amp;[1899-12-30T11:52:00]"/>
            <x15:cachedUniqueName index="89" name="[Data].[Time].&amp;[1899-12-30T11:55:00]"/>
            <x15:cachedUniqueName index="90" name="[Data].[Time].&amp;[1899-12-30T11:56:00]"/>
            <x15:cachedUniqueName index="91" name="[Data].[Time].&amp;[1899-12-30T11:57:00]"/>
            <x15:cachedUniqueName index="92" name="[Data].[Time].&amp;[1899-12-30T11:58:00]"/>
            <x15:cachedUniqueName index="93" name="[Data].[Time].&amp;[1899-12-30T11:59:00]"/>
            <x15:cachedUniqueName index="94" name="[Data].[Time].&amp;[1899-12-30T12:01:00]"/>
            <x15:cachedUniqueName index="95" name="[Data].[Time].&amp;[1899-12-30T12:02:00]"/>
            <x15:cachedUniqueName index="96" name="[Data].[Time].&amp;[1899-12-30T12:04:00]"/>
            <x15:cachedUniqueName index="97" name="[Data].[Time].&amp;[1899-12-30T12:07:00]"/>
            <x15:cachedUniqueName index="98" name="[Data].[Time].&amp;[1899-12-30T12:08:00]"/>
            <x15:cachedUniqueName index="99" name="[Data].[Time].&amp;[1899-12-30T12:09:00]"/>
            <x15:cachedUniqueName index="100" name="[Data].[Time].&amp;[1899-12-30T12:10:00]"/>
            <x15:cachedUniqueName index="101" name="[Data].[Time].&amp;[1899-12-30T12:12:00]"/>
            <x15:cachedUniqueName index="102" name="[Data].[Time].&amp;[1899-12-30T12:14:00]"/>
            <x15:cachedUniqueName index="103" name="[Data].[Time].&amp;[1899-12-30T12:15:00]"/>
            <x15:cachedUniqueName index="104" name="[Data].[Time].&amp;[1899-12-30T12:16:00]"/>
            <x15:cachedUniqueName index="105" name="[Data].[Time].&amp;[1899-12-30T12:17:00]"/>
            <x15:cachedUniqueName index="106" name="[Data].[Time].&amp;[1899-12-30T12:20:00]"/>
            <x15:cachedUniqueName index="107" name="[Data].[Time].&amp;[1899-12-30T12:21:00]"/>
            <x15:cachedUniqueName index="108" name="[Data].[Time].&amp;[1899-12-30T12:22:00]"/>
            <x15:cachedUniqueName index="109" name="[Data].[Time].&amp;[1899-12-30T12:23:00]"/>
            <x15:cachedUniqueName index="110" name="[Data].[Time].&amp;[1899-12-30T12:24:00]"/>
            <x15:cachedUniqueName index="111" name="[Data].[Time].&amp;[1899-12-30T12:25:00]"/>
            <x15:cachedUniqueName index="112" name="[Data].[Time].&amp;[1899-12-30T12:27:00]"/>
            <x15:cachedUniqueName index="113" name="[Data].[Time].&amp;[1899-12-30T12:28:00]"/>
            <x15:cachedUniqueName index="114" name="[Data].[Time].&amp;[1899-12-30T12:29:00]"/>
            <x15:cachedUniqueName index="115" name="[Data].[Time].&amp;[1899-12-30T12:30:00]"/>
            <x15:cachedUniqueName index="116" name="[Data].[Time].&amp;[1899-12-30T12:31:00]"/>
            <x15:cachedUniqueName index="117" name="[Data].[Time].&amp;[1899-12-30T12:32:00]"/>
            <x15:cachedUniqueName index="118" name="[Data].[Time].&amp;[1899-12-30T12:34:00]"/>
            <x15:cachedUniqueName index="119" name="[Data].[Time].&amp;[1899-12-30T12:35:00]"/>
            <x15:cachedUniqueName index="120" name="[Data].[Time].&amp;[1899-12-30T12:36:00]"/>
            <x15:cachedUniqueName index="121" name="[Data].[Time].&amp;[1899-12-30T12:37:00]"/>
            <x15:cachedUniqueName index="122" name="[Data].[Time].&amp;[1899-12-30T12:38:00]"/>
            <x15:cachedUniqueName index="123" name="[Data].[Time].&amp;[1899-12-30T12:39:00]"/>
            <x15:cachedUniqueName index="124" name="[Data].[Time].&amp;[1899-12-30T12:40:00]"/>
            <x15:cachedUniqueName index="125" name="[Data].[Time].&amp;[1899-12-30T12:41:00]"/>
            <x15:cachedUniqueName index="126" name="[Data].[Time].&amp;[1899-12-30T12:42:00]"/>
            <x15:cachedUniqueName index="127" name="[Data].[Time].&amp;[1899-12-30T12:43:00]"/>
            <x15:cachedUniqueName index="128" name="[Data].[Time].&amp;[1899-12-30T12:44:00]"/>
            <x15:cachedUniqueName index="129" name="[Data].[Time].&amp;[1899-12-30T12:45:00]"/>
            <x15:cachedUniqueName index="130" name="[Data].[Time].&amp;[1899-12-30T12:46:00]"/>
            <x15:cachedUniqueName index="131" name="[Data].[Time].&amp;[1899-12-30T12:47:00]"/>
            <x15:cachedUniqueName index="132" name="[Data].[Time].&amp;[1899-12-30T12:48:00]"/>
            <x15:cachedUniqueName index="133" name="[Data].[Time].&amp;[1899-12-30T12:50:00]"/>
            <x15:cachedUniqueName index="134" name="[Data].[Time].&amp;[1899-12-30T12:51:00]"/>
            <x15:cachedUniqueName index="135" name="[Data].[Time].&amp;[1899-12-30T12:52:00]"/>
            <x15:cachedUniqueName index="136" name="[Data].[Time].&amp;[1899-12-30T12:55:00]"/>
            <x15:cachedUniqueName index="137" name="[Data].[Time].&amp;[1899-12-30T12:56:00]"/>
            <x15:cachedUniqueName index="138" name="[Data].[Time].&amp;[1899-12-30T12:58:00]"/>
            <x15:cachedUniqueName index="139" name="[Data].[Time].&amp;[1899-12-30T13:00:00]"/>
            <x15:cachedUniqueName index="140" name="[Data].[Time].&amp;[1899-12-30T13:01:00]"/>
            <x15:cachedUniqueName index="141" name="[Data].[Time].&amp;[1899-12-30T13:02:00]"/>
            <x15:cachedUniqueName index="142" name="[Data].[Time].&amp;[1899-12-30T13:03:00]"/>
            <x15:cachedUniqueName index="143" name="[Data].[Time].&amp;[1899-12-30T13:05:00]"/>
            <x15:cachedUniqueName index="144" name="[Data].[Time].&amp;[1899-12-30T13:06:00]"/>
            <x15:cachedUniqueName index="145" name="[Data].[Time].&amp;[1899-12-30T13:07:00]"/>
            <x15:cachedUniqueName index="146" name="[Data].[Time].&amp;[1899-12-30T13:08:00]"/>
            <x15:cachedUniqueName index="147" name="[Data].[Time].&amp;[1899-12-30T13:10:00]"/>
            <x15:cachedUniqueName index="148" name="[Data].[Time].&amp;[1899-12-30T13:11:00]"/>
            <x15:cachedUniqueName index="149" name="[Data].[Time].&amp;[1899-12-30T13:12:00]"/>
            <x15:cachedUniqueName index="150" name="[Data].[Time].&amp;[1899-12-30T13:14:00]"/>
            <x15:cachedUniqueName index="151" name="[Data].[Time].&amp;[1899-12-30T13:18:00]"/>
            <x15:cachedUniqueName index="152" name="[Data].[Time].&amp;[1899-12-30T13:19:00]"/>
            <x15:cachedUniqueName index="153" name="[Data].[Time].&amp;[1899-12-30T13:21:00]"/>
            <x15:cachedUniqueName index="154" name="[Data].[Time].&amp;[1899-12-30T13:22:00]"/>
            <x15:cachedUniqueName index="155" name="[Data].[Time].&amp;[1899-12-30T13:23:00]"/>
            <x15:cachedUniqueName index="156" name="[Data].[Time].&amp;[1899-12-30T13:24:00]"/>
            <x15:cachedUniqueName index="157" name="[Data].[Time].&amp;[1899-12-30T13:25:00]"/>
            <x15:cachedUniqueName index="158" name="[Data].[Time].&amp;[1899-12-30T13:26:00]"/>
            <x15:cachedUniqueName index="159" name="[Data].[Time].&amp;[1899-12-30T13:27:00]"/>
            <x15:cachedUniqueName index="160" name="[Data].[Time].&amp;[1899-12-30T13:28:00]"/>
            <x15:cachedUniqueName index="161" name="[Data].[Time].&amp;[1899-12-30T13:29:00]"/>
            <x15:cachedUniqueName index="162" name="[Data].[Time].&amp;[1899-12-30T13:30:00]"/>
            <x15:cachedUniqueName index="163" name="[Data].[Time].&amp;[1899-12-30T13:32:00]"/>
            <x15:cachedUniqueName index="164" name="[Data].[Time].&amp;[1899-12-30T13:33:00]"/>
            <x15:cachedUniqueName index="165" name="[Data].[Time].&amp;[1899-12-30T13:34:00]"/>
            <x15:cachedUniqueName index="166" name="[Data].[Time].&amp;[1899-12-30T13:35:00]"/>
            <x15:cachedUniqueName index="167" name="[Data].[Time].&amp;[1899-12-30T13:37:00]"/>
            <x15:cachedUniqueName index="168" name="[Data].[Time].&amp;[1899-12-30T13:38:00]"/>
            <x15:cachedUniqueName index="169" name="[Data].[Time].&amp;[1899-12-30T13:40:00]"/>
            <x15:cachedUniqueName index="170" name="[Data].[Time].&amp;[1899-12-30T13:41:00]"/>
            <x15:cachedUniqueName index="171" name="[Data].[Time].&amp;[1899-12-30T13:42:00]"/>
            <x15:cachedUniqueName index="172" name="[Data].[Time].&amp;[1899-12-30T13:44:00]"/>
            <x15:cachedUniqueName index="173" name="[Data].[Time].&amp;[1899-12-30T13:45:00]"/>
            <x15:cachedUniqueName index="174" name="[Data].[Time].&amp;[1899-12-30T13:46:00]"/>
            <x15:cachedUniqueName index="175" name="[Data].[Time].&amp;[1899-12-30T13:47:00]"/>
            <x15:cachedUniqueName index="176" name="[Data].[Time].&amp;[1899-12-30T13:48:00]"/>
            <x15:cachedUniqueName index="177" name="[Data].[Time].&amp;[1899-12-30T13:49:00]"/>
            <x15:cachedUniqueName index="178" name="[Data].[Time].&amp;[1899-12-30T13:50:00]"/>
            <x15:cachedUniqueName index="179" name="[Data].[Time].&amp;[1899-12-30T13:51:00]"/>
            <x15:cachedUniqueName index="180" name="[Data].[Time].&amp;[1899-12-30T13:52:00]"/>
            <x15:cachedUniqueName index="181" name="[Data].[Time].&amp;[1899-12-30T13:53:00]"/>
            <x15:cachedUniqueName index="182" name="[Data].[Time].&amp;[1899-12-30T13:54:00]"/>
            <x15:cachedUniqueName index="183" name="[Data].[Time].&amp;[1899-12-30T13:55:00]"/>
            <x15:cachedUniqueName index="184" name="[Data].[Time].&amp;[1899-12-30T13:56:00]"/>
            <x15:cachedUniqueName index="185" name="[Data].[Time].&amp;[1899-12-30T13:57:00]"/>
            <x15:cachedUniqueName index="186" name="[Data].[Time].&amp;[1899-12-30T13:58:00]"/>
            <x15:cachedUniqueName index="187" name="[Data].[Time].&amp;[1899-12-30T13:59:00]"/>
            <x15:cachedUniqueName index="188" name="[Data].[Time].&amp;[1899-12-30T14:00:00]"/>
            <x15:cachedUniqueName index="189" name="[Data].[Time].&amp;[1899-12-30T14:03:00]"/>
            <x15:cachedUniqueName index="190" name="[Data].[Time].&amp;[1899-12-30T14:04:00]"/>
            <x15:cachedUniqueName index="191" name="[Data].[Time].&amp;[1899-12-30T14:05:00]"/>
            <x15:cachedUniqueName index="192" name="[Data].[Time].&amp;[1899-12-30T14:06:00]"/>
            <x15:cachedUniqueName index="193" name="[Data].[Time].&amp;[1899-12-30T14:08:00]"/>
            <x15:cachedUniqueName index="194" name="[Data].[Time].&amp;[1899-12-30T14:11:00]"/>
            <x15:cachedUniqueName index="195" name="[Data].[Time].&amp;[1899-12-30T14:12:00]"/>
            <x15:cachedUniqueName index="196" name="[Data].[Time].&amp;[1899-12-30T14:13:00]"/>
            <x15:cachedUniqueName index="197" name="[Data].[Time].&amp;[1899-12-30T14:14:00]"/>
            <x15:cachedUniqueName index="198" name="[Data].[Time].&amp;[1899-12-30T14:15:00]"/>
            <x15:cachedUniqueName index="199" name="[Data].[Time].&amp;[1899-12-30T14:16:00]"/>
            <x15:cachedUniqueName index="200" name="[Data].[Time].&amp;[1899-12-30T14:19:00]"/>
            <x15:cachedUniqueName index="201" name="[Data].[Time].&amp;[1899-12-30T14:20:00]"/>
            <x15:cachedUniqueName index="202" name="[Data].[Time].&amp;[1899-12-30T14:21:00]"/>
            <x15:cachedUniqueName index="203" name="[Data].[Time].&amp;[1899-12-30T14:22:00]"/>
            <x15:cachedUniqueName index="204" name="[Data].[Time].&amp;[1899-12-30T14:24:00]"/>
            <x15:cachedUniqueName index="205" name="[Data].[Time].&amp;[1899-12-30T14:25:00]"/>
            <x15:cachedUniqueName index="206" name="[Data].[Time].&amp;[1899-12-30T14:26:00]"/>
            <x15:cachedUniqueName index="207" name="[Data].[Time].&amp;[1899-12-30T14:27:00]"/>
            <x15:cachedUniqueName index="208" name="[Data].[Time].&amp;[1899-12-30T14:28:00]"/>
            <x15:cachedUniqueName index="209" name="[Data].[Time].&amp;[1899-12-30T14:29:00]"/>
            <x15:cachedUniqueName index="210" name="[Data].[Time].&amp;[1899-12-30T14:30:00]"/>
            <x15:cachedUniqueName index="211" name="[Data].[Time].&amp;[1899-12-30T14:31:00]"/>
            <x15:cachedUniqueName index="212" name="[Data].[Time].&amp;[1899-12-30T14:33:00]"/>
            <x15:cachedUniqueName index="213" name="[Data].[Time].&amp;[1899-12-30T14:35:00]"/>
            <x15:cachedUniqueName index="214" name="[Data].[Time].&amp;[1899-12-30T14:36:00]"/>
            <x15:cachedUniqueName index="215" name="[Data].[Time].&amp;[1899-12-30T14:38:00]"/>
            <x15:cachedUniqueName index="216" name="[Data].[Time].&amp;[1899-12-30T14:40:00]"/>
            <x15:cachedUniqueName index="217" name="[Data].[Time].&amp;[1899-12-30T14:41:00]"/>
            <x15:cachedUniqueName index="218" name="[Data].[Time].&amp;[1899-12-30T14:42:00]"/>
            <x15:cachedUniqueName index="219" name="[Data].[Time].&amp;[1899-12-30T14:43:00]"/>
            <x15:cachedUniqueName index="220" name="[Data].[Time].&amp;[1899-12-30T14:44:00]"/>
            <x15:cachedUniqueName index="221" name="[Data].[Time].&amp;[1899-12-30T14:45:00]"/>
            <x15:cachedUniqueName index="222" name="[Data].[Time].&amp;[1899-12-30T14:47:00]"/>
            <x15:cachedUniqueName index="223" name="[Data].[Time].&amp;[1899-12-30T14:48:00]"/>
            <x15:cachedUniqueName index="224" name="[Data].[Time].&amp;[1899-12-30T14:49:00]"/>
            <x15:cachedUniqueName index="225" name="[Data].[Time].&amp;[1899-12-30T14:50:00]"/>
            <x15:cachedUniqueName index="226" name="[Data].[Time].&amp;[1899-12-30T14:51:00]"/>
            <x15:cachedUniqueName index="227" name="[Data].[Time].&amp;[1899-12-30T14:53:00]"/>
            <x15:cachedUniqueName index="228" name="[Data].[Time].&amp;[1899-12-30T14:55:00]"/>
            <x15:cachedUniqueName index="229" name="[Data].[Time].&amp;[1899-12-30T14:57:00]"/>
            <x15:cachedUniqueName index="230" name="[Data].[Time].&amp;[1899-12-30T14:58:00]"/>
            <x15:cachedUniqueName index="231" name="[Data].[Time].&amp;[1899-12-30T15:00:00]"/>
            <x15:cachedUniqueName index="232" name="[Data].[Time].&amp;[1899-12-30T15:01:00]"/>
            <x15:cachedUniqueName index="233" name="[Data].[Time].&amp;[1899-12-30T15:02:00]"/>
            <x15:cachedUniqueName index="234" name="[Data].[Time].&amp;[1899-12-30T15:04:00]"/>
            <x15:cachedUniqueName index="235" name="[Data].[Time].&amp;[1899-12-30T15:05:00]"/>
            <x15:cachedUniqueName index="236" name="[Data].[Time].&amp;[1899-12-30T15:06:00]"/>
            <x15:cachedUniqueName index="237" name="[Data].[Time].&amp;[1899-12-30T15:07:00]"/>
            <x15:cachedUniqueName index="238" name="[Data].[Time].&amp;[1899-12-30T15:08:00]"/>
            <x15:cachedUniqueName index="239" name="[Data].[Time].&amp;[1899-12-30T15:09:00]"/>
            <x15:cachedUniqueName index="240" name="[Data].[Time].&amp;[1899-12-30T15:10:00]"/>
            <x15:cachedUniqueName index="241" name="[Data].[Time].&amp;[1899-12-30T15:11:00]"/>
            <x15:cachedUniqueName index="242" name="[Data].[Time].&amp;[1899-12-30T15:12:00]"/>
            <x15:cachedUniqueName index="243" name="[Data].[Time].&amp;[1899-12-30T15:14:00]"/>
            <x15:cachedUniqueName index="244" name="[Data].[Time].&amp;[1899-12-30T15:15:00]"/>
            <x15:cachedUniqueName index="245" name="[Data].[Time].&amp;[1899-12-30T15:16:00]"/>
            <x15:cachedUniqueName index="246" name="[Data].[Time].&amp;[1899-12-30T15:17:00]"/>
            <x15:cachedUniqueName index="247" name="[Data].[Time].&amp;[1899-12-30T15:18:00]"/>
            <x15:cachedUniqueName index="248" name="[Data].[Time].&amp;[1899-12-30T15:19:00]"/>
            <x15:cachedUniqueName index="249" name="[Data].[Time].&amp;[1899-12-30T15:20:00]"/>
            <x15:cachedUniqueName index="250" name="[Data].[Time].&amp;[1899-12-30T15:21:00]"/>
            <x15:cachedUniqueName index="251" name="[Data].[Time].&amp;[1899-12-30T15:23:00]"/>
            <x15:cachedUniqueName index="252" name="[Data].[Time].&amp;[1899-12-30T15:24:00]"/>
            <x15:cachedUniqueName index="253" name="[Data].[Time].&amp;[1899-12-30T15:25:00]"/>
            <x15:cachedUniqueName index="254" name="[Data].[Time].&amp;[1899-12-30T15:26:00]"/>
            <x15:cachedUniqueName index="255" name="[Data].[Time].&amp;[1899-12-30T15:27:00]"/>
            <x15:cachedUniqueName index="256" name="[Data].[Time].&amp;[1899-12-30T15:28:00]"/>
            <x15:cachedUniqueName index="257" name="[Data].[Time].&amp;[1899-12-30T15:29:00]"/>
            <x15:cachedUniqueName index="258" name="[Data].[Time].&amp;[1899-12-30T15:30:00]"/>
            <x15:cachedUniqueName index="259" name="[Data].[Time].&amp;[1899-12-30T15:31:00]"/>
            <x15:cachedUniqueName index="260" name="[Data].[Time].&amp;[1899-12-30T15:32:00]"/>
            <x15:cachedUniqueName index="261" name="[Data].[Time].&amp;[1899-12-30T15:33:00]"/>
            <x15:cachedUniqueName index="262" name="[Data].[Time].&amp;[1899-12-30T15:34:00]"/>
            <x15:cachedUniqueName index="263" name="[Data].[Time].&amp;[1899-12-30T15:36:00]"/>
            <x15:cachedUniqueName index="264" name="[Data].[Time].&amp;[1899-12-30T15:37:00]"/>
            <x15:cachedUniqueName index="265" name="[Data].[Time].&amp;[1899-12-30T15:39:00]"/>
            <x15:cachedUniqueName index="266" name="[Data].[Time].&amp;[1899-12-30T15:40:00]"/>
            <x15:cachedUniqueName index="267" name="[Data].[Time].&amp;[1899-12-30T15:42:00]"/>
            <x15:cachedUniqueName index="268" name="[Data].[Time].&amp;[1899-12-30T15:43:00]"/>
            <x15:cachedUniqueName index="269" name="[Data].[Time].&amp;[1899-12-30T15:44:00]"/>
            <x15:cachedUniqueName index="270" name="[Data].[Time].&amp;[1899-12-30T15:45:00]"/>
            <x15:cachedUniqueName index="271" name="[Data].[Time].&amp;[1899-12-30T15:46:00]"/>
            <x15:cachedUniqueName index="272" name="[Data].[Time].&amp;[1899-12-30T15:47:00]"/>
            <x15:cachedUniqueName index="273" name="[Data].[Time].&amp;[1899-12-30T15:48:00]"/>
            <x15:cachedUniqueName index="274" name="[Data].[Time].&amp;[1899-12-30T15:49:00]"/>
            <x15:cachedUniqueName index="275" name="[Data].[Time].&amp;[1899-12-30T15:51:00]"/>
            <x15:cachedUniqueName index="276" name="[Data].[Time].&amp;[1899-12-30T15:52:00]"/>
            <x15:cachedUniqueName index="277" name="[Data].[Time].&amp;[1899-12-30T15:53:00]"/>
            <x15:cachedUniqueName index="278" name="[Data].[Time].&amp;[1899-12-30T15:54:00]"/>
            <x15:cachedUniqueName index="279" name="[Data].[Time].&amp;[1899-12-30T15:55:00]"/>
            <x15:cachedUniqueName index="280" name="[Data].[Time].&amp;[1899-12-30T15:56:00]"/>
            <x15:cachedUniqueName index="281" name="[Data].[Time].&amp;[1899-12-30T15:57:00]"/>
            <x15:cachedUniqueName index="282" name="[Data].[Time].&amp;[1899-12-30T15:58:00]"/>
            <x15:cachedUniqueName index="283" name="[Data].[Time].&amp;[1899-12-30T15:59:00]"/>
            <x15:cachedUniqueName index="284" name="[Data].[Time].&amp;[1899-12-30T16:03:00]"/>
            <x15:cachedUniqueName index="285" name="[Data].[Time].&amp;[1899-12-30T16:04:00]"/>
            <x15:cachedUniqueName index="286" name="[Data].[Time].&amp;[1899-12-30T16:05:00]"/>
            <x15:cachedUniqueName index="287" name="[Data].[Time].&amp;[1899-12-30T16:06:00]"/>
            <x15:cachedUniqueName index="288" name="[Data].[Time].&amp;[1899-12-30T16:07:00]"/>
            <x15:cachedUniqueName index="289" name="[Data].[Time].&amp;[1899-12-30T16:08:00]"/>
            <x15:cachedUniqueName index="290" name="[Data].[Time].&amp;[1899-12-30T16:09:00]"/>
            <x15:cachedUniqueName index="291" name="[Data].[Time].&amp;[1899-12-30T16:10:00]"/>
            <x15:cachedUniqueName index="292" name="[Data].[Time].&amp;[1899-12-30T16:11:00]"/>
            <x15:cachedUniqueName index="293" name="[Data].[Time].&amp;[1899-12-30T16:16:00]"/>
            <x15:cachedUniqueName index="294" name="[Data].[Time].&amp;[1899-12-30T16:17:00]"/>
            <x15:cachedUniqueName index="295" name="[Data].[Time].&amp;[1899-12-30T16:18:00]"/>
            <x15:cachedUniqueName index="296" name="[Data].[Time].&amp;[1899-12-30T16:19:00]"/>
            <x15:cachedUniqueName index="297" name="[Data].[Time].&amp;[1899-12-30T16:20:00]"/>
            <x15:cachedUniqueName index="298" name="[Data].[Time].&amp;[1899-12-30T16:21:00]"/>
            <x15:cachedUniqueName index="299" name="[Data].[Time].&amp;[1899-12-30T16:23:00]"/>
            <x15:cachedUniqueName index="300" name="[Data].[Time].&amp;[1899-12-30T16:24:00]"/>
            <x15:cachedUniqueName index="301" name="[Data].[Time].&amp;[1899-12-30T16:26:00]"/>
            <x15:cachedUniqueName index="302" name="[Data].[Time].&amp;[1899-12-30T16:27:00]"/>
            <x15:cachedUniqueName index="303" name="[Data].[Time].&amp;[1899-12-30T16:28:00]"/>
            <x15:cachedUniqueName index="304" name="[Data].[Time].&amp;[1899-12-30T16:30:00]"/>
            <x15:cachedUniqueName index="305" name="[Data].[Time].&amp;[1899-12-30T16:31:00]"/>
            <x15:cachedUniqueName index="306" name="[Data].[Time].&amp;[1899-12-30T16:32:00]"/>
            <x15:cachedUniqueName index="307" name="[Data].[Time].&amp;[1899-12-30T16:33:00]"/>
            <x15:cachedUniqueName index="308" name="[Data].[Time].&amp;[1899-12-30T16:34:00]"/>
            <x15:cachedUniqueName index="309" name="[Data].[Time].&amp;[1899-12-30T16:35:00]"/>
            <x15:cachedUniqueName index="310" name="[Data].[Time].&amp;[1899-12-30T16:36:00]"/>
            <x15:cachedUniqueName index="311" name="[Data].[Time].&amp;[1899-12-30T16:37:00]"/>
            <x15:cachedUniqueName index="312" name="[Data].[Time].&amp;[1899-12-30T16:38:00]"/>
            <x15:cachedUniqueName index="313" name="[Data].[Time].&amp;[1899-12-30T16:40:00]"/>
            <x15:cachedUniqueName index="314" name="[Data].[Time].&amp;[1899-12-30T16:42:00]"/>
            <x15:cachedUniqueName index="315" name="[Data].[Time].&amp;[1899-12-30T16:43:00]"/>
            <x15:cachedUniqueName index="316" name="[Data].[Time].&amp;[1899-12-30T16:44:00]"/>
            <x15:cachedUniqueName index="317" name="[Data].[Time].&amp;[1899-12-30T16:45:00]"/>
            <x15:cachedUniqueName index="318" name="[Data].[Time].&amp;[1899-12-30T16:46:00]"/>
            <x15:cachedUniqueName index="319" name="[Data].[Time].&amp;[1899-12-30T16:47:00]"/>
            <x15:cachedUniqueName index="320" name="[Data].[Time].&amp;[1899-12-30T16:48:00]"/>
            <x15:cachedUniqueName index="321" name="[Data].[Time].&amp;[1899-12-30T16:49:00]"/>
            <x15:cachedUniqueName index="322" name="[Data].[Time].&amp;[1899-12-30T16:50:00]"/>
            <x15:cachedUniqueName index="323" name="[Data].[Time].&amp;[1899-12-30T16:51:00]"/>
            <x15:cachedUniqueName index="324" name="[Data].[Time].&amp;[1899-12-30T16:52:00]"/>
            <x15:cachedUniqueName index="325" name="[Data].[Time].&amp;[1899-12-30T16:53:00]"/>
            <x15:cachedUniqueName index="326" name="[Data].[Time].&amp;[1899-12-30T16:54:00]"/>
            <x15:cachedUniqueName index="327" name="[Data].[Time].&amp;[1899-12-30T16:55:00]"/>
            <x15:cachedUniqueName index="328" name="[Data].[Time].&amp;[1899-12-30T16:57:00]"/>
            <x15:cachedUniqueName index="329" name="[Data].[Time].&amp;[1899-12-30T16:58:00]"/>
            <x15:cachedUniqueName index="330" name="[Data].[Time].&amp;[1899-12-30T16:59:00]"/>
            <x15:cachedUniqueName index="331" name="[Data].[Time].&amp;[1899-12-30T17:01:00]"/>
            <x15:cachedUniqueName index="332" name="[Data].[Time].&amp;[1899-12-30T17:03:00]"/>
            <x15:cachedUniqueName index="333" name="[Data].[Time].&amp;[1899-12-30T17:04:00]"/>
            <x15:cachedUniqueName index="334" name="[Data].[Time].&amp;[1899-12-30T17:07:00]"/>
            <x15:cachedUniqueName index="335" name="[Data].[Time].&amp;[1899-12-30T17:08:00]"/>
            <x15:cachedUniqueName index="336" name="[Data].[Time].&amp;[1899-12-30T17:09:00]"/>
            <x15:cachedUniqueName index="337" name="[Data].[Time].&amp;[1899-12-30T17:10:00]"/>
            <x15:cachedUniqueName index="338" name="[Data].[Time].&amp;[1899-12-30T17:11:00]"/>
            <x15:cachedUniqueName index="339" name="[Data].[Time].&amp;[1899-12-30T17:12:00]"/>
            <x15:cachedUniqueName index="340" name="[Data].[Time].&amp;[1899-12-30T17:13:00]"/>
            <x15:cachedUniqueName index="341" name="[Data].[Time].&amp;[1899-12-30T17:15:00]"/>
            <x15:cachedUniqueName index="342" name="[Data].[Time].&amp;[1899-12-30T17:16:00]"/>
            <x15:cachedUniqueName index="343" name="[Data].[Time].&amp;[1899-12-30T17:17:00]"/>
            <x15:cachedUniqueName index="344" name="[Data].[Time].&amp;[1899-12-30T17:20:00]"/>
            <x15:cachedUniqueName index="345" name="[Data].[Time].&amp;[1899-12-30T17:22:00]"/>
            <x15:cachedUniqueName index="346" name="[Data].[Time].&amp;[1899-12-30T17:24:00]"/>
            <x15:cachedUniqueName index="347" name="[Data].[Time].&amp;[1899-12-30T17:26:00]"/>
            <x15:cachedUniqueName index="348" name="[Data].[Time].&amp;[1899-12-30T17:27:00]"/>
            <x15:cachedUniqueName index="349" name="[Data].[Time].&amp;[1899-12-30T17:29:00]"/>
            <x15:cachedUniqueName index="350" name="[Data].[Time].&amp;[1899-12-30T17:30:00]"/>
            <x15:cachedUniqueName index="351" name="[Data].[Time].&amp;[1899-12-30T17:34:00]"/>
            <x15:cachedUniqueName index="352" name="[Data].[Time].&amp;[1899-12-30T17:35:00]"/>
            <x15:cachedUniqueName index="353" name="[Data].[Time].&amp;[1899-12-30T17:36:00]"/>
            <x15:cachedUniqueName index="354" name="[Data].[Time].&amp;[1899-12-30T17:37:00]"/>
            <x15:cachedUniqueName index="355" name="[Data].[Time].&amp;[1899-12-30T17:38:00]"/>
            <x15:cachedUniqueName index="356" name="[Data].[Time].&amp;[1899-12-30T17:43:00]"/>
            <x15:cachedUniqueName index="357" name="[Data].[Time].&amp;[1899-12-30T17:44:00]"/>
            <x15:cachedUniqueName index="358" name="[Data].[Time].&amp;[1899-12-30T17:45:00]"/>
            <x15:cachedUniqueName index="359" name="[Data].[Time].&amp;[1899-12-30T17:46:00]"/>
            <x15:cachedUniqueName index="360" name="[Data].[Time].&amp;[1899-12-30T17:47:00]"/>
            <x15:cachedUniqueName index="361" name="[Data].[Time].&amp;[1899-12-30T17:48:00]"/>
            <x15:cachedUniqueName index="362" name="[Data].[Time].&amp;[1899-12-30T17:49:00]"/>
            <x15:cachedUniqueName index="363" name="[Data].[Time].&amp;[1899-12-30T17:52:00]"/>
            <x15:cachedUniqueName index="364" name="[Data].[Time].&amp;[1899-12-30T17:53:00]"/>
            <x15:cachedUniqueName index="365" name="[Data].[Time].&amp;[1899-12-30T17:54:00]"/>
            <x15:cachedUniqueName index="366" name="[Data].[Time].&amp;[1899-12-30T17:55:00]"/>
            <x15:cachedUniqueName index="367" name="[Data].[Time].&amp;[1899-12-30T17:56:00]"/>
            <x15:cachedUniqueName index="368" name="[Data].[Time].&amp;[1899-12-30T17:58:00]"/>
            <x15:cachedUniqueName index="369" name="[Data].[Time].&amp;[1899-12-30T17:59:00]"/>
            <x15:cachedUniqueName index="370" name="[Data].[Time].&amp;[1899-12-30T18:00:00]"/>
            <x15:cachedUniqueName index="371" name="[Data].[Time].&amp;[1899-12-30T18:01:00]"/>
            <x15:cachedUniqueName index="372" name="[Data].[Time].&amp;[1899-12-30T18:02:00]"/>
            <x15:cachedUniqueName index="373" name="[Data].[Time].&amp;[1899-12-30T18:03:00]"/>
            <x15:cachedUniqueName index="374" name="[Data].[Time].&amp;[1899-12-30T18:04:00]"/>
            <x15:cachedUniqueName index="375" name="[Data].[Time].&amp;[1899-12-30T18:05:00]"/>
            <x15:cachedUniqueName index="376" name="[Data].[Time].&amp;[1899-12-30T18:06:00]"/>
            <x15:cachedUniqueName index="377" name="[Data].[Time].&amp;[1899-12-30T18:07:00]"/>
            <x15:cachedUniqueName index="378" name="[Data].[Time].&amp;[1899-12-30T18:08:00]"/>
            <x15:cachedUniqueName index="379" name="[Data].[Time].&amp;[1899-12-30T18:09:00]"/>
            <x15:cachedUniqueName index="380" name="[Data].[Time].&amp;[1899-12-30T18:10:00]"/>
            <x15:cachedUniqueName index="381" name="[Data].[Time].&amp;[1899-12-30T18:13:00]"/>
            <x15:cachedUniqueName index="382" name="[Data].[Time].&amp;[1899-12-30T18:14:00]"/>
            <x15:cachedUniqueName index="383" name="[Data].[Time].&amp;[1899-12-30T18:15:00]"/>
            <x15:cachedUniqueName index="384" name="[Data].[Time].&amp;[1899-12-30T18:17:00]"/>
            <x15:cachedUniqueName index="385" name="[Data].[Time].&amp;[1899-12-30T18:18:00]"/>
            <x15:cachedUniqueName index="386" name="[Data].[Time].&amp;[1899-12-30T18:19:00]"/>
            <x15:cachedUniqueName index="387" name="[Data].[Time].&amp;[1899-12-30T18:20:00]"/>
            <x15:cachedUniqueName index="388" name="[Data].[Time].&amp;[1899-12-30T18:21:00]"/>
            <x15:cachedUniqueName index="389" name="[Data].[Time].&amp;[1899-12-30T18:22:00]"/>
            <x15:cachedUniqueName index="390" name="[Data].[Time].&amp;[1899-12-30T18:23:00]"/>
            <x15:cachedUniqueName index="391" name="[Data].[Time].&amp;[1899-12-30T18:24:00]"/>
            <x15:cachedUniqueName index="392" name="[Data].[Time].&amp;[1899-12-30T18:27:00]"/>
            <x15:cachedUniqueName index="393" name="[Data].[Time].&amp;[1899-12-30T18:30:00]"/>
            <x15:cachedUniqueName index="394" name="[Data].[Time].&amp;[1899-12-30T18:31:00]"/>
            <x15:cachedUniqueName index="395" name="[Data].[Time].&amp;[1899-12-30T18:33:00]"/>
            <x15:cachedUniqueName index="396" name="[Data].[Time].&amp;[1899-12-30T18:35:00]"/>
            <x15:cachedUniqueName index="397" name="[Data].[Time].&amp;[1899-12-30T18:36:00]"/>
            <x15:cachedUniqueName index="398" name="[Data].[Time].&amp;[1899-12-30T18:37:00]"/>
            <x15:cachedUniqueName index="399" name="[Data].[Time].&amp;[1899-12-30T18:38:00]"/>
            <x15:cachedUniqueName index="400" name="[Data].[Time].&amp;[1899-12-30T18:41:00]"/>
            <x15:cachedUniqueName index="401" name="[Data].[Time].&amp;[1899-12-30T18:42:00]"/>
            <x15:cachedUniqueName index="402" name="[Data].[Time].&amp;[1899-12-30T18:43:00]"/>
            <x15:cachedUniqueName index="403" name="[Data].[Time].&amp;[1899-12-30T18:44:00]"/>
            <x15:cachedUniqueName index="404" name="[Data].[Time].&amp;[1899-12-30T18:45:00]"/>
            <x15:cachedUniqueName index="405" name="[Data].[Time].&amp;[1899-12-30T18:48:00]"/>
            <x15:cachedUniqueName index="406" name="[Data].[Time].&amp;[1899-12-30T18:50:00]"/>
            <x15:cachedUniqueName index="407" name="[Data].[Time].&amp;[1899-12-30T18:51:00]"/>
            <x15:cachedUniqueName index="408" name="[Data].[Time].&amp;[1899-12-30T18:53:00]"/>
            <x15:cachedUniqueName index="409" name="[Data].[Time].&amp;[1899-12-30T18:55:00]"/>
            <x15:cachedUniqueName index="410" name="[Data].[Time].&amp;[1899-12-30T18:56:00]"/>
            <x15:cachedUniqueName index="411" name="[Data].[Time].&amp;[1899-12-30T18:57:00]"/>
            <x15:cachedUniqueName index="412" name="[Data].[Time].&amp;[1899-12-30T18:58:00]"/>
            <x15:cachedUniqueName index="413" name="[Data].[Time].&amp;[1899-12-30T18:59:00]"/>
            <x15:cachedUniqueName index="414" name="[Data].[Time].&amp;[1899-12-30T19:00:00]"/>
            <x15:cachedUniqueName index="415" name="[Data].[Time].&amp;[1899-12-30T19:01:00]"/>
            <x15:cachedUniqueName index="416" name="[Data].[Time].&amp;[1899-12-30T19:02:00]"/>
            <x15:cachedUniqueName index="417" name="[Data].[Time].&amp;[1899-12-30T19:05:00]"/>
            <x15:cachedUniqueName index="418" name="[Data].[Time].&amp;[1899-12-30T19:06:00]"/>
            <x15:cachedUniqueName index="419" name="[Data].[Time].&amp;[1899-12-30T19:07:00]"/>
            <x15:cachedUniqueName index="420" name="[Data].[Time].&amp;[1899-12-30T19:08:00]"/>
            <x15:cachedUniqueName index="421" name="[Data].[Time].&amp;[1899-12-30T19:09:00]"/>
            <x15:cachedUniqueName index="422" name="[Data].[Time].&amp;[1899-12-30T19:11:00]"/>
            <x15:cachedUniqueName index="423" name="[Data].[Time].&amp;[1899-12-30T19:12:00]"/>
            <x15:cachedUniqueName index="424" name="[Data].[Time].&amp;[1899-12-30T19:14:00]"/>
            <x15:cachedUniqueName index="425" name="[Data].[Time].&amp;[1899-12-30T19:15:00]"/>
            <x15:cachedUniqueName index="426" name="[Data].[Time].&amp;[1899-12-30T19:16:00]"/>
            <x15:cachedUniqueName index="427" name="[Data].[Time].&amp;[1899-12-30T19:17:00]"/>
            <x15:cachedUniqueName index="428" name="[Data].[Time].&amp;[1899-12-30T19:18:00]"/>
            <x15:cachedUniqueName index="429" name="[Data].[Time].&amp;[1899-12-30T19:20:00]"/>
            <x15:cachedUniqueName index="430" name="[Data].[Time].&amp;[1899-12-30T19:21:00]"/>
            <x15:cachedUniqueName index="431" name="[Data].[Time].&amp;[1899-12-30T19:22:00]"/>
            <x15:cachedUniqueName index="432" name="[Data].[Time].&amp;[1899-12-30T19:24:00]"/>
            <x15:cachedUniqueName index="433" name="[Data].[Time].&amp;[1899-12-30T19:25:00]"/>
            <x15:cachedUniqueName index="434" name="[Data].[Time].&amp;[1899-12-30T19:26:00]"/>
            <x15:cachedUniqueName index="435" name="[Data].[Time].&amp;[1899-12-30T19:28:00]"/>
            <x15:cachedUniqueName index="436" name="[Data].[Time].&amp;[1899-12-30T19:29:00]"/>
            <x15:cachedUniqueName index="437" name="[Data].[Time].&amp;[1899-12-30T19:30:00]"/>
            <x15:cachedUniqueName index="438" name="[Data].[Time].&amp;[1899-12-30T19:31:00]"/>
            <x15:cachedUniqueName index="439" name="[Data].[Time].&amp;[1899-12-30T19:33:00]"/>
            <x15:cachedUniqueName index="440" name="[Data].[Time].&amp;[1899-12-30T19:35:00]"/>
            <x15:cachedUniqueName index="441" name="[Data].[Time].&amp;[1899-12-30T19:36:00]"/>
            <x15:cachedUniqueName index="442" name="[Data].[Time].&amp;[1899-12-30T19:38:00]"/>
            <x15:cachedUniqueName index="443" name="[Data].[Time].&amp;[1899-12-30T19:39:00]"/>
            <x15:cachedUniqueName index="444" name="[Data].[Time].&amp;[1899-12-30T19:40:00]"/>
            <x15:cachedUniqueName index="445" name="[Data].[Time].&amp;[1899-12-30T19:41:00]"/>
            <x15:cachedUniqueName index="446" name="[Data].[Time].&amp;[1899-12-30T19:42:00]"/>
            <x15:cachedUniqueName index="447" name="[Data].[Time].&amp;[1899-12-30T19:43:00]"/>
            <x15:cachedUniqueName index="448" name="[Data].[Time].&amp;[1899-12-30T19:44:00]"/>
            <x15:cachedUniqueName index="449" name="[Data].[Time].&amp;[1899-12-30T19:45:00]"/>
            <x15:cachedUniqueName index="450" name="[Data].[Time].&amp;[1899-12-30T19:46:00]"/>
            <x15:cachedUniqueName index="451" name="[Data].[Time].&amp;[1899-12-30T19:47:00]"/>
            <x15:cachedUniqueName index="452" name="[Data].[Time].&amp;[1899-12-30T19:48:00]"/>
            <x15:cachedUniqueName index="453" name="[Data].[Time].&amp;[1899-12-30T19:49:00]"/>
            <x15:cachedUniqueName index="454" name="[Data].[Time].&amp;[1899-12-30T19:50:00]"/>
            <x15:cachedUniqueName index="455" name="[Data].[Time].&amp;[1899-12-30T19:51:00]"/>
            <x15:cachedUniqueName index="456" name="[Data].[Time].&amp;[1899-12-30T19:52:00]"/>
            <x15:cachedUniqueName index="457" name="[Data].[Time].&amp;[1899-12-30T19:53:00]"/>
            <x15:cachedUniqueName index="458" name="[Data].[Time].&amp;[1899-12-30T19:54:00]"/>
            <x15:cachedUniqueName index="459" name="[Data].[Time].&amp;[1899-12-30T19:55:00]"/>
            <x15:cachedUniqueName index="460" name="[Data].[Time].&amp;[1899-12-30T19:56:00]"/>
            <x15:cachedUniqueName index="461" name="[Data].[Time].&amp;[1899-12-30T19:57:00]"/>
            <x15:cachedUniqueName index="462" name="[Data].[Time].&amp;[1899-12-30T19:58:00]"/>
            <x15:cachedUniqueName index="463" name="[Data].[Time].&amp;[1899-12-30T20:00:00]"/>
            <x15:cachedUniqueName index="464" name="[Data].[Time].&amp;[1899-12-30T20:01:00]"/>
            <x15:cachedUniqueName index="465" name="[Data].[Time].&amp;[1899-12-30T20:03:00]"/>
            <x15:cachedUniqueName index="466" name="[Data].[Time].&amp;[1899-12-30T20:04:00]"/>
            <x15:cachedUniqueName index="467" name="[Data].[Time].&amp;[1899-12-30T20:05:00]"/>
            <x15:cachedUniqueName index="468" name="[Data].[Time].&amp;[1899-12-30T20:06:00]"/>
            <x15:cachedUniqueName index="469" name="[Data].[Time].&amp;[1899-12-30T20:07:00]"/>
            <x15:cachedUniqueName index="470" name="[Data].[Time].&amp;[1899-12-30T20:08:00]"/>
            <x15:cachedUniqueName index="471" name="[Data].[Time].&amp;[1899-12-30T20:10:00]"/>
            <x15:cachedUniqueName index="472" name="[Data].[Time].&amp;[1899-12-30T20:13:00]"/>
            <x15:cachedUniqueName index="473" name="[Data].[Time].&amp;[1899-12-30T20:14:00]"/>
            <x15:cachedUniqueName index="474" name="[Data].[Time].&amp;[1899-12-30T20:15:00]"/>
            <x15:cachedUniqueName index="475" name="[Data].[Time].&amp;[1899-12-30T20:18:00]"/>
            <x15:cachedUniqueName index="476" name="[Data].[Time].&amp;[1899-12-30T20:19:00]"/>
            <x15:cachedUniqueName index="477" name="[Data].[Time].&amp;[1899-12-30T20:21:00]"/>
            <x15:cachedUniqueName index="478" name="[Data].[Time].&amp;[1899-12-30T20:23:00]"/>
            <x15:cachedUniqueName index="479" name="[Data].[Time].&amp;[1899-12-30T20:24:00]"/>
            <x15:cachedUniqueName index="480" name="[Data].[Time].&amp;[1899-12-30T20:26:00]"/>
            <x15:cachedUniqueName index="481" name="[Data].[Time].&amp;[1899-12-30T20:29:00]"/>
            <x15:cachedUniqueName index="482" name="[Data].[Time].&amp;[1899-12-30T20:30:00]"/>
            <x15:cachedUniqueName index="483" name="[Data].[Time].&amp;[1899-12-30T20:31:00]"/>
            <x15:cachedUniqueName index="484" name="[Data].[Time].&amp;[1899-12-30T20:32:00]"/>
            <x15:cachedUniqueName index="485" name="[Data].[Time].&amp;[1899-12-30T20:33:00]"/>
            <x15:cachedUniqueName index="486" name="[Data].[Time].&amp;[1899-12-30T20:34:00]"/>
            <x15:cachedUniqueName index="487" name="[Data].[Time].&amp;[1899-12-30T20:35:00]"/>
            <x15:cachedUniqueName index="488" name="[Data].[Time].&amp;[1899-12-30T20:36:00]"/>
            <x15:cachedUniqueName index="489" name="[Data].[Time].&amp;[1899-12-30T20:37:00]"/>
            <x15:cachedUniqueName index="490" name="[Data].[Time].&amp;[1899-12-30T20:38:00]"/>
            <x15:cachedUniqueName index="491" name="[Data].[Time].&amp;[1899-12-30T20:39:00]"/>
            <x15:cachedUniqueName index="492" name="[Data].[Time].&amp;[1899-12-30T20:40:00]"/>
            <x15:cachedUniqueName index="493" name="[Data].[Time].&amp;[1899-12-30T20:42:00]"/>
            <x15:cachedUniqueName index="494" name="[Data].[Time].&amp;[1899-12-30T20:43:00]"/>
            <x15:cachedUniqueName index="495" name="[Data].[Time].&amp;[1899-12-30T20:44:00]"/>
            <x15:cachedUniqueName index="496" name="[Data].[Time].&amp;[1899-12-30T20:46:00]"/>
            <x15:cachedUniqueName index="497" name="[Data].[Time].&amp;[1899-12-30T20:47:00]"/>
            <x15:cachedUniqueName index="498" name="[Data].[Time].&amp;[1899-12-30T20:48:00]"/>
            <x15:cachedUniqueName index="499" name="[Data].[Time].&amp;[1899-12-30T20:50:00]"/>
            <x15:cachedUniqueName index="500" name="[Data].[Time].&amp;[1899-12-30T20:51:00]"/>
            <x15:cachedUniqueName index="501" name="[Data].[Time].&amp;[1899-12-30T20:52:00]"/>
            <x15:cachedUniqueName index="502" name="[Data].[Time].&amp;[1899-12-30T20:54:00]"/>
            <x15:cachedUniqueName index="503" name="[Data].[Time].&amp;[1899-12-30T20:55:00]"/>
            <x15:cachedUniqueName index="504" name="[Data].[Time].&amp;[1899-12-30T20:57:00]"/>
            <x15:cachedUniqueName index="505" name="[Data].[Time].&amp;[1899-12-30T20:59:00]"/>
          </x15:cachedUniqueNames>
        </ext>
      </extLst>
    </cacheField>
    <cacheField name="[Data].[Time (Minute)].[Time (Minute)]" caption="Time (Minute)" numFmtId="0" hierarchy="21" level="1">
      <sharedItems containsNonDate="0" count="1">
        <s v="12"/>
      </sharedItems>
    </cacheField>
    <cacheField name="[Data].[Time (Hour)].[Time (Hour)]" caption="Time (Hour)" numFmtId="0" hierarchy="20" level="1">
      <sharedItems count="11">
        <s v="10"/>
        <s v="11"/>
        <s v="12"/>
        <s v="13"/>
        <s v="14"/>
        <s v="15"/>
        <s v="16"/>
        <s v="17"/>
        <s v="18"/>
        <s v="19"/>
        <s v="20"/>
      </sharedItems>
    </cacheField>
    <cacheField name="[Measures].[Sum of Total]" caption="Sum of Total" numFmtId="0" hierarchy="30" level="32767"/>
    <cacheField name="[Data].[Branch City].[Branch City]" caption="Branch City" numFmtId="0" hierarchy="3" level="1">
      <sharedItems containsSemiMixedTypes="0" containsNonDate="0" containsString="0"/>
    </cacheField>
  </cacheFields>
  <cacheHierarchies count="55">
    <cacheHierarchy uniqueName="[Data].[Invoice ID]" caption="Invoice ID" attribute="1" defaultMemberUniqueName="[Data].[Invoice ID].[All]" allUniqueName="[Data].[Invoice ID].[All]" dimensionUniqueName="[Data]" displayFolder="" count="0" memberValueDatatype="130" unbalanced="0"/>
    <cacheHierarchy uniqueName="[Data].[Branch]" caption="Branch" attribute="1" defaultMemberUniqueName="[Data].[Branch].[All]" allUniqueName="[Data].[Branch].[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Branch City]" caption="Branch City" attribute="1" defaultMemberUniqueName="[Data].[Branch City].[All]" allUniqueName="[Data].[Branch City].[All]" dimensionUniqueName="[Data]" displayFolder="" count="2" memberValueDatatype="130" unbalanced="0">
      <fieldsUsage count="2">
        <fieldUsage x="-1"/>
        <fieldUsage x="5"/>
      </fieldsUsage>
    </cacheHierarchy>
    <cacheHierarchy uniqueName="[Data].[Customer type]" caption="Customer type" attribute="1" defaultMemberUniqueName="[Data].[Customer type].[All]" allUniqueName="[Data].[Customer type].[All]" dimensionUniqueName="[Data]" displayFolder="" count="0" memberValueDatatype="130" unbalanced="0"/>
    <cacheHierarchy uniqueName="[Data].[Gender]" caption="Gender" attribute="1" defaultMemberUniqueName="[Data].[Gender].[All]" allUniqueName="[Data].[Gender].[All]" dimensionUniqueName="[Data]" displayFolder="" count="0" memberValueDatatype="130" unbalanced="0"/>
    <cacheHierarchy uniqueName="[Data].[Product line]" caption="Product line" attribute="1" defaultMemberUniqueName="[Data].[Product line].[All]" allUniqueName="[Data].[Product line].[All]" dimensionUniqueName="[Data]" displayFolder="" count="0" memberValueDatatype="130" unbalanced="0"/>
    <cacheHierarchy uniqueName="[Data].[Unit price]" caption="Unit price" attribute="1" defaultMemberUniqueName="[Data].[Unit price].[All]" allUniqueName="[Data].[Unit price].[All]" dimensionUniqueName="[Data]" displayFolder="" count="0" memberValueDatatype="5" unbalanced="0"/>
    <cacheHierarchy uniqueName="[Data].[Quantity]" caption="Quantity" attribute="1" defaultMemberUniqueName="[Data].[Quantity].[All]" allUniqueName="[Data].[Quantity].[All]" dimensionUniqueName="[Data]" displayFolder="" count="0" memberValueDatatype="20" unbalanced="0"/>
    <cacheHierarchy uniqueName="[Data].[Tax 5%]" caption="Tax 5%" attribute="1" defaultMemberUniqueName="[Data].[Tax 5%].[All]" allUniqueName="[Data].[Tax 5%].[All]" dimensionUniqueName="[Data]" displayFolder="" count="0" memberValueDatatype="5" unbalanced="0"/>
    <cacheHierarchy uniqueName="[Data].[Total]" caption="Total" attribute="1" defaultMemberUniqueName="[Data].[Total].[All]" allUniqueName="[Data].[Total].[All]" dimensionUniqueName="[Data]" displayFolder="" count="0" memberValueDatatype="5" unbalanced="0"/>
    <cacheHierarchy uniqueName="[Data].[Date]" caption="Date" attribute="1" time="1" defaultMemberUniqueName="[Data].[Date].[All]" allUniqueName="[Data].[Date].[All]" dimensionUniqueName="[Data]" displayFolder="" count="0" memberValueDatatype="7" unbalanced="0"/>
    <cacheHierarchy uniqueName="[Data].[Day]" caption="Day" attribute="1" defaultMemberUniqueName="[Data].[Day].[All]" allUniqueName="[Data].[Day].[All]" dimensionUniqueName="[Data]" displayFolder="" count="0" memberValueDatatype="20" unbalanced="0"/>
    <cacheHierarchy uniqueName="[Data].[Month]" caption="Month" attribute="1" defaultMemberUniqueName="[Data].[Month].[All]" allUniqueName="[Data].[Month].[All]" dimensionUniqueName="[Data]" displayFolder="" count="0" memberValueDatatype="20" unbalanced="0"/>
    <cacheHierarchy uniqueName="[Data].[Year]" caption="Year" attribute="1" defaultMemberUniqueName="[Data].[Year].[All]" allUniqueName="[Data].[Year].[All]" dimensionUniqueName="[Data]" displayFolder="" count="2" memberValueDatatype="20" unbalanced="0">
      <fieldsUsage count="2">
        <fieldUsage x="-1"/>
        <fieldUsage x="0"/>
      </fieldsUsage>
    </cacheHierarchy>
    <cacheHierarchy uniqueName="[Data].[Time]" caption="Time" attribute="1" time="1" defaultMemberUniqueName="[Data].[Time].[All]" allUniqueName="[Data].[Time].[All]" dimensionUniqueName="[Data]" displayFolder="" count="2" memberValueDatatype="7" unbalanced="0">
      <fieldsUsage count="2">
        <fieldUsage x="-1"/>
        <fieldUsage x="1"/>
      </fieldsUsage>
    </cacheHierarchy>
    <cacheHierarchy uniqueName="[Data].[Payment]" caption="Payment" attribute="1" defaultMemberUniqueName="[Data].[Payment].[All]" allUniqueName="[Data].[Payment].[All]" dimensionUniqueName="[Data]" displayFolder="" count="0" memberValueDatatype="130" unbalanced="0"/>
    <cacheHierarchy uniqueName="[Data].[cogs]" caption="cogs" attribute="1" defaultMemberUniqueName="[Data].[cogs].[All]" allUniqueName="[Data].[cogs].[All]" dimensionUniqueName="[Data]" displayFolder="" count="0" memberValueDatatype="5" unbalanced="0"/>
    <cacheHierarchy uniqueName="[Data].[Net Profit]" caption="Net Profit" attribute="1" defaultMemberUniqueName="[Data].[Net Profit].[All]" allUniqueName="[Data].[Net Profit].[All]" dimensionUniqueName="[Data]" displayFolder="" count="0" memberValueDatatype="5" unbalanced="0"/>
    <cacheHierarchy uniqueName="[Data].[Rating]" caption="Rating" attribute="1" defaultMemberUniqueName="[Data].[Rating].[All]" allUniqueName="[Data].[Rating].[All]" dimensionUniqueName="[Data]" displayFolder="" count="0" memberValueDatatype="5" unbalanced="0"/>
    <cacheHierarchy uniqueName="[Data].[Time (Hour)]" caption="Time (Hour)" attribute="1" defaultMemberUniqueName="[Data].[Time (Hour)].[All]" allUniqueName="[Data].[Time (Hour)].[All]" dimensionUniqueName="[Data]" displayFolder="" count="2" memberValueDatatype="130" unbalanced="0">
      <fieldsUsage count="2">
        <fieldUsage x="-1"/>
        <fieldUsage x="3"/>
      </fieldsUsage>
    </cacheHierarchy>
    <cacheHierarchy uniqueName="[Data].[Time (Minute)]" caption="Time (Minute)" attribute="1" defaultMemberUniqueName="[Data].[Time (Minute)].[All]" allUniqueName="[Data].[Time (Minute)].[All]" dimensionUniqueName="[Data]" displayFolder="" count="2" memberValueDatatype="130" unbalanced="0">
      <fieldsUsage count="2">
        <fieldUsage x="-1"/>
        <fieldUsage x="2"/>
      </fieldsUsage>
    </cacheHierarchy>
    <cacheHierarchy uniqueName="[REP].[city]" caption="city" attribute="1" defaultMemberUniqueName="[REP].[city].[All]" allUniqueName="[REP].[city].[All]" dimensionUniqueName="[REP]" displayFolder="" count="0" memberValueDatatype="130" unbalanced="0"/>
    <cacheHierarchy uniqueName="[REP].[Rep]" caption="Rep" attribute="1" defaultMemberUniqueName="[REP].[Rep].[All]" allUniqueName="[REP].[Rep].[All]" dimensionUniqueName="[REP]" displayFolder="" count="0" memberValueDatatype="130" unbalanced="0"/>
    <cacheHierarchy uniqueName="[Returns].[returns]" caption="returns" attribute="1" defaultMemberUniqueName="[Returns].[returns].[All]" allUniqueName="[Returns].[returns].[All]" dimensionUniqueName="[Returns]" displayFolder="" count="0" memberValueDatatype="130" unbalanced="0"/>
    <cacheHierarchy uniqueName="[Returns].[Invoice ID]" caption="Invoice ID" attribute="1" defaultMemberUniqueName="[Returns].[Invoice ID].[All]" allUniqueName="[Returns].[Invoice ID].[All]" dimensionUniqueName="[Returns]" displayFolder="" count="0" memberValueDatatype="130" unbalanced="0"/>
    <cacheHierarchy uniqueName="[Measures].[__XL_Count REP]" caption="__XL_Count REP" measure="1" displayFolder="" measureGroup="REP" count="0" hidden="1"/>
    <cacheHierarchy uniqueName="[Measures].[__XL_Count Returns]" caption="__XL_Count Returns" measure="1" displayFolder="" measureGroup="Returns" count="0" hidden="1"/>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Total]" caption="Sum of Total" measure="1" displayFolder="" measureGroup="Data" count="0" oneField="1" hidden="1">
      <fieldsUsage count="1">
        <fieldUsage x="4"/>
      </fieldsUsage>
      <extLst>
        <ext xmlns:x15="http://schemas.microsoft.com/office/spreadsheetml/2010/11/main" uri="{B97F6D7D-B522-45F9-BDA1-12C45D357490}">
          <x15:cacheHierarchy aggregatedColumn="10"/>
        </ext>
      </extLst>
    </cacheHierarchy>
    <cacheHierarchy uniqueName="[Measures].[Count of returns]" caption="Count of returns" measure="1" displayFolder="" measureGroup="Returns" count="0" hidden="1">
      <extLst>
        <ext xmlns:x15="http://schemas.microsoft.com/office/spreadsheetml/2010/11/main" uri="{B97F6D7D-B522-45F9-BDA1-12C45D357490}">
          <x15:cacheHierarchy aggregatedColumn="24"/>
        </ext>
      </extLst>
    </cacheHierarchy>
    <cacheHierarchy uniqueName="[Measures].[Sum of Net Profit]" caption="Sum of Net Profit" measure="1" displayFolder="" measureGroup="Data" count="0" hidden="1">
      <extLst>
        <ext xmlns:x15="http://schemas.microsoft.com/office/spreadsheetml/2010/11/main" uri="{B97F6D7D-B522-45F9-BDA1-12C45D357490}">
          <x15:cacheHierarchy aggregatedColumn="18"/>
        </ext>
      </extLst>
    </cacheHierarchy>
    <cacheHierarchy uniqueName="[Measures].[Sum of cogs]" caption="Sum of cogs" measure="1" displayFolder="" measureGroup="Data" count="0" hidden="1">
      <extLst>
        <ext xmlns:x15="http://schemas.microsoft.com/office/spreadsheetml/2010/11/main" uri="{B97F6D7D-B522-45F9-BDA1-12C45D357490}">
          <x15:cacheHierarchy aggregatedColumn="17"/>
        </ext>
      </extLst>
    </cacheHierarchy>
    <cacheHierarchy uniqueName="[Measures].[Sum of Tax 5%]" caption="Sum of Tax 5%" measure="1" displayFolder="" measureGroup="Data" count="0" hidden="1">
      <extLst>
        <ext xmlns:x15="http://schemas.microsoft.com/office/spreadsheetml/2010/11/main" uri="{B97F6D7D-B522-45F9-BDA1-12C45D357490}">
          <x15:cacheHierarchy aggregatedColumn="9"/>
        </ext>
      </extLst>
    </cacheHierarchy>
    <cacheHierarchy uniqueName="[Measures].[Average of Net Profit]" caption="Average of Net Profit" measure="1" displayFolder="" measureGroup="Data"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8"/>
        </ext>
      </extLst>
    </cacheHierarchy>
    <cacheHierarchy uniqueName="[Measures].[Count of Invoice ID]" caption="Count of Invoice ID" measure="1" displayFolder="" measureGroup="Data" count="0" hidden="1">
      <extLst>
        <ext xmlns:x15="http://schemas.microsoft.com/office/spreadsheetml/2010/11/main" uri="{B97F6D7D-B522-45F9-BDA1-12C45D357490}">
          <x15:cacheHierarchy aggregatedColumn="0"/>
        </ext>
      </extLst>
    </cacheHierarchy>
    <cacheHierarchy uniqueName="[Measures].[Count of Quantity]" caption="Count of Quantity" measure="1" displayFolder="" measureGroup="Data" count="0" hidden="1">
      <extLst>
        <ext xmlns:x15="http://schemas.microsoft.com/office/spreadsheetml/2010/11/main" uri="{B97F6D7D-B522-45F9-BDA1-12C45D357490}">
          <x15:cacheHierarchy aggregatedColumn="8"/>
        </ext>
      </extLst>
    </cacheHierarchy>
    <cacheHierarchy uniqueName="[Measures].[Count of Product line]" caption="Count of Product line" measure="1" displayFolder="" measureGroup="Data" count="0" hidden="1">
      <extLst>
        <ext xmlns:x15="http://schemas.microsoft.com/office/spreadsheetml/2010/11/main" uri="{B97F6D7D-B522-45F9-BDA1-12C45D357490}">
          <x15:cacheHierarchy aggregatedColumn="6"/>
        </ext>
      </extLst>
    </cacheHierarchy>
    <cacheHierarchy uniqueName="[Measures].[Count of Invoice ID 2]" caption="Count of Invoice ID 2" measure="1" displayFolder="" measureGroup="Returns" count="0" hidden="1">
      <extLst>
        <ext xmlns:x15="http://schemas.microsoft.com/office/spreadsheetml/2010/11/main" uri="{B97F6D7D-B522-45F9-BDA1-12C45D357490}">
          <x15:cacheHierarchy aggregatedColumn="25"/>
        </ext>
      </extLst>
    </cacheHierarchy>
    <cacheHierarchy uniqueName="[Measures].[Sum of Rating]" caption="Sum of Rating" measure="1" displayFolder="" measureGroup="Data" count="0" hidden="1">
      <extLst>
        <ext xmlns:x15="http://schemas.microsoft.com/office/spreadsheetml/2010/11/main" uri="{B97F6D7D-B522-45F9-BDA1-12C45D357490}">
          <x15:cacheHierarchy aggregatedColumn="19"/>
        </ext>
      </extLst>
    </cacheHierarchy>
    <cacheHierarchy uniqueName="[Measures].[Average of Rating]" caption="Average of Rating" measure="1" displayFolder="" measureGroup="Data" count="0" hidden="1">
      <extLst>
        <ext xmlns:x15="http://schemas.microsoft.com/office/spreadsheetml/2010/11/main" uri="{B97F6D7D-B522-45F9-BDA1-12C45D357490}">
          <x15:cacheHierarchy aggregatedColumn="19"/>
        </ext>
      </extLst>
    </cacheHierarchy>
    <cacheHierarchy uniqueName="[Measures].[Min of Rating]" caption="Min of Rating" measure="1" displayFolder="" measureGroup="Data" count="0" hidden="1">
      <extLst>
        <ext xmlns:x15="http://schemas.microsoft.com/office/spreadsheetml/2010/11/main" uri="{B97F6D7D-B522-45F9-BDA1-12C45D357490}">
          <x15:cacheHierarchy aggregatedColumn="19"/>
        </ext>
      </extLst>
    </cacheHierarchy>
    <cacheHierarchy uniqueName="[Measures].[Max of Rating]" caption="Max of Rating" measure="1" displayFolder="" measureGroup="Data" count="0" hidden="1">
      <extLst>
        <ext xmlns:x15="http://schemas.microsoft.com/office/spreadsheetml/2010/11/main" uri="{B97F6D7D-B522-45F9-BDA1-12C45D357490}">
          <x15:cacheHierarchy aggregatedColumn="19"/>
        </ext>
      </extLst>
    </cacheHierarchy>
    <cacheHierarchy uniqueName="[Measures].[Count of Rating]" caption="Count of Rating" measure="1" displayFolder="" measureGroup="Data" count="0" hidden="1">
      <extLst>
        <ext xmlns:x15="http://schemas.microsoft.com/office/spreadsheetml/2010/11/main" uri="{B97F6D7D-B522-45F9-BDA1-12C45D357490}">
          <x15:cacheHierarchy aggregatedColumn="19"/>
        </ext>
      </extLst>
    </cacheHierarchy>
    <cacheHierarchy uniqueName="[Measures].[Distinct Count of Rating]" caption="Distinct Count of Rating" measure="1" displayFolder="" measureGroup="Data" count="0" hidden="1">
      <extLst>
        <ext xmlns:x15="http://schemas.microsoft.com/office/spreadsheetml/2010/11/main" uri="{B97F6D7D-B522-45F9-BDA1-12C45D357490}">
          <x15:cacheHierarchy aggregatedColumn="19"/>
        </ext>
      </extLst>
    </cacheHierarchy>
    <cacheHierarchy uniqueName="[Measures].[Distinct Count of Invoice ID]" caption="Distinct Count of Invoice ID" measure="1" displayFolder="" measureGroup="Data" count="0" hidden="1">
      <extLst>
        <ext xmlns:x15="http://schemas.microsoft.com/office/spreadsheetml/2010/11/main" uri="{B97F6D7D-B522-45F9-BDA1-12C45D357490}">
          <x15:cacheHierarchy aggregatedColumn="0"/>
        </ext>
      </extLst>
    </cacheHierarchy>
    <cacheHierarchy uniqueName="[Measures].[Count of Customer type]" caption="Count of Customer type" measure="1" displayFolder="" measureGroup="Data" count="0" hidden="1">
      <extLst>
        <ext xmlns:x15="http://schemas.microsoft.com/office/spreadsheetml/2010/11/main" uri="{B97F6D7D-B522-45F9-BDA1-12C45D357490}">
          <x15:cacheHierarchy aggregatedColumn="4"/>
        </ext>
      </extLst>
    </cacheHierarchy>
    <cacheHierarchy uniqueName="[Measures].[Count of Payment]" caption="Count of Payment" measure="1" displayFolder="" measureGroup="Data" count="0" hidden="1">
      <extLst>
        <ext xmlns:x15="http://schemas.microsoft.com/office/spreadsheetml/2010/11/main" uri="{B97F6D7D-B522-45F9-BDA1-12C45D357490}">
          <x15:cacheHierarchy aggregatedColumn="16"/>
        </ext>
      </extLst>
    </cacheHierarchy>
    <cacheHierarchy uniqueName="[Measures].[Average of Total]" caption="Average of Total" measure="1" displayFolder="" measureGroup="Data" count="0" hidden="1">
      <extLst>
        <ext xmlns:x15="http://schemas.microsoft.com/office/spreadsheetml/2010/11/main" uri="{B97F6D7D-B522-45F9-BDA1-12C45D357490}">
          <x15:cacheHierarchy aggregatedColumn="10"/>
        </ext>
      </extLst>
    </cacheHierarchy>
    <cacheHierarchy uniqueName="[Measures].[Sum of Unit price]" caption="Sum of Unit price" measure="1" displayFolder="" measureGroup="Data" count="0" hidden="1">
      <extLst>
        <ext xmlns:x15="http://schemas.microsoft.com/office/spreadsheetml/2010/11/main" uri="{B97F6D7D-B522-45F9-BDA1-12C45D357490}">
          <x15:cacheHierarchy aggregatedColumn="7"/>
        </ext>
      </extLst>
    </cacheHierarchy>
    <cacheHierarchy uniqueName="[Measures].[Average of Unit price]" caption="Average of Unit price" measure="1" displayFolder="" measureGroup="Data" count="0" hidden="1">
      <extLst>
        <ext xmlns:x15="http://schemas.microsoft.com/office/spreadsheetml/2010/11/main" uri="{B97F6D7D-B522-45F9-BDA1-12C45D357490}">
          <x15:cacheHierarchy aggregatedColumn="7"/>
        </ext>
      </extLst>
    </cacheHierarchy>
    <cacheHierarchy uniqueName="[Measures].[Max of Unit price]" caption="Max of Unit price" measure="1" displayFolder="" measureGroup="Data" count="0" hidden="1">
      <extLst>
        <ext xmlns:x15="http://schemas.microsoft.com/office/spreadsheetml/2010/11/main" uri="{B97F6D7D-B522-45F9-BDA1-12C45D357490}">
          <x15:cacheHierarchy aggregatedColumn="7"/>
        </ext>
      </extLst>
    </cacheHierarchy>
    <cacheHierarchy uniqueName="[Measures].[Min of Unit price]" caption="Min of Unit price" measure="1" displayFolder="" measureGroup="Data" count="0" hidden="1">
      <extLst>
        <ext xmlns:x15="http://schemas.microsoft.com/office/spreadsheetml/2010/11/main" uri="{B97F6D7D-B522-45F9-BDA1-12C45D357490}">
          <x15:cacheHierarchy aggregatedColumn="7"/>
        </ext>
      </extLst>
    </cacheHierarchy>
  </cacheHierarchies>
  <kpis count="0"/>
  <dimensions count="4">
    <dimension name="Data" uniqueName="[Data]" caption="Data"/>
    <dimension measure="1" name="Measures" uniqueName="[Measures]" caption="Measures"/>
    <dimension name="REP" uniqueName="[REP]" caption="REP"/>
    <dimension name="Returns" uniqueName="[Returns]" caption="Returns"/>
  </dimensions>
  <measureGroups count="3">
    <measureGroup name="Data" caption="Data"/>
    <measureGroup name="REP" caption="REP"/>
    <measureGroup name="Returns" caption="Returns"/>
  </measureGroups>
  <maps count="5">
    <map measureGroup="0" dimension="0"/>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Amira" refreshedDate="46138.962704282407" backgroundQuery="1" createdVersion="6" refreshedVersion="6" minRefreshableVersion="3" recordCount="0" supportSubquery="1" supportAdvancedDrill="1">
  <cacheSource type="external" connectionId="1"/>
  <cacheFields count="3">
    <cacheField name="[Data].[Year].[Year]" caption="Year" numFmtId="0" hierarchy="14" level="1">
      <sharedItems containsSemiMixedTypes="0" containsString="0" containsNumber="1" containsInteger="1" minValue="2019" maxValue="2022" count="4">
        <n v="2019"/>
        <n v="2020"/>
        <n v="2021"/>
        <n v="2022"/>
      </sharedItems>
      <extLst>
        <ext xmlns:x15="http://schemas.microsoft.com/office/spreadsheetml/2010/11/main" uri="{4F2E5C28-24EA-4eb8-9CBF-B6C8F9C3D259}">
          <x15:cachedUniqueNames>
            <x15:cachedUniqueName index="0" name="[Data].[Year].&amp;[2019]"/>
            <x15:cachedUniqueName index="1" name="[Data].[Year].&amp;[2020]"/>
            <x15:cachedUniqueName index="2" name="[Data].[Year].&amp;[2021]"/>
            <x15:cachedUniqueName index="3" name="[Data].[Year].&amp;[2022]"/>
          </x15:cachedUniqueNames>
        </ext>
      </extLst>
    </cacheField>
    <cacheField name="[Measures].[Sum of Net Profit]" caption="Sum of Net Profit" numFmtId="0" hierarchy="32" level="32767"/>
    <cacheField name="[Data].[Product line].[Product line]" caption="Product line" numFmtId="0" hierarchy="6" level="1">
      <sharedItems containsSemiMixedTypes="0" containsNonDate="0" containsString="0"/>
    </cacheField>
  </cacheFields>
  <cacheHierarchies count="55">
    <cacheHierarchy uniqueName="[Data].[Invoice ID]" caption="Invoice ID" attribute="1" defaultMemberUniqueName="[Data].[Invoice ID].[All]" allUniqueName="[Data].[Invoice ID].[All]" dimensionUniqueName="[Data]" displayFolder="" count="0" memberValueDatatype="130" unbalanced="0"/>
    <cacheHierarchy uniqueName="[Data].[Branch]" caption="Branch" attribute="1" defaultMemberUniqueName="[Data].[Branch].[All]" allUniqueName="[Data].[Branch].[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Branch City]" caption="Branch City" attribute="1" defaultMemberUniqueName="[Data].[Branch City].[All]" allUniqueName="[Data].[Branch City].[All]" dimensionUniqueName="[Data]" displayFolder="" count="2" memberValueDatatype="130" unbalanced="0"/>
    <cacheHierarchy uniqueName="[Data].[Customer type]" caption="Customer type" attribute="1" defaultMemberUniqueName="[Data].[Customer type].[All]" allUniqueName="[Data].[Customer type].[All]" dimensionUniqueName="[Data]" displayFolder="" count="0" memberValueDatatype="130" unbalanced="0"/>
    <cacheHierarchy uniqueName="[Data].[Gender]" caption="Gender" attribute="1" defaultMemberUniqueName="[Data].[Gender].[All]" allUniqueName="[Data].[Gender].[All]" dimensionUniqueName="[Data]" displayFolder="" count="0" memberValueDatatype="130" unbalanced="0"/>
    <cacheHierarchy uniqueName="[Data].[Product line]" caption="Product line" attribute="1" defaultMemberUniqueName="[Data].[Product line].[All]" allUniqueName="[Data].[Product line].[All]" dimensionUniqueName="[Data]" displayFolder="" count="2" memberValueDatatype="130" unbalanced="0">
      <fieldsUsage count="2">
        <fieldUsage x="-1"/>
        <fieldUsage x="2"/>
      </fieldsUsage>
    </cacheHierarchy>
    <cacheHierarchy uniqueName="[Data].[Unit price]" caption="Unit price" attribute="1" defaultMemberUniqueName="[Data].[Unit price].[All]" allUniqueName="[Data].[Unit price].[All]" dimensionUniqueName="[Data]" displayFolder="" count="0" memberValueDatatype="5" unbalanced="0"/>
    <cacheHierarchy uniqueName="[Data].[Quantity]" caption="Quantity" attribute="1" defaultMemberUniqueName="[Data].[Quantity].[All]" allUniqueName="[Data].[Quantity].[All]" dimensionUniqueName="[Data]" displayFolder="" count="0" memberValueDatatype="20" unbalanced="0"/>
    <cacheHierarchy uniqueName="[Data].[Tax 5%]" caption="Tax 5%" attribute="1" defaultMemberUniqueName="[Data].[Tax 5%].[All]" allUniqueName="[Data].[Tax 5%].[All]" dimensionUniqueName="[Data]" displayFolder="" count="0" memberValueDatatype="5" unbalanced="0"/>
    <cacheHierarchy uniqueName="[Data].[Total]" caption="Total" attribute="1" defaultMemberUniqueName="[Data].[Total].[All]" allUniqueName="[Data].[Total].[All]" dimensionUniqueName="[Data]" displayFolder="" count="0" memberValueDatatype="5" unbalanced="0"/>
    <cacheHierarchy uniqueName="[Data].[Date]" caption="Date" attribute="1" time="1" defaultMemberUniqueName="[Data].[Date].[All]" allUniqueName="[Data].[Date].[All]" dimensionUniqueName="[Data]" displayFolder="" count="0" memberValueDatatype="7" unbalanced="0"/>
    <cacheHierarchy uniqueName="[Data].[Day]" caption="Day" attribute="1" defaultMemberUniqueName="[Data].[Day].[All]" allUniqueName="[Data].[Day].[All]" dimensionUniqueName="[Data]" displayFolder="" count="0" memberValueDatatype="20" unbalanced="0"/>
    <cacheHierarchy uniqueName="[Data].[Month]" caption="Month" attribute="1" defaultMemberUniqueName="[Data].[Month].[All]" allUniqueName="[Data].[Month].[All]" dimensionUniqueName="[Data]" displayFolder="" count="0" memberValueDatatype="20" unbalanced="0"/>
    <cacheHierarchy uniqueName="[Data].[Year]" caption="Year" attribute="1" defaultMemberUniqueName="[Data].[Year].[All]" allUniqueName="[Data].[Year].[All]" dimensionUniqueName="[Data]" displayFolder="" count="2" memberValueDatatype="20" unbalanced="0">
      <fieldsUsage count="2">
        <fieldUsage x="-1"/>
        <fieldUsage x="0"/>
      </fieldsUsage>
    </cacheHierarchy>
    <cacheHierarchy uniqueName="[Data].[Time]" caption="Time" attribute="1" time="1" defaultMemberUniqueName="[Data].[Time].[All]" allUniqueName="[Data].[Time].[All]" dimensionUniqueName="[Data]" displayFolder="" count="0" memberValueDatatype="7" unbalanced="0"/>
    <cacheHierarchy uniqueName="[Data].[Payment]" caption="Payment" attribute="1" defaultMemberUniqueName="[Data].[Payment].[All]" allUniqueName="[Data].[Payment].[All]" dimensionUniqueName="[Data]" displayFolder="" count="0" memberValueDatatype="130" unbalanced="0"/>
    <cacheHierarchy uniqueName="[Data].[cogs]" caption="cogs" attribute="1" defaultMemberUniqueName="[Data].[cogs].[All]" allUniqueName="[Data].[cogs].[All]" dimensionUniqueName="[Data]" displayFolder="" count="0" memberValueDatatype="5" unbalanced="0"/>
    <cacheHierarchy uniqueName="[Data].[Net Profit]" caption="Net Profit" attribute="1" defaultMemberUniqueName="[Data].[Net Profit].[All]" allUniqueName="[Data].[Net Profit].[All]" dimensionUniqueName="[Data]" displayFolder="" count="0" memberValueDatatype="5" unbalanced="0"/>
    <cacheHierarchy uniqueName="[Data].[Rating]" caption="Rating" attribute="1" defaultMemberUniqueName="[Data].[Rating].[All]" allUniqueName="[Data].[Rating].[All]" dimensionUniqueName="[Data]" displayFolder="" count="0" memberValueDatatype="5" unbalanced="0"/>
    <cacheHierarchy uniqueName="[Data].[Time (Hour)]" caption="Time (Hour)" attribute="1" defaultMemberUniqueName="[Data].[Time (Hour)].[All]" allUniqueName="[Data].[Time (Hour)].[All]" dimensionUniqueName="[Data]" displayFolder="" count="0" memberValueDatatype="130" unbalanced="0"/>
    <cacheHierarchy uniqueName="[Data].[Time (Minute)]" caption="Time (Minute)" attribute="1" defaultMemberUniqueName="[Data].[Time (Minute)].[All]" allUniqueName="[Data].[Time (Minute)].[All]" dimensionUniqueName="[Data]" displayFolder="" count="0" memberValueDatatype="130" unbalanced="0"/>
    <cacheHierarchy uniqueName="[REP].[city]" caption="city" attribute="1" defaultMemberUniqueName="[REP].[city].[All]" allUniqueName="[REP].[city].[All]" dimensionUniqueName="[REP]" displayFolder="" count="0" memberValueDatatype="130" unbalanced="0"/>
    <cacheHierarchy uniqueName="[REP].[Rep]" caption="Rep" attribute="1" defaultMemberUniqueName="[REP].[Rep].[All]" allUniqueName="[REP].[Rep].[All]" dimensionUniqueName="[REP]" displayFolder="" count="0" memberValueDatatype="130" unbalanced="0"/>
    <cacheHierarchy uniqueName="[Returns].[returns]" caption="returns" attribute="1" defaultMemberUniqueName="[Returns].[returns].[All]" allUniqueName="[Returns].[returns].[All]" dimensionUniqueName="[Returns]" displayFolder="" count="0" memberValueDatatype="130" unbalanced="0"/>
    <cacheHierarchy uniqueName="[Returns].[Invoice ID]" caption="Invoice ID" attribute="1" defaultMemberUniqueName="[Returns].[Invoice ID].[All]" allUniqueName="[Returns].[Invoice ID].[All]" dimensionUniqueName="[Returns]" displayFolder="" count="0" memberValueDatatype="130" unbalanced="0"/>
    <cacheHierarchy uniqueName="[Measures].[__XL_Count REP]" caption="__XL_Count REP" measure="1" displayFolder="" measureGroup="REP" count="0" hidden="1"/>
    <cacheHierarchy uniqueName="[Measures].[__XL_Count Returns]" caption="__XL_Count Returns" measure="1" displayFolder="" measureGroup="Returns" count="0" hidden="1"/>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Total]" caption="Sum of Total" measure="1" displayFolder="" measureGroup="Data" count="0" hidden="1">
      <extLst>
        <ext xmlns:x15="http://schemas.microsoft.com/office/spreadsheetml/2010/11/main" uri="{B97F6D7D-B522-45F9-BDA1-12C45D357490}">
          <x15:cacheHierarchy aggregatedColumn="10"/>
        </ext>
      </extLst>
    </cacheHierarchy>
    <cacheHierarchy uniqueName="[Measures].[Count of returns]" caption="Count of returns" measure="1" displayFolder="" measureGroup="Returns" count="0" hidden="1">
      <extLst>
        <ext xmlns:x15="http://schemas.microsoft.com/office/spreadsheetml/2010/11/main" uri="{B97F6D7D-B522-45F9-BDA1-12C45D357490}">
          <x15:cacheHierarchy aggregatedColumn="24"/>
        </ext>
      </extLst>
    </cacheHierarchy>
    <cacheHierarchy uniqueName="[Measures].[Sum of Net Profit]" caption="Sum of Net Profit" measure="1" displayFolder="" measureGroup="Data"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cogs]" caption="Sum of cogs" measure="1" displayFolder="" measureGroup="Data" count="0" hidden="1">
      <extLst>
        <ext xmlns:x15="http://schemas.microsoft.com/office/spreadsheetml/2010/11/main" uri="{B97F6D7D-B522-45F9-BDA1-12C45D357490}">
          <x15:cacheHierarchy aggregatedColumn="17"/>
        </ext>
      </extLst>
    </cacheHierarchy>
    <cacheHierarchy uniqueName="[Measures].[Sum of Tax 5%]" caption="Sum of Tax 5%" measure="1" displayFolder="" measureGroup="Data" count="0" hidden="1">
      <extLst>
        <ext xmlns:x15="http://schemas.microsoft.com/office/spreadsheetml/2010/11/main" uri="{B97F6D7D-B522-45F9-BDA1-12C45D357490}">
          <x15:cacheHierarchy aggregatedColumn="9"/>
        </ext>
      </extLst>
    </cacheHierarchy>
    <cacheHierarchy uniqueName="[Measures].[Average of Net Profit]" caption="Average of Net Profit" measure="1" displayFolder="" measureGroup="Data"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8"/>
        </ext>
      </extLst>
    </cacheHierarchy>
    <cacheHierarchy uniqueName="[Measures].[Count of Invoice ID]" caption="Count of Invoice ID" measure="1" displayFolder="" measureGroup="Data" count="0" hidden="1">
      <extLst>
        <ext xmlns:x15="http://schemas.microsoft.com/office/spreadsheetml/2010/11/main" uri="{B97F6D7D-B522-45F9-BDA1-12C45D357490}">
          <x15:cacheHierarchy aggregatedColumn="0"/>
        </ext>
      </extLst>
    </cacheHierarchy>
    <cacheHierarchy uniqueName="[Measures].[Count of Quantity]" caption="Count of Quantity" measure="1" displayFolder="" measureGroup="Data" count="0" hidden="1">
      <extLst>
        <ext xmlns:x15="http://schemas.microsoft.com/office/spreadsheetml/2010/11/main" uri="{B97F6D7D-B522-45F9-BDA1-12C45D357490}">
          <x15:cacheHierarchy aggregatedColumn="8"/>
        </ext>
      </extLst>
    </cacheHierarchy>
    <cacheHierarchy uniqueName="[Measures].[Count of Product line]" caption="Count of Product line" measure="1" displayFolder="" measureGroup="Data" count="0" hidden="1">
      <extLst>
        <ext xmlns:x15="http://schemas.microsoft.com/office/spreadsheetml/2010/11/main" uri="{B97F6D7D-B522-45F9-BDA1-12C45D357490}">
          <x15:cacheHierarchy aggregatedColumn="6"/>
        </ext>
      </extLst>
    </cacheHierarchy>
    <cacheHierarchy uniqueName="[Measures].[Count of Invoice ID 2]" caption="Count of Invoice ID 2" measure="1" displayFolder="" measureGroup="Returns" count="0" hidden="1">
      <extLst>
        <ext xmlns:x15="http://schemas.microsoft.com/office/spreadsheetml/2010/11/main" uri="{B97F6D7D-B522-45F9-BDA1-12C45D357490}">
          <x15:cacheHierarchy aggregatedColumn="25"/>
        </ext>
      </extLst>
    </cacheHierarchy>
    <cacheHierarchy uniqueName="[Measures].[Sum of Rating]" caption="Sum of Rating" measure="1" displayFolder="" measureGroup="Data" count="0" hidden="1">
      <extLst>
        <ext xmlns:x15="http://schemas.microsoft.com/office/spreadsheetml/2010/11/main" uri="{B97F6D7D-B522-45F9-BDA1-12C45D357490}">
          <x15:cacheHierarchy aggregatedColumn="19"/>
        </ext>
      </extLst>
    </cacheHierarchy>
    <cacheHierarchy uniqueName="[Measures].[Average of Rating]" caption="Average of Rating" measure="1" displayFolder="" measureGroup="Data" count="0" hidden="1">
      <extLst>
        <ext xmlns:x15="http://schemas.microsoft.com/office/spreadsheetml/2010/11/main" uri="{B97F6D7D-B522-45F9-BDA1-12C45D357490}">
          <x15:cacheHierarchy aggregatedColumn="19"/>
        </ext>
      </extLst>
    </cacheHierarchy>
    <cacheHierarchy uniqueName="[Measures].[Min of Rating]" caption="Min of Rating" measure="1" displayFolder="" measureGroup="Data" count="0" hidden="1">
      <extLst>
        <ext xmlns:x15="http://schemas.microsoft.com/office/spreadsheetml/2010/11/main" uri="{B97F6D7D-B522-45F9-BDA1-12C45D357490}">
          <x15:cacheHierarchy aggregatedColumn="19"/>
        </ext>
      </extLst>
    </cacheHierarchy>
    <cacheHierarchy uniqueName="[Measures].[Max of Rating]" caption="Max of Rating" measure="1" displayFolder="" measureGroup="Data" count="0" hidden="1">
      <extLst>
        <ext xmlns:x15="http://schemas.microsoft.com/office/spreadsheetml/2010/11/main" uri="{B97F6D7D-B522-45F9-BDA1-12C45D357490}">
          <x15:cacheHierarchy aggregatedColumn="19"/>
        </ext>
      </extLst>
    </cacheHierarchy>
    <cacheHierarchy uniqueName="[Measures].[Count of Rating]" caption="Count of Rating" measure="1" displayFolder="" measureGroup="Data" count="0" hidden="1">
      <extLst>
        <ext xmlns:x15="http://schemas.microsoft.com/office/spreadsheetml/2010/11/main" uri="{B97F6D7D-B522-45F9-BDA1-12C45D357490}">
          <x15:cacheHierarchy aggregatedColumn="19"/>
        </ext>
      </extLst>
    </cacheHierarchy>
    <cacheHierarchy uniqueName="[Measures].[Distinct Count of Rating]" caption="Distinct Count of Rating" measure="1" displayFolder="" measureGroup="Data" count="0" hidden="1">
      <extLst>
        <ext xmlns:x15="http://schemas.microsoft.com/office/spreadsheetml/2010/11/main" uri="{B97F6D7D-B522-45F9-BDA1-12C45D357490}">
          <x15:cacheHierarchy aggregatedColumn="19"/>
        </ext>
      </extLst>
    </cacheHierarchy>
    <cacheHierarchy uniqueName="[Measures].[Distinct Count of Invoice ID]" caption="Distinct Count of Invoice ID" measure="1" displayFolder="" measureGroup="Data" count="0" hidden="1">
      <extLst>
        <ext xmlns:x15="http://schemas.microsoft.com/office/spreadsheetml/2010/11/main" uri="{B97F6D7D-B522-45F9-BDA1-12C45D357490}">
          <x15:cacheHierarchy aggregatedColumn="0"/>
        </ext>
      </extLst>
    </cacheHierarchy>
    <cacheHierarchy uniqueName="[Measures].[Count of Customer type]" caption="Count of Customer type" measure="1" displayFolder="" measureGroup="Data" count="0" hidden="1">
      <extLst>
        <ext xmlns:x15="http://schemas.microsoft.com/office/spreadsheetml/2010/11/main" uri="{B97F6D7D-B522-45F9-BDA1-12C45D357490}">
          <x15:cacheHierarchy aggregatedColumn="4"/>
        </ext>
      </extLst>
    </cacheHierarchy>
    <cacheHierarchy uniqueName="[Measures].[Count of Payment]" caption="Count of Payment" measure="1" displayFolder="" measureGroup="Data" count="0" hidden="1">
      <extLst>
        <ext xmlns:x15="http://schemas.microsoft.com/office/spreadsheetml/2010/11/main" uri="{B97F6D7D-B522-45F9-BDA1-12C45D357490}">
          <x15:cacheHierarchy aggregatedColumn="16"/>
        </ext>
      </extLst>
    </cacheHierarchy>
    <cacheHierarchy uniqueName="[Measures].[Average of Total]" caption="Average of Total" measure="1" displayFolder="" measureGroup="Data" count="0" hidden="1">
      <extLst>
        <ext xmlns:x15="http://schemas.microsoft.com/office/spreadsheetml/2010/11/main" uri="{B97F6D7D-B522-45F9-BDA1-12C45D357490}">
          <x15:cacheHierarchy aggregatedColumn="10"/>
        </ext>
      </extLst>
    </cacheHierarchy>
    <cacheHierarchy uniqueName="[Measures].[Sum of Unit price]" caption="Sum of Unit price" measure="1" displayFolder="" measureGroup="Data" count="0" hidden="1">
      <extLst>
        <ext xmlns:x15="http://schemas.microsoft.com/office/spreadsheetml/2010/11/main" uri="{B97F6D7D-B522-45F9-BDA1-12C45D357490}">
          <x15:cacheHierarchy aggregatedColumn="7"/>
        </ext>
      </extLst>
    </cacheHierarchy>
    <cacheHierarchy uniqueName="[Measures].[Average of Unit price]" caption="Average of Unit price" measure="1" displayFolder="" measureGroup="Data" count="0" hidden="1">
      <extLst>
        <ext xmlns:x15="http://schemas.microsoft.com/office/spreadsheetml/2010/11/main" uri="{B97F6D7D-B522-45F9-BDA1-12C45D357490}">
          <x15:cacheHierarchy aggregatedColumn="7"/>
        </ext>
      </extLst>
    </cacheHierarchy>
    <cacheHierarchy uniqueName="[Measures].[Max of Unit price]" caption="Max of Unit price" measure="1" displayFolder="" measureGroup="Data" count="0" hidden="1">
      <extLst>
        <ext xmlns:x15="http://schemas.microsoft.com/office/spreadsheetml/2010/11/main" uri="{B97F6D7D-B522-45F9-BDA1-12C45D357490}">
          <x15:cacheHierarchy aggregatedColumn="7"/>
        </ext>
      </extLst>
    </cacheHierarchy>
    <cacheHierarchy uniqueName="[Measures].[Min of Unit price]" caption="Min of Unit price" measure="1" displayFolder="" measureGroup="Data" count="0" hidden="1">
      <extLst>
        <ext xmlns:x15="http://schemas.microsoft.com/office/spreadsheetml/2010/11/main" uri="{B97F6D7D-B522-45F9-BDA1-12C45D357490}">
          <x15:cacheHierarchy aggregatedColumn="7"/>
        </ext>
      </extLst>
    </cacheHierarchy>
  </cacheHierarchies>
  <kpis count="0"/>
  <dimensions count="4">
    <dimension name="Data" uniqueName="[Data]" caption="Data"/>
    <dimension measure="1" name="Measures" uniqueName="[Measures]" caption="Measures"/>
    <dimension name="REP" uniqueName="[REP]" caption="REP"/>
    <dimension name="Returns" uniqueName="[Returns]" caption="Returns"/>
  </dimensions>
  <measureGroups count="3">
    <measureGroup name="Data" caption="Data"/>
    <measureGroup name="REP" caption="REP"/>
    <measureGroup name="Returns" caption="Returns"/>
  </measureGroups>
  <maps count="5">
    <map measureGroup="0" dimension="0"/>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Amira" refreshedDate="46138.962705439815" backgroundQuery="1" createdVersion="6" refreshedVersion="6" minRefreshableVersion="3" recordCount="0" supportSubquery="1" supportAdvancedDrill="1">
  <cacheSource type="external" connectionId="1"/>
  <cacheFields count="4">
    <cacheField name="[Measures].[Sum of Total]" caption="Sum of Total" numFmtId="0" hierarchy="30" level="32767"/>
    <cacheField name="[Data].[Year].[Year]" caption="Year" numFmtId="0" hierarchy="14" level="1">
      <sharedItems containsSemiMixedTypes="0" containsString="0" containsNumber="1" containsInteger="1" minValue="2019" maxValue="2022" count="4">
        <n v="2019"/>
        <n v="2020"/>
        <n v="2021"/>
        <n v="2022"/>
      </sharedItems>
      <extLst>
        <ext xmlns:x15="http://schemas.microsoft.com/office/spreadsheetml/2010/11/main" uri="{4F2E5C28-24EA-4eb8-9CBF-B6C8F9C3D259}">
          <x15:cachedUniqueNames>
            <x15:cachedUniqueName index="0" name="[Data].[Year].&amp;[2019]"/>
            <x15:cachedUniqueName index="1" name="[Data].[Year].&amp;[2020]"/>
            <x15:cachedUniqueName index="2" name="[Data].[Year].&amp;[2021]"/>
            <x15:cachedUniqueName index="3" name="[Data].[Year].&amp;[2022]"/>
          </x15:cachedUniqueNames>
        </ext>
      </extLst>
    </cacheField>
    <cacheField name="[Data].[Product line].[Product line]" caption="Product line" numFmtId="0" hierarchy="6" level="1">
      <sharedItems containsSemiMixedTypes="0" containsNonDate="0" containsString="0"/>
    </cacheField>
    <cacheField name="Dummy0" numFmtId="0" hierarchy="55" level="32767">
      <extLst>
        <ext xmlns:x14="http://schemas.microsoft.com/office/spreadsheetml/2009/9/main" uri="{63CAB8AC-B538-458d-9737-405883B0398D}">
          <x14:cacheField ignore="1"/>
        </ext>
      </extLst>
    </cacheField>
  </cacheFields>
  <cacheHierarchies count="56">
    <cacheHierarchy uniqueName="[Data].[Invoice ID]" caption="Invoice ID" attribute="1" defaultMemberUniqueName="[Data].[Invoice ID].[All]" allUniqueName="[Data].[Invoice ID].[All]" dimensionUniqueName="[Data]" displayFolder="" count="0" memberValueDatatype="130" unbalanced="0"/>
    <cacheHierarchy uniqueName="[Data].[Branch]" caption="Branch" attribute="1" defaultMemberUniqueName="[Data].[Branch].[All]" allUniqueName="[Data].[Branch].[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Branch City]" caption="Branch City" attribute="1" defaultMemberUniqueName="[Data].[Branch City].[All]" allUniqueName="[Data].[Branch City].[All]" dimensionUniqueName="[Data]" displayFolder="" count="2" memberValueDatatype="130" unbalanced="0"/>
    <cacheHierarchy uniqueName="[Data].[Customer type]" caption="Customer type" attribute="1" defaultMemberUniqueName="[Data].[Customer type].[All]" allUniqueName="[Data].[Customer type].[All]" dimensionUniqueName="[Data]" displayFolder="" count="0" memberValueDatatype="130" unbalanced="0"/>
    <cacheHierarchy uniqueName="[Data].[Gender]" caption="Gender" attribute="1" defaultMemberUniqueName="[Data].[Gender].[All]" allUniqueName="[Data].[Gender].[All]" dimensionUniqueName="[Data]" displayFolder="" count="0" memberValueDatatype="130" unbalanced="0"/>
    <cacheHierarchy uniqueName="[Data].[Product line]" caption="Product line" attribute="1" defaultMemberUniqueName="[Data].[Product line].[All]" allUniqueName="[Data].[Product line].[All]" dimensionUniqueName="[Data]" displayFolder="" count="2" memberValueDatatype="130" unbalanced="0">
      <fieldsUsage count="2">
        <fieldUsage x="-1"/>
        <fieldUsage x="2"/>
      </fieldsUsage>
    </cacheHierarchy>
    <cacheHierarchy uniqueName="[Data].[Unit price]" caption="Unit price" attribute="1" defaultMemberUniqueName="[Data].[Unit price].[All]" allUniqueName="[Data].[Unit price].[All]" dimensionUniqueName="[Data]" displayFolder="" count="0" memberValueDatatype="5" unbalanced="0"/>
    <cacheHierarchy uniqueName="[Data].[Quantity]" caption="Quantity" attribute="1" defaultMemberUniqueName="[Data].[Quantity].[All]" allUniqueName="[Data].[Quantity].[All]" dimensionUniqueName="[Data]" displayFolder="" count="0" memberValueDatatype="20" unbalanced="0"/>
    <cacheHierarchy uniqueName="[Data].[Tax 5%]" caption="Tax 5%" attribute="1" defaultMemberUniqueName="[Data].[Tax 5%].[All]" allUniqueName="[Data].[Tax 5%].[All]" dimensionUniqueName="[Data]" displayFolder="" count="0" memberValueDatatype="5" unbalanced="0"/>
    <cacheHierarchy uniqueName="[Data].[Total]" caption="Total" attribute="1" defaultMemberUniqueName="[Data].[Total].[All]" allUniqueName="[Data].[Total].[All]" dimensionUniqueName="[Data]" displayFolder="" count="0" memberValueDatatype="5" unbalanced="0"/>
    <cacheHierarchy uniqueName="[Data].[Date]" caption="Date" attribute="1" time="1" defaultMemberUniqueName="[Data].[Date].[All]" allUniqueName="[Data].[Date].[All]" dimensionUniqueName="[Data]" displayFolder="" count="0" memberValueDatatype="7" unbalanced="0"/>
    <cacheHierarchy uniqueName="[Data].[Day]" caption="Day" attribute="1" defaultMemberUniqueName="[Data].[Day].[All]" allUniqueName="[Data].[Day].[All]" dimensionUniqueName="[Data]" displayFolder="" count="0" memberValueDatatype="20" unbalanced="0"/>
    <cacheHierarchy uniqueName="[Data].[Month]" caption="Month" attribute="1" defaultMemberUniqueName="[Data].[Month].[All]" allUniqueName="[Data].[Month].[All]" dimensionUniqueName="[Data]" displayFolder="" count="0" memberValueDatatype="20" unbalanced="0"/>
    <cacheHierarchy uniqueName="[Data].[Year]" caption="Year" attribute="1" defaultMemberUniqueName="[Data].[Year].[All]" allUniqueName="[Data].[Year].[All]" dimensionUniqueName="[Data]" displayFolder="" count="2" memberValueDatatype="20" unbalanced="0">
      <fieldsUsage count="2">
        <fieldUsage x="-1"/>
        <fieldUsage x="1"/>
      </fieldsUsage>
    </cacheHierarchy>
    <cacheHierarchy uniqueName="[Data].[Time]" caption="Time" attribute="1" time="1" defaultMemberUniqueName="[Data].[Time].[All]" allUniqueName="[Data].[Time].[All]" dimensionUniqueName="[Data]" displayFolder="" count="0" memberValueDatatype="7" unbalanced="0"/>
    <cacheHierarchy uniqueName="[Data].[Payment]" caption="Payment" attribute="1" defaultMemberUniqueName="[Data].[Payment].[All]" allUniqueName="[Data].[Payment].[All]" dimensionUniqueName="[Data]" displayFolder="" count="0" memberValueDatatype="130" unbalanced="0"/>
    <cacheHierarchy uniqueName="[Data].[cogs]" caption="cogs" attribute="1" defaultMemberUniqueName="[Data].[cogs].[All]" allUniqueName="[Data].[cogs].[All]" dimensionUniqueName="[Data]" displayFolder="" count="0" memberValueDatatype="5" unbalanced="0"/>
    <cacheHierarchy uniqueName="[Data].[Net Profit]" caption="Net Profit" attribute="1" defaultMemberUniqueName="[Data].[Net Profit].[All]" allUniqueName="[Data].[Net Profit].[All]" dimensionUniqueName="[Data]" displayFolder="" count="0" memberValueDatatype="5" unbalanced="0"/>
    <cacheHierarchy uniqueName="[Data].[Rating]" caption="Rating" attribute="1" defaultMemberUniqueName="[Data].[Rating].[All]" allUniqueName="[Data].[Rating].[All]" dimensionUniqueName="[Data]" displayFolder="" count="0" memberValueDatatype="5" unbalanced="0"/>
    <cacheHierarchy uniqueName="[Data].[Time (Hour)]" caption="Time (Hour)" attribute="1" defaultMemberUniqueName="[Data].[Time (Hour)].[All]" allUniqueName="[Data].[Time (Hour)].[All]" dimensionUniqueName="[Data]" displayFolder="" count="0" memberValueDatatype="130" unbalanced="0"/>
    <cacheHierarchy uniqueName="[Data].[Time (Minute)]" caption="Time (Minute)" attribute="1" defaultMemberUniqueName="[Data].[Time (Minute)].[All]" allUniqueName="[Data].[Time (Minute)].[All]" dimensionUniqueName="[Data]" displayFolder="" count="0" memberValueDatatype="130" unbalanced="0"/>
    <cacheHierarchy uniqueName="[REP].[city]" caption="city" attribute="1" defaultMemberUniqueName="[REP].[city].[All]" allUniqueName="[REP].[city].[All]" dimensionUniqueName="[REP]" displayFolder="" count="0" memberValueDatatype="130" unbalanced="0"/>
    <cacheHierarchy uniqueName="[REP].[Rep]" caption="Rep" attribute="1" defaultMemberUniqueName="[REP].[Rep].[All]" allUniqueName="[REP].[Rep].[All]" dimensionUniqueName="[REP]" displayFolder="" count="0" memberValueDatatype="130" unbalanced="0"/>
    <cacheHierarchy uniqueName="[Returns].[returns]" caption="returns" attribute="1" defaultMemberUniqueName="[Returns].[returns].[All]" allUniqueName="[Returns].[returns].[All]" dimensionUniqueName="[Returns]" displayFolder="" count="0" memberValueDatatype="130" unbalanced="0"/>
    <cacheHierarchy uniqueName="[Returns].[Invoice ID]" caption="Invoice ID" attribute="1" defaultMemberUniqueName="[Returns].[Invoice ID].[All]" allUniqueName="[Returns].[Invoice ID].[All]" dimensionUniqueName="[Returns]" displayFolder="" count="0" memberValueDatatype="130" unbalanced="0"/>
    <cacheHierarchy uniqueName="[Measures].[__XL_Count REP]" caption="__XL_Count REP" measure="1" displayFolder="" measureGroup="REP" count="0" hidden="1"/>
    <cacheHierarchy uniqueName="[Measures].[__XL_Count Returns]" caption="__XL_Count Returns" measure="1" displayFolder="" measureGroup="Returns" count="0" hidden="1"/>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Total]" caption="Sum of Total" measure="1" displayFolder="" measureGroup="Data" count="0" oneField="1" hidden="1">
      <fieldsUsage count="1">
        <fieldUsage x="0"/>
      </fieldsUsage>
      <extLst>
        <ext xmlns:x15="http://schemas.microsoft.com/office/spreadsheetml/2010/11/main" uri="{B97F6D7D-B522-45F9-BDA1-12C45D357490}">
          <x15:cacheHierarchy aggregatedColumn="10"/>
        </ext>
      </extLst>
    </cacheHierarchy>
    <cacheHierarchy uniqueName="[Measures].[Count of returns]" caption="Count of returns" measure="1" displayFolder="" measureGroup="Returns" count="0" hidden="1">
      <extLst>
        <ext xmlns:x15="http://schemas.microsoft.com/office/spreadsheetml/2010/11/main" uri="{B97F6D7D-B522-45F9-BDA1-12C45D357490}">
          <x15:cacheHierarchy aggregatedColumn="24"/>
        </ext>
      </extLst>
    </cacheHierarchy>
    <cacheHierarchy uniqueName="[Measures].[Sum of Net Profit]" caption="Sum of Net Profit" measure="1" displayFolder="" measureGroup="Data" count="0" hidden="1">
      <extLst>
        <ext xmlns:x15="http://schemas.microsoft.com/office/spreadsheetml/2010/11/main" uri="{B97F6D7D-B522-45F9-BDA1-12C45D357490}">
          <x15:cacheHierarchy aggregatedColumn="18"/>
        </ext>
      </extLst>
    </cacheHierarchy>
    <cacheHierarchy uniqueName="[Measures].[Sum of cogs]" caption="Sum of cogs" measure="1" displayFolder="" measureGroup="Data" count="0" hidden="1">
      <extLst>
        <ext xmlns:x15="http://schemas.microsoft.com/office/spreadsheetml/2010/11/main" uri="{B97F6D7D-B522-45F9-BDA1-12C45D357490}">
          <x15:cacheHierarchy aggregatedColumn="17"/>
        </ext>
      </extLst>
    </cacheHierarchy>
    <cacheHierarchy uniqueName="[Measures].[Sum of Tax 5%]" caption="Sum of Tax 5%" measure="1" displayFolder="" measureGroup="Data" count="0" hidden="1">
      <extLst>
        <ext xmlns:x15="http://schemas.microsoft.com/office/spreadsheetml/2010/11/main" uri="{B97F6D7D-B522-45F9-BDA1-12C45D357490}">
          <x15:cacheHierarchy aggregatedColumn="9"/>
        </ext>
      </extLst>
    </cacheHierarchy>
    <cacheHierarchy uniqueName="[Measures].[Average of Net Profit]" caption="Average of Net Profit" measure="1" displayFolder="" measureGroup="Data"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8"/>
        </ext>
      </extLst>
    </cacheHierarchy>
    <cacheHierarchy uniqueName="[Measures].[Count of Invoice ID]" caption="Count of Invoice ID" measure="1" displayFolder="" measureGroup="Data" count="0" hidden="1">
      <extLst>
        <ext xmlns:x15="http://schemas.microsoft.com/office/spreadsheetml/2010/11/main" uri="{B97F6D7D-B522-45F9-BDA1-12C45D357490}">
          <x15:cacheHierarchy aggregatedColumn="0"/>
        </ext>
      </extLst>
    </cacheHierarchy>
    <cacheHierarchy uniqueName="[Measures].[Count of Quantity]" caption="Count of Quantity" measure="1" displayFolder="" measureGroup="Data" count="0" hidden="1">
      <extLst>
        <ext xmlns:x15="http://schemas.microsoft.com/office/spreadsheetml/2010/11/main" uri="{B97F6D7D-B522-45F9-BDA1-12C45D357490}">
          <x15:cacheHierarchy aggregatedColumn="8"/>
        </ext>
      </extLst>
    </cacheHierarchy>
    <cacheHierarchy uniqueName="[Measures].[Count of Product line]" caption="Count of Product line" measure="1" displayFolder="" measureGroup="Data" count="0" hidden="1">
      <extLst>
        <ext xmlns:x15="http://schemas.microsoft.com/office/spreadsheetml/2010/11/main" uri="{B97F6D7D-B522-45F9-BDA1-12C45D357490}">
          <x15:cacheHierarchy aggregatedColumn="6"/>
        </ext>
      </extLst>
    </cacheHierarchy>
    <cacheHierarchy uniqueName="[Measures].[Count of Invoice ID 2]" caption="Count of Invoice ID 2" measure="1" displayFolder="" measureGroup="Returns" count="0" hidden="1">
      <extLst>
        <ext xmlns:x15="http://schemas.microsoft.com/office/spreadsheetml/2010/11/main" uri="{B97F6D7D-B522-45F9-BDA1-12C45D357490}">
          <x15:cacheHierarchy aggregatedColumn="25"/>
        </ext>
      </extLst>
    </cacheHierarchy>
    <cacheHierarchy uniqueName="[Measures].[Sum of Rating]" caption="Sum of Rating" measure="1" displayFolder="" measureGroup="Data" count="0" hidden="1">
      <extLst>
        <ext xmlns:x15="http://schemas.microsoft.com/office/spreadsheetml/2010/11/main" uri="{B97F6D7D-B522-45F9-BDA1-12C45D357490}">
          <x15:cacheHierarchy aggregatedColumn="19"/>
        </ext>
      </extLst>
    </cacheHierarchy>
    <cacheHierarchy uniqueName="[Measures].[Average of Rating]" caption="Average of Rating" measure="1" displayFolder="" measureGroup="Data" count="0" hidden="1">
      <extLst>
        <ext xmlns:x15="http://schemas.microsoft.com/office/spreadsheetml/2010/11/main" uri="{B97F6D7D-B522-45F9-BDA1-12C45D357490}">
          <x15:cacheHierarchy aggregatedColumn="19"/>
        </ext>
      </extLst>
    </cacheHierarchy>
    <cacheHierarchy uniqueName="[Measures].[Min of Rating]" caption="Min of Rating" measure="1" displayFolder="" measureGroup="Data" count="0" hidden="1">
      <extLst>
        <ext xmlns:x15="http://schemas.microsoft.com/office/spreadsheetml/2010/11/main" uri="{B97F6D7D-B522-45F9-BDA1-12C45D357490}">
          <x15:cacheHierarchy aggregatedColumn="19"/>
        </ext>
      </extLst>
    </cacheHierarchy>
    <cacheHierarchy uniqueName="[Measures].[Max of Rating]" caption="Max of Rating" measure="1" displayFolder="" measureGroup="Data" count="0" hidden="1">
      <extLst>
        <ext xmlns:x15="http://schemas.microsoft.com/office/spreadsheetml/2010/11/main" uri="{B97F6D7D-B522-45F9-BDA1-12C45D357490}">
          <x15:cacheHierarchy aggregatedColumn="19"/>
        </ext>
      </extLst>
    </cacheHierarchy>
    <cacheHierarchy uniqueName="[Measures].[Count of Rating]" caption="Count of Rating" measure="1" displayFolder="" measureGroup="Data" count="0" hidden="1">
      <extLst>
        <ext xmlns:x15="http://schemas.microsoft.com/office/spreadsheetml/2010/11/main" uri="{B97F6D7D-B522-45F9-BDA1-12C45D357490}">
          <x15:cacheHierarchy aggregatedColumn="19"/>
        </ext>
      </extLst>
    </cacheHierarchy>
    <cacheHierarchy uniqueName="[Measures].[Distinct Count of Rating]" caption="Distinct Count of Rating" measure="1" displayFolder="" measureGroup="Data" count="0" hidden="1">
      <extLst>
        <ext xmlns:x15="http://schemas.microsoft.com/office/spreadsheetml/2010/11/main" uri="{B97F6D7D-B522-45F9-BDA1-12C45D357490}">
          <x15:cacheHierarchy aggregatedColumn="19"/>
        </ext>
      </extLst>
    </cacheHierarchy>
    <cacheHierarchy uniqueName="[Measures].[Distinct Count of Invoice ID]" caption="Distinct Count of Invoice ID" measure="1" displayFolder="" measureGroup="Data" count="0" hidden="1">
      <extLst>
        <ext xmlns:x15="http://schemas.microsoft.com/office/spreadsheetml/2010/11/main" uri="{B97F6D7D-B522-45F9-BDA1-12C45D357490}">
          <x15:cacheHierarchy aggregatedColumn="0"/>
        </ext>
      </extLst>
    </cacheHierarchy>
    <cacheHierarchy uniqueName="[Measures].[Count of Customer type]" caption="Count of Customer type" measure="1" displayFolder="" measureGroup="Data" count="0" hidden="1">
      <extLst>
        <ext xmlns:x15="http://schemas.microsoft.com/office/spreadsheetml/2010/11/main" uri="{B97F6D7D-B522-45F9-BDA1-12C45D357490}">
          <x15:cacheHierarchy aggregatedColumn="4"/>
        </ext>
      </extLst>
    </cacheHierarchy>
    <cacheHierarchy uniqueName="[Measures].[Count of Payment]" caption="Count of Payment" measure="1" displayFolder="" measureGroup="Data" count="0" hidden="1">
      <extLst>
        <ext xmlns:x15="http://schemas.microsoft.com/office/spreadsheetml/2010/11/main" uri="{B97F6D7D-B522-45F9-BDA1-12C45D357490}">
          <x15:cacheHierarchy aggregatedColumn="16"/>
        </ext>
      </extLst>
    </cacheHierarchy>
    <cacheHierarchy uniqueName="[Measures].[Average of Total]" caption="Average of Total" measure="1" displayFolder="" measureGroup="Data" count="0" hidden="1">
      <extLst>
        <ext xmlns:x15="http://schemas.microsoft.com/office/spreadsheetml/2010/11/main" uri="{B97F6D7D-B522-45F9-BDA1-12C45D357490}">
          <x15:cacheHierarchy aggregatedColumn="10"/>
        </ext>
      </extLst>
    </cacheHierarchy>
    <cacheHierarchy uniqueName="[Measures].[Sum of Unit price]" caption="Sum of Unit price" measure="1" displayFolder="" measureGroup="Data" count="0" hidden="1">
      <extLst>
        <ext xmlns:x15="http://schemas.microsoft.com/office/spreadsheetml/2010/11/main" uri="{B97F6D7D-B522-45F9-BDA1-12C45D357490}">
          <x15:cacheHierarchy aggregatedColumn="7"/>
        </ext>
      </extLst>
    </cacheHierarchy>
    <cacheHierarchy uniqueName="[Measures].[Average of Unit price]" caption="Average of Unit price" measure="1" displayFolder="" measureGroup="Data" count="0" hidden="1">
      <extLst>
        <ext xmlns:x15="http://schemas.microsoft.com/office/spreadsheetml/2010/11/main" uri="{B97F6D7D-B522-45F9-BDA1-12C45D357490}">
          <x15:cacheHierarchy aggregatedColumn="7"/>
        </ext>
      </extLst>
    </cacheHierarchy>
    <cacheHierarchy uniqueName="[Measures].[Max of Unit price]" caption="Max of Unit price" measure="1" displayFolder="" measureGroup="Data" count="0" hidden="1">
      <extLst>
        <ext xmlns:x15="http://schemas.microsoft.com/office/spreadsheetml/2010/11/main" uri="{B97F6D7D-B522-45F9-BDA1-12C45D357490}">
          <x15:cacheHierarchy aggregatedColumn="7"/>
        </ext>
      </extLst>
    </cacheHierarchy>
    <cacheHierarchy uniqueName="[Measures].[Min of Unit price]" caption="Min of Unit price" measure="1" displayFolder="" measureGroup="Data" count="0" hidden="1">
      <extLst>
        <ext xmlns:x15="http://schemas.microsoft.com/office/spreadsheetml/2010/11/main" uri="{B97F6D7D-B522-45F9-BDA1-12C45D357490}">
          <x15:cacheHierarchy aggregatedColumn="7"/>
        </ext>
      </extLst>
    </cacheHierarchy>
    <cacheHierarchy uniqueName="Dummy0" caption="Invoice ID" measure="1" count="0">
      <extLst>
        <ext xmlns:x14="http://schemas.microsoft.com/office/spreadsheetml/2009/9/main" uri="{8CF416AD-EC4C-4aba-99F5-12A058AE0983}">
          <x14:cacheHierarchy ignore="1"/>
        </ext>
      </extLst>
    </cacheHierarchy>
  </cacheHierarchies>
  <kpis count="0"/>
  <dimensions count="4">
    <dimension name="Data" uniqueName="[Data]" caption="Data"/>
    <dimension measure="1" name="Measures" uniqueName="[Measures]" caption="Measures"/>
    <dimension name="REP" uniqueName="[REP]" caption="REP"/>
    <dimension name="Returns" uniqueName="[Returns]" caption="Returns"/>
  </dimensions>
  <measureGroups count="3">
    <measureGroup name="Data" caption="Data"/>
    <measureGroup name="REP" caption="REP"/>
    <measureGroup name="Returns" caption="Returns"/>
  </measureGroups>
  <maps count="5">
    <map measureGroup="0" dimension="0"/>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Amira" refreshedDate="46138.962706134262" backgroundQuery="1" createdVersion="6" refreshedVersion="6" minRefreshableVersion="3" recordCount="0" supportSubquery="1" supportAdvancedDrill="1">
  <cacheSource type="external" connectionId="1"/>
  <cacheFields count="3">
    <cacheField name="[Data].[Year].[Year]" caption="Year" numFmtId="0" hierarchy="14" level="1">
      <sharedItems containsSemiMixedTypes="0" containsString="0" containsNumber="1" containsInteger="1" minValue="2019" maxValue="2022" count="4">
        <n v="2019"/>
        <n v="2020"/>
        <n v="2021"/>
        <n v="2022"/>
      </sharedItems>
      <extLst>
        <ext xmlns:x15="http://schemas.microsoft.com/office/spreadsheetml/2010/11/main" uri="{4F2E5C28-24EA-4eb8-9CBF-B6C8F9C3D259}">
          <x15:cachedUniqueNames>
            <x15:cachedUniqueName index="0" name="[Data].[Year].&amp;[2019]"/>
            <x15:cachedUniqueName index="1" name="[Data].[Year].&amp;[2020]"/>
            <x15:cachedUniqueName index="2" name="[Data].[Year].&amp;[2021]"/>
            <x15:cachedUniqueName index="3" name="[Data].[Year].&amp;[2022]"/>
          </x15:cachedUniqueNames>
        </ext>
      </extLst>
    </cacheField>
    <cacheField name="[Measures].[Sum of Total]" caption="Sum of Total" numFmtId="0" hierarchy="30" level="32767"/>
    <cacheField name="[Data].[Product line].[Product line]" caption="Product line" numFmtId="0" hierarchy="6" level="1">
      <sharedItems containsSemiMixedTypes="0" containsNonDate="0" containsString="0"/>
    </cacheField>
  </cacheFields>
  <cacheHierarchies count="55">
    <cacheHierarchy uniqueName="[Data].[Invoice ID]" caption="Invoice ID" attribute="1" defaultMemberUniqueName="[Data].[Invoice ID].[All]" allUniqueName="[Data].[Invoice ID].[All]" dimensionUniqueName="[Data]" displayFolder="" count="0" memberValueDatatype="130" unbalanced="0"/>
    <cacheHierarchy uniqueName="[Data].[Branch]" caption="Branch" attribute="1" defaultMemberUniqueName="[Data].[Branch].[All]" allUniqueName="[Data].[Branch].[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Branch City]" caption="Branch City" attribute="1" defaultMemberUniqueName="[Data].[Branch City].[All]" allUniqueName="[Data].[Branch City].[All]" dimensionUniqueName="[Data]" displayFolder="" count="2" memberValueDatatype="130" unbalanced="0"/>
    <cacheHierarchy uniqueName="[Data].[Customer type]" caption="Customer type" attribute="1" defaultMemberUniqueName="[Data].[Customer type].[All]" allUniqueName="[Data].[Customer type].[All]" dimensionUniqueName="[Data]" displayFolder="" count="0" memberValueDatatype="130" unbalanced="0"/>
    <cacheHierarchy uniqueName="[Data].[Gender]" caption="Gender" attribute="1" defaultMemberUniqueName="[Data].[Gender].[All]" allUniqueName="[Data].[Gender].[All]" dimensionUniqueName="[Data]" displayFolder="" count="0" memberValueDatatype="130" unbalanced="0"/>
    <cacheHierarchy uniqueName="[Data].[Product line]" caption="Product line" attribute="1" defaultMemberUniqueName="[Data].[Product line].[All]" allUniqueName="[Data].[Product line].[All]" dimensionUniqueName="[Data]" displayFolder="" count="2" memberValueDatatype="130" unbalanced="0">
      <fieldsUsage count="2">
        <fieldUsage x="-1"/>
        <fieldUsage x="2"/>
      </fieldsUsage>
    </cacheHierarchy>
    <cacheHierarchy uniqueName="[Data].[Unit price]" caption="Unit price" attribute="1" defaultMemberUniqueName="[Data].[Unit price].[All]" allUniqueName="[Data].[Unit price].[All]" dimensionUniqueName="[Data]" displayFolder="" count="0" memberValueDatatype="5" unbalanced="0"/>
    <cacheHierarchy uniqueName="[Data].[Quantity]" caption="Quantity" attribute="1" defaultMemberUniqueName="[Data].[Quantity].[All]" allUniqueName="[Data].[Quantity].[All]" dimensionUniqueName="[Data]" displayFolder="" count="0" memberValueDatatype="20" unbalanced="0"/>
    <cacheHierarchy uniqueName="[Data].[Tax 5%]" caption="Tax 5%" attribute="1" defaultMemberUniqueName="[Data].[Tax 5%].[All]" allUniqueName="[Data].[Tax 5%].[All]" dimensionUniqueName="[Data]" displayFolder="" count="0" memberValueDatatype="5" unbalanced="0"/>
    <cacheHierarchy uniqueName="[Data].[Total]" caption="Total" attribute="1" defaultMemberUniqueName="[Data].[Total].[All]" allUniqueName="[Data].[Total].[All]" dimensionUniqueName="[Data]" displayFolder="" count="0" memberValueDatatype="5" unbalanced="0"/>
    <cacheHierarchy uniqueName="[Data].[Date]" caption="Date" attribute="1" time="1" defaultMemberUniqueName="[Data].[Date].[All]" allUniqueName="[Data].[Date].[All]" dimensionUniqueName="[Data]" displayFolder="" count="0" memberValueDatatype="7" unbalanced="0"/>
    <cacheHierarchy uniqueName="[Data].[Day]" caption="Day" attribute="1" defaultMemberUniqueName="[Data].[Day].[All]" allUniqueName="[Data].[Day].[All]" dimensionUniqueName="[Data]" displayFolder="" count="0" memberValueDatatype="20" unbalanced="0"/>
    <cacheHierarchy uniqueName="[Data].[Month]" caption="Month" attribute="1" defaultMemberUniqueName="[Data].[Month].[All]" allUniqueName="[Data].[Month].[All]" dimensionUniqueName="[Data]" displayFolder="" count="0" memberValueDatatype="20" unbalanced="0"/>
    <cacheHierarchy uniqueName="[Data].[Year]" caption="Year" attribute="1" defaultMemberUniqueName="[Data].[Year].[All]" allUniqueName="[Data].[Year].[All]" dimensionUniqueName="[Data]" displayFolder="" count="2" memberValueDatatype="20" unbalanced="0">
      <fieldsUsage count="2">
        <fieldUsage x="-1"/>
        <fieldUsage x="0"/>
      </fieldsUsage>
    </cacheHierarchy>
    <cacheHierarchy uniqueName="[Data].[Time]" caption="Time" attribute="1" time="1" defaultMemberUniqueName="[Data].[Time].[All]" allUniqueName="[Data].[Time].[All]" dimensionUniqueName="[Data]" displayFolder="" count="0" memberValueDatatype="7" unbalanced="0"/>
    <cacheHierarchy uniqueName="[Data].[Payment]" caption="Payment" attribute="1" defaultMemberUniqueName="[Data].[Payment].[All]" allUniqueName="[Data].[Payment].[All]" dimensionUniqueName="[Data]" displayFolder="" count="0" memberValueDatatype="130" unbalanced="0"/>
    <cacheHierarchy uniqueName="[Data].[cogs]" caption="cogs" attribute="1" defaultMemberUniqueName="[Data].[cogs].[All]" allUniqueName="[Data].[cogs].[All]" dimensionUniqueName="[Data]" displayFolder="" count="0" memberValueDatatype="5" unbalanced="0"/>
    <cacheHierarchy uniqueName="[Data].[Net Profit]" caption="Net Profit" attribute="1" defaultMemberUniqueName="[Data].[Net Profit].[All]" allUniqueName="[Data].[Net Profit].[All]" dimensionUniqueName="[Data]" displayFolder="" count="0" memberValueDatatype="5" unbalanced="0"/>
    <cacheHierarchy uniqueName="[Data].[Rating]" caption="Rating" attribute="1" defaultMemberUniqueName="[Data].[Rating].[All]" allUniqueName="[Data].[Rating].[All]" dimensionUniqueName="[Data]" displayFolder="" count="0" memberValueDatatype="5" unbalanced="0"/>
    <cacheHierarchy uniqueName="[Data].[Time (Hour)]" caption="Time (Hour)" attribute="1" defaultMemberUniqueName="[Data].[Time (Hour)].[All]" allUniqueName="[Data].[Time (Hour)].[All]" dimensionUniqueName="[Data]" displayFolder="" count="0" memberValueDatatype="130" unbalanced="0"/>
    <cacheHierarchy uniqueName="[Data].[Time (Minute)]" caption="Time (Minute)" attribute="1" defaultMemberUniqueName="[Data].[Time (Minute)].[All]" allUniqueName="[Data].[Time (Minute)].[All]" dimensionUniqueName="[Data]" displayFolder="" count="0" memberValueDatatype="130" unbalanced="0"/>
    <cacheHierarchy uniqueName="[REP].[city]" caption="city" attribute="1" defaultMemberUniqueName="[REP].[city].[All]" allUniqueName="[REP].[city].[All]" dimensionUniqueName="[REP]" displayFolder="" count="0" memberValueDatatype="130" unbalanced="0"/>
    <cacheHierarchy uniqueName="[REP].[Rep]" caption="Rep" attribute="1" defaultMemberUniqueName="[REP].[Rep].[All]" allUniqueName="[REP].[Rep].[All]" dimensionUniqueName="[REP]" displayFolder="" count="0" memberValueDatatype="130" unbalanced="0"/>
    <cacheHierarchy uniqueName="[Returns].[returns]" caption="returns" attribute="1" defaultMemberUniqueName="[Returns].[returns].[All]" allUniqueName="[Returns].[returns].[All]" dimensionUniqueName="[Returns]" displayFolder="" count="0" memberValueDatatype="130" unbalanced="0"/>
    <cacheHierarchy uniqueName="[Returns].[Invoice ID]" caption="Invoice ID" attribute="1" defaultMemberUniqueName="[Returns].[Invoice ID].[All]" allUniqueName="[Returns].[Invoice ID].[All]" dimensionUniqueName="[Returns]" displayFolder="" count="0" memberValueDatatype="130" unbalanced="0"/>
    <cacheHierarchy uniqueName="[Measures].[__XL_Count REP]" caption="__XL_Count REP" measure="1" displayFolder="" measureGroup="REP" count="0" hidden="1"/>
    <cacheHierarchy uniqueName="[Measures].[__XL_Count Returns]" caption="__XL_Count Returns" measure="1" displayFolder="" measureGroup="Returns" count="0" hidden="1"/>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Total]" caption="Sum of Total" measure="1" displayFolder="" measureGroup="Data"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returns]" caption="Count of returns" measure="1" displayFolder="" measureGroup="Returns" count="0" hidden="1">
      <extLst>
        <ext xmlns:x15="http://schemas.microsoft.com/office/spreadsheetml/2010/11/main" uri="{B97F6D7D-B522-45F9-BDA1-12C45D357490}">
          <x15:cacheHierarchy aggregatedColumn="24"/>
        </ext>
      </extLst>
    </cacheHierarchy>
    <cacheHierarchy uniqueName="[Measures].[Sum of Net Profit]" caption="Sum of Net Profit" measure="1" displayFolder="" measureGroup="Data" count="0" hidden="1">
      <extLst>
        <ext xmlns:x15="http://schemas.microsoft.com/office/spreadsheetml/2010/11/main" uri="{B97F6D7D-B522-45F9-BDA1-12C45D357490}">
          <x15:cacheHierarchy aggregatedColumn="18"/>
        </ext>
      </extLst>
    </cacheHierarchy>
    <cacheHierarchy uniqueName="[Measures].[Sum of cogs]" caption="Sum of cogs" measure="1" displayFolder="" measureGroup="Data" count="0" hidden="1">
      <extLst>
        <ext xmlns:x15="http://schemas.microsoft.com/office/spreadsheetml/2010/11/main" uri="{B97F6D7D-B522-45F9-BDA1-12C45D357490}">
          <x15:cacheHierarchy aggregatedColumn="17"/>
        </ext>
      </extLst>
    </cacheHierarchy>
    <cacheHierarchy uniqueName="[Measures].[Sum of Tax 5%]" caption="Sum of Tax 5%" measure="1" displayFolder="" measureGroup="Data" count="0" hidden="1">
      <extLst>
        <ext xmlns:x15="http://schemas.microsoft.com/office/spreadsheetml/2010/11/main" uri="{B97F6D7D-B522-45F9-BDA1-12C45D357490}">
          <x15:cacheHierarchy aggregatedColumn="9"/>
        </ext>
      </extLst>
    </cacheHierarchy>
    <cacheHierarchy uniqueName="[Measures].[Average of Net Profit]" caption="Average of Net Profit" measure="1" displayFolder="" measureGroup="Data"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8"/>
        </ext>
      </extLst>
    </cacheHierarchy>
    <cacheHierarchy uniqueName="[Measures].[Count of Invoice ID]" caption="Count of Invoice ID" measure="1" displayFolder="" measureGroup="Data" count="0" hidden="1">
      <extLst>
        <ext xmlns:x15="http://schemas.microsoft.com/office/spreadsheetml/2010/11/main" uri="{B97F6D7D-B522-45F9-BDA1-12C45D357490}">
          <x15:cacheHierarchy aggregatedColumn="0"/>
        </ext>
      </extLst>
    </cacheHierarchy>
    <cacheHierarchy uniqueName="[Measures].[Count of Quantity]" caption="Count of Quantity" measure="1" displayFolder="" measureGroup="Data" count="0" hidden="1">
      <extLst>
        <ext xmlns:x15="http://schemas.microsoft.com/office/spreadsheetml/2010/11/main" uri="{B97F6D7D-B522-45F9-BDA1-12C45D357490}">
          <x15:cacheHierarchy aggregatedColumn="8"/>
        </ext>
      </extLst>
    </cacheHierarchy>
    <cacheHierarchy uniqueName="[Measures].[Count of Product line]" caption="Count of Product line" measure="1" displayFolder="" measureGroup="Data" count="0" hidden="1">
      <extLst>
        <ext xmlns:x15="http://schemas.microsoft.com/office/spreadsheetml/2010/11/main" uri="{B97F6D7D-B522-45F9-BDA1-12C45D357490}">
          <x15:cacheHierarchy aggregatedColumn="6"/>
        </ext>
      </extLst>
    </cacheHierarchy>
    <cacheHierarchy uniqueName="[Measures].[Count of Invoice ID 2]" caption="Count of Invoice ID 2" measure="1" displayFolder="" measureGroup="Returns" count="0" hidden="1">
      <extLst>
        <ext xmlns:x15="http://schemas.microsoft.com/office/spreadsheetml/2010/11/main" uri="{B97F6D7D-B522-45F9-BDA1-12C45D357490}">
          <x15:cacheHierarchy aggregatedColumn="25"/>
        </ext>
      </extLst>
    </cacheHierarchy>
    <cacheHierarchy uniqueName="[Measures].[Sum of Rating]" caption="Sum of Rating" measure="1" displayFolder="" measureGroup="Data" count="0" hidden="1">
      <extLst>
        <ext xmlns:x15="http://schemas.microsoft.com/office/spreadsheetml/2010/11/main" uri="{B97F6D7D-B522-45F9-BDA1-12C45D357490}">
          <x15:cacheHierarchy aggregatedColumn="19"/>
        </ext>
      </extLst>
    </cacheHierarchy>
    <cacheHierarchy uniqueName="[Measures].[Average of Rating]" caption="Average of Rating" measure="1" displayFolder="" measureGroup="Data" count="0" hidden="1">
      <extLst>
        <ext xmlns:x15="http://schemas.microsoft.com/office/spreadsheetml/2010/11/main" uri="{B97F6D7D-B522-45F9-BDA1-12C45D357490}">
          <x15:cacheHierarchy aggregatedColumn="19"/>
        </ext>
      </extLst>
    </cacheHierarchy>
    <cacheHierarchy uniqueName="[Measures].[Min of Rating]" caption="Min of Rating" measure="1" displayFolder="" measureGroup="Data" count="0" hidden="1">
      <extLst>
        <ext xmlns:x15="http://schemas.microsoft.com/office/spreadsheetml/2010/11/main" uri="{B97F6D7D-B522-45F9-BDA1-12C45D357490}">
          <x15:cacheHierarchy aggregatedColumn="19"/>
        </ext>
      </extLst>
    </cacheHierarchy>
    <cacheHierarchy uniqueName="[Measures].[Max of Rating]" caption="Max of Rating" measure="1" displayFolder="" measureGroup="Data" count="0" hidden="1">
      <extLst>
        <ext xmlns:x15="http://schemas.microsoft.com/office/spreadsheetml/2010/11/main" uri="{B97F6D7D-B522-45F9-BDA1-12C45D357490}">
          <x15:cacheHierarchy aggregatedColumn="19"/>
        </ext>
      </extLst>
    </cacheHierarchy>
    <cacheHierarchy uniqueName="[Measures].[Count of Rating]" caption="Count of Rating" measure="1" displayFolder="" measureGroup="Data" count="0" hidden="1">
      <extLst>
        <ext xmlns:x15="http://schemas.microsoft.com/office/spreadsheetml/2010/11/main" uri="{B97F6D7D-B522-45F9-BDA1-12C45D357490}">
          <x15:cacheHierarchy aggregatedColumn="19"/>
        </ext>
      </extLst>
    </cacheHierarchy>
    <cacheHierarchy uniqueName="[Measures].[Distinct Count of Rating]" caption="Distinct Count of Rating" measure="1" displayFolder="" measureGroup="Data" count="0" hidden="1">
      <extLst>
        <ext xmlns:x15="http://schemas.microsoft.com/office/spreadsheetml/2010/11/main" uri="{B97F6D7D-B522-45F9-BDA1-12C45D357490}">
          <x15:cacheHierarchy aggregatedColumn="19"/>
        </ext>
      </extLst>
    </cacheHierarchy>
    <cacheHierarchy uniqueName="[Measures].[Distinct Count of Invoice ID]" caption="Distinct Count of Invoice ID" measure="1" displayFolder="" measureGroup="Data" count="0" hidden="1">
      <extLst>
        <ext xmlns:x15="http://schemas.microsoft.com/office/spreadsheetml/2010/11/main" uri="{B97F6D7D-B522-45F9-BDA1-12C45D357490}">
          <x15:cacheHierarchy aggregatedColumn="0"/>
        </ext>
      </extLst>
    </cacheHierarchy>
    <cacheHierarchy uniqueName="[Measures].[Count of Customer type]" caption="Count of Customer type" measure="1" displayFolder="" measureGroup="Data" count="0" hidden="1">
      <extLst>
        <ext xmlns:x15="http://schemas.microsoft.com/office/spreadsheetml/2010/11/main" uri="{B97F6D7D-B522-45F9-BDA1-12C45D357490}">
          <x15:cacheHierarchy aggregatedColumn="4"/>
        </ext>
      </extLst>
    </cacheHierarchy>
    <cacheHierarchy uniqueName="[Measures].[Count of Payment]" caption="Count of Payment" measure="1" displayFolder="" measureGroup="Data" count="0" hidden="1">
      <extLst>
        <ext xmlns:x15="http://schemas.microsoft.com/office/spreadsheetml/2010/11/main" uri="{B97F6D7D-B522-45F9-BDA1-12C45D357490}">
          <x15:cacheHierarchy aggregatedColumn="16"/>
        </ext>
      </extLst>
    </cacheHierarchy>
    <cacheHierarchy uniqueName="[Measures].[Average of Total]" caption="Average of Total" measure="1" displayFolder="" measureGroup="Data" count="0" hidden="1">
      <extLst>
        <ext xmlns:x15="http://schemas.microsoft.com/office/spreadsheetml/2010/11/main" uri="{B97F6D7D-B522-45F9-BDA1-12C45D357490}">
          <x15:cacheHierarchy aggregatedColumn="10"/>
        </ext>
      </extLst>
    </cacheHierarchy>
    <cacheHierarchy uniqueName="[Measures].[Sum of Unit price]" caption="Sum of Unit price" measure="1" displayFolder="" measureGroup="Data" count="0" hidden="1">
      <extLst>
        <ext xmlns:x15="http://schemas.microsoft.com/office/spreadsheetml/2010/11/main" uri="{B97F6D7D-B522-45F9-BDA1-12C45D357490}">
          <x15:cacheHierarchy aggregatedColumn="7"/>
        </ext>
      </extLst>
    </cacheHierarchy>
    <cacheHierarchy uniqueName="[Measures].[Average of Unit price]" caption="Average of Unit price" measure="1" displayFolder="" measureGroup="Data" count="0" hidden="1">
      <extLst>
        <ext xmlns:x15="http://schemas.microsoft.com/office/spreadsheetml/2010/11/main" uri="{B97F6D7D-B522-45F9-BDA1-12C45D357490}">
          <x15:cacheHierarchy aggregatedColumn="7"/>
        </ext>
      </extLst>
    </cacheHierarchy>
    <cacheHierarchy uniqueName="[Measures].[Max of Unit price]" caption="Max of Unit price" measure="1" displayFolder="" measureGroup="Data" count="0" hidden="1">
      <extLst>
        <ext xmlns:x15="http://schemas.microsoft.com/office/spreadsheetml/2010/11/main" uri="{B97F6D7D-B522-45F9-BDA1-12C45D357490}">
          <x15:cacheHierarchy aggregatedColumn="7"/>
        </ext>
      </extLst>
    </cacheHierarchy>
    <cacheHierarchy uniqueName="[Measures].[Min of Unit price]" caption="Min of Unit price" measure="1" displayFolder="" measureGroup="Data" count="0" hidden="1">
      <extLst>
        <ext xmlns:x15="http://schemas.microsoft.com/office/spreadsheetml/2010/11/main" uri="{B97F6D7D-B522-45F9-BDA1-12C45D357490}">
          <x15:cacheHierarchy aggregatedColumn="7"/>
        </ext>
      </extLst>
    </cacheHierarchy>
  </cacheHierarchies>
  <kpis count="0"/>
  <dimensions count="4">
    <dimension name="Data" uniqueName="[Data]" caption="Data"/>
    <dimension measure="1" name="Measures" uniqueName="[Measures]" caption="Measures"/>
    <dimension name="REP" uniqueName="[REP]" caption="REP"/>
    <dimension name="Returns" uniqueName="[Returns]" caption="Returns"/>
  </dimensions>
  <measureGroups count="3">
    <measureGroup name="Data" caption="Data"/>
    <measureGroup name="REP" caption="REP"/>
    <measureGroup name="Returns" caption="Returns"/>
  </measureGroups>
  <maps count="5">
    <map measureGroup="0" dimension="0"/>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Amira" refreshedDate="46138.962710763888" backgroundQuery="1" createdVersion="6" refreshedVersion="6" minRefreshableVersion="3" recordCount="0" supportSubquery="1" supportAdvancedDrill="1">
  <cacheSource type="external" connectionId="1"/>
  <cacheFields count="4">
    <cacheField name="[Measures].[Sum of Total]" caption="Sum of Total" numFmtId="0" hierarchy="30" level="32767"/>
    <cacheField name="[Data].[Year].[Year]" caption="Year" numFmtId="0" hierarchy="14" level="1">
      <sharedItems containsSemiMixedTypes="0" containsString="0" containsNumber="1" containsInteger="1" minValue="2019" maxValue="2022" count="4">
        <n v="2019"/>
        <n v="2020"/>
        <n v="2021"/>
        <n v="2022"/>
      </sharedItems>
      <extLst>
        <ext xmlns:x15="http://schemas.microsoft.com/office/spreadsheetml/2010/11/main" uri="{4F2E5C28-24EA-4eb8-9CBF-B6C8F9C3D259}">
          <x15:cachedUniqueNames>
            <x15:cachedUniqueName index="0" name="[Data].[Year].&amp;[2019]"/>
            <x15:cachedUniqueName index="1" name="[Data].[Year].&amp;[2020]"/>
            <x15:cachedUniqueName index="2" name="[Data].[Year].&amp;[2021]"/>
            <x15:cachedUniqueName index="3" name="[Data].[Year].&amp;[2022]"/>
          </x15:cachedUniqueNames>
        </ext>
      </extLst>
    </cacheField>
    <cacheField name="[Data].[Branch City].[Branch City]" caption="Branch City" numFmtId="0" hierarchy="3" level="1">
      <sharedItems count="3">
        <s v="Br. A (Yangon)"/>
        <s v="Br. B (Mandalay)"/>
        <s v="Br. C (Naypyitaw)"/>
      </sharedItems>
    </cacheField>
    <cacheField name="[Data].[Product line].[Product line]" caption="Product line" numFmtId="0" hierarchy="6" level="1">
      <sharedItems containsSemiMixedTypes="0" containsNonDate="0" containsString="0"/>
    </cacheField>
  </cacheFields>
  <cacheHierarchies count="55">
    <cacheHierarchy uniqueName="[Data].[Invoice ID]" caption="Invoice ID" attribute="1" defaultMemberUniqueName="[Data].[Invoice ID].[All]" allUniqueName="[Data].[Invoice ID].[All]" dimensionUniqueName="[Data]" displayFolder="" count="0" memberValueDatatype="130" unbalanced="0"/>
    <cacheHierarchy uniqueName="[Data].[Branch]" caption="Branch" attribute="1" defaultMemberUniqueName="[Data].[Branch].[All]" allUniqueName="[Data].[Branch].[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Branch City]" caption="Branch City" attribute="1" defaultMemberUniqueName="[Data].[Branch City].[All]" allUniqueName="[Data].[Branch City].[All]" dimensionUniqueName="[Data]" displayFolder="" count="2" memberValueDatatype="130" unbalanced="0">
      <fieldsUsage count="2">
        <fieldUsage x="-1"/>
        <fieldUsage x="2"/>
      </fieldsUsage>
    </cacheHierarchy>
    <cacheHierarchy uniqueName="[Data].[Customer type]" caption="Customer type" attribute="1" defaultMemberUniqueName="[Data].[Customer type].[All]" allUniqueName="[Data].[Customer type].[All]" dimensionUniqueName="[Data]" displayFolder="" count="0" memberValueDatatype="130" unbalanced="0"/>
    <cacheHierarchy uniqueName="[Data].[Gender]" caption="Gender" attribute="1" defaultMemberUniqueName="[Data].[Gender].[All]" allUniqueName="[Data].[Gender].[All]" dimensionUniqueName="[Data]" displayFolder="" count="0" memberValueDatatype="130" unbalanced="0"/>
    <cacheHierarchy uniqueName="[Data].[Product line]" caption="Product line" attribute="1" defaultMemberUniqueName="[Data].[Product line].[All]" allUniqueName="[Data].[Product line].[All]" dimensionUniqueName="[Data]" displayFolder="" count="2" memberValueDatatype="130" unbalanced="0">
      <fieldsUsage count="2">
        <fieldUsage x="-1"/>
        <fieldUsage x="3"/>
      </fieldsUsage>
    </cacheHierarchy>
    <cacheHierarchy uniqueName="[Data].[Unit price]" caption="Unit price" attribute="1" defaultMemberUniqueName="[Data].[Unit price].[All]" allUniqueName="[Data].[Unit price].[All]" dimensionUniqueName="[Data]" displayFolder="" count="0" memberValueDatatype="5" unbalanced="0"/>
    <cacheHierarchy uniqueName="[Data].[Quantity]" caption="Quantity" attribute="1" defaultMemberUniqueName="[Data].[Quantity].[All]" allUniqueName="[Data].[Quantity].[All]" dimensionUniqueName="[Data]" displayFolder="" count="0" memberValueDatatype="20" unbalanced="0"/>
    <cacheHierarchy uniqueName="[Data].[Tax 5%]" caption="Tax 5%" attribute="1" defaultMemberUniqueName="[Data].[Tax 5%].[All]" allUniqueName="[Data].[Tax 5%].[All]" dimensionUniqueName="[Data]" displayFolder="" count="0" memberValueDatatype="5" unbalanced="0"/>
    <cacheHierarchy uniqueName="[Data].[Total]" caption="Total" attribute="1" defaultMemberUniqueName="[Data].[Total].[All]" allUniqueName="[Data].[Total].[All]" dimensionUniqueName="[Data]" displayFolder="" count="0" memberValueDatatype="5" unbalanced="0"/>
    <cacheHierarchy uniqueName="[Data].[Date]" caption="Date" attribute="1" time="1" defaultMemberUniqueName="[Data].[Date].[All]" allUniqueName="[Data].[Date].[All]" dimensionUniqueName="[Data]" displayFolder="" count="0" memberValueDatatype="7" unbalanced="0"/>
    <cacheHierarchy uniqueName="[Data].[Day]" caption="Day" attribute="1" defaultMemberUniqueName="[Data].[Day].[All]" allUniqueName="[Data].[Day].[All]" dimensionUniqueName="[Data]" displayFolder="" count="0" memberValueDatatype="20" unbalanced="0"/>
    <cacheHierarchy uniqueName="[Data].[Month]" caption="Month" attribute="1" defaultMemberUniqueName="[Data].[Month].[All]" allUniqueName="[Data].[Month].[All]" dimensionUniqueName="[Data]" displayFolder="" count="0" memberValueDatatype="20" unbalanced="0"/>
    <cacheHierarchy uniqueName="[Data].[Year]" caption="Year" attribute="1" defaultMemberUniqueName="[Data].[Year].[All]" allUniqueName="[Data].[Year].[All]" dimensionUniqueName="[Data]" displayFolder="" count="2" memberValueDatatype="20" unbalanced="0">
      <fieldsUsage count="2">
        <fieldUsage x="-1"/>
        <fieldUsage x="1"/>
      </fieldsUsage>
    </cacheHierarchy>
    <cacheHierarchy uniqueName="[Data].[Time]" caption="Time" attribute="1" time="1" defaultMemberUniqueName="[Data].[Time].[All]" allUniqueName="[Data].[Time].[All]" dimensionUniqueName="[Data]" displayFolder="" count="0" memberValueDatatype="7" unbalanced="0"/>
    <cacheHierarchy uniqueName="[Data].[Payment]" caption="Payment" attribute="1" defaultMemberUniqueName="[Data].[Payment].[All]" allUniqueName="[Data].[Payment].[All]" dimensionUniqueName="[Data]" displayFolder="" count="0" memberValueDatatype="130" unbalanced="0"/>
    <cacheHierarchy uniqueName="[Data].[cogs]" caption="cogs" attribute="1" defaultMemberUniqueName="[Data].[cogs].[All]" allUniqueName="[Data].[cogs].[All]" dimensionUniqueName="[Data]" displayFolder="" count="0" memberValueDatatype="5" unbalanced="0"/>
    <cacheHierarchy uniqueName="[Data].[Net Profit]" caption="Net Profit" attribute="1" defaultMemberUniqueName="[Data].[Net Profit].[All]" allUniqueName="[Data].[Net Profit].[All]" dimensionUniqueName="[Data]" displayFolder="" count="0" memberValueDatatype="5" unbalanced="0"/>
    <cacheHierarchy uniqueName="[Data].[Rating]" caption="Rating" attribute="1" defaultMemberUniqueName="[Data].[Rating].[All]" allUniqueName="[Data].[Rating].[All]" dimensionUniqueName="[Data]" displayFolder="" count="0" memberValueDatatype="5" unbalanced="0"/>
    <cacheHierarchy uniqueName="[Data].[Time (Hour)]" caption="Time (Hour)" attribute="1" defaultMemberUniqueName="[Data].[Time (Hour)].[All]" allUniqueName="[Data].[Time (Hour)].[All]" dimensionUniqueName="[Data]" displayFolder="" count="0" memberValueDatatype="130" unbalanced="0"/>
    <cacheHierarchy uniqueName="[Data].[Time (Minute)]" caption="Time (Minute)" attribute="1" defaultMemberUniqueName="[Data].[Time (Minute)].[All]" allUniqueName="[Data].[Time (Minute)].[All]" dimensionUniqueName="[Data]" displayFolder="" count="0" memberValueDatatype="130" unbalanced="0"/>
    <cacheHierarchy uniqueName="[REP].[city]" caption="city" attribute="1" defaultMemberUniqueName="[REP].[city].[All]" allUniqueName="[REP].[city].[All]" dimensionUniqueName="[REP]" displayFolder="" count="0" memberValueDatatype="130" unbalanced="0"/>
    <cacheHierarchy uniqueName="[REP].[Rep]" caption="Rep" attribute="1" defaultMemberUniqueName="[REP].[Rep].[All]" allUniqueName="[REP].[Rep].[All]" dimensionUniqueName="[REP]" displayFolder="" count="0" memberValueDatatype="130" unbalanced="0"/>
    <cacheHierarchy uniqueName="[Returns].[returns]" caption="returns" attribute="1" defaultMemberUniqueName="[Returns].[returns].[All]" allUniqueName="[Returns].[returns].[All]" dimensionUniqueName="[Returns]" displayFolder="" count="0" memberValueDatatype="130" unbalanced="0"/>
    <cacheHierarchy uniqueName="[Returns].[Invoice ID]" caption="Invoice ID" attribute="1" defaultMemberUniqueName="[Returns].[Invoice ID].[All]" allUniqueName="[Returns].[Invoice ID].[All]" dimensionUniqueName="[Returns]" displayFolder="" count="0" memberValueDatatype="130" unbalanced="0"/>
    <cacheHierarchy uniqueName="[Measures].[__XL_Count REP]" caption="__XL_Count REP" measure="1" displayFolder="" measureGroup="REP" count="0" hidden="1"/>
    <cacheHierarchy uniqueName="[Measures].[__XL_Count Returns]" caption="__XL_Count Returns" measure="1" displayFolder="" measureGroup="Returns" count="0" hidden="1"/>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Total]" caption="Sum of Total" measure="1" displayFolder="" measureGroup="Data" count="0" oneField="1" hidden="1">
      <fieldsUsage count="1">
        <fieldUsage x="0"/>
      </fieldsUsage>
      <extLst>
        <ext xmlns:x15="http://schemas.microsoft.com/office/spreadsheetml/2010/11/main" uri="{B97F6D7D-B522-45F9-BDA1-12C45D357490}">
          <x15:cacheHierarchy aggregatedColumn="10"/>
        </ext>
      </extLst>
    </cacheHierarchy>
    <cacheHierarchy uniqueName="[Measures].[Count of returns]" caption="Count of returns" measure="1" displayFolder="" measureGroup="Returns" count="0" hidden="1">
      <extLst>
        <ext xmlns:x15="http://schemas.microsoft.com/office/spreadsheetml/2010/11/main" uri="{B97F6D7D-B522-45F9-BDA1-12C45D357490}">
          <x15:cacheHierarchy aggregatedColumn="24"/>
        </ext>
      </extLst>
    </cacheHierarchy>
    <cacheHierarchy uniqueName="[Measures].[Sum of Net Profit]" caption="Sum of Net Profit" measure="1" displayFolder="" measureGroup="Data" count="0" hidden="1">
      <extLst>
        <ext xmlns:x15="http://schemas.microsoft.com/office/spreadsheetml/2010/11/main" uri="{B97F6D7D-B522-45F9-BDA1-12C45D357490}">
          <x15:cacheHierarchy aggregatedColumn="18"/>
        </ext>
      </extLst>
    </cacheHierarchy>
    <cacheHierarchy uniqueName="[Measures].[Sum of cogs]" caption="Sum of cogs" measure="1" displayFolder="" measureGroup="Data" count="0" hidden="1">
      <extLst>
        <ext xmlns:x15="http://schemas.microsoft.com/office/spreadsheetml/2010/11/main" uri="{B97F6D7D-B522-45F9-BDA1-12C45D357490}">
          <x15:cacheHierarchy aggregatedColumn="17"/>
        </ext>
      </extLst>
    </cacheHierarchy>
    <cacheHierarchy uniqueName="[Measures].[Sum of Tax 5%]" caption="Sum of Tax 5%" measure="1" displayFolder="" measureGroup="Data" count="0" hidden="1">
      <extLst>
        <ext xmlns:x15="http://schemas.microsoft.com/office/spreadsheetml/2010/11/main" uri="{B97F6D7D-B522-45F9-BDA1-12C45D357490}">
          <x15:cacheHierarchy aggregatedColumn="9"/>
        </ext>
      </extLst>
    </cacheHierarchy>
    <cacheHierarchy uniqueName="[Measures].[Average of Net Profit]" caption="Average of Net Profit" measure="1" displayFolder="" measureGroup="Data"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8"/>
        </ext>
      </extLst>
    </cacheHierarchy>
    <cacheHierarchy uniqueName="[Measures].[Count of Invoice ID]" caption="Count of Invoice ID" measure="1" displayFolder="" measureGroup="Data" count="0" hidden="1">
      <extLst>
        <ext xmlns:x15="http://schemas.microsoft.com/office/spreadsheetml/2010/11/main" uri="{B97F6D7D-B522-45F9-BDA1-12C45D357490}">
          <x15:cacheHierarchy aggregatedColumn="0"/>
        </ext>
      </extLst>
    </cacheHierarchy>
    <cacheHierarchy uniqueName="[Measures].[Count of Quantity]" caption="Count of Quantity" measure="1" displayFolder="" measureGroup="Data" count="0" hidden="1">
      <extLst>
        <ext xmlns:x15="http://schemas.microsoft.com/office/spreadsheetml/2010/11/main" uri="{B97F6D7D-B522-45F9-BDA1-12C45D357490}">
          <x15:cacheHierarchy aggregatedColumn="8"/>
        </ext>
      </extLst>
    </cacheHierarchy>
    <cacheHierarchy uniqueName="[Measures].[Count of Product line]" caption="Count of Product line" measure="1" displayFolder="" measureGroup="Data" count="0" hidden="1">
      <extLst>
        <ext xmlns:x15="http://schemas.microsoft.com/office/spreadsheetml/2010/11/main" uri="{B97F6D7D-B522-45F9-BDA1-12C45D357490}">
          <x15:cacheHierarchy aggregatedColumn="6"/>
        </ext>
      </extLst>
    </cacheHierarchy>
    <cacheHierarchy uniqueName="[Measures].[Count of Invoice ID 2]" caption="Count of Invoice ID 2" measure="1" displayFolder="" measureGroup="Returns" count="0" hidden="1">
      <extLst>
        <ext xmlns:x15="http://schemas.microsoft.com/office/spreadsheetml/2010/11/main" uri="{B97F6D7D-B522-45F9-BDA1-12C45D357490}">
          <x15:cacheHierarchy aggregatedColumn="25"/>
        </ext>
      </extLst>
    </cacheHierarchy>
    <cacheHierarchy uniqueName="[Measures].[Sum of Rating]" caption="Sum of Rating" measure="1" displayFolder="" measureGroup="Data" count="0" hidden="1">
      <extLst>
        <ext xmlns:x15="http://schemas.microsoft.com/office/spreadsheetml/2010/11/main" uri="{B97F6D7D-B522-45F9-BDA1-12C45D357490}">
          <x15:cacheHierarchy aggregatedColumn="19"/>
        </ext>
      </extLst>
    </cacheHierarchy>
    <cacheHierarchy uniqueName="[Measures].[Average of Rating]" caption="Average of Rating" measure="1" displayFolder="" measureGroup="Data" count="0" hidden="1">
      <extLst>
        <ext xmlns:x15="http://schemas.microsoft.com/office/spreadsheetml/2010/11/main" uri="{B97F6D7D-B522-45F9-BDA1-12C45D357490}">
          <x15:cacheHierarchy aggregatedColumn="19"/>
        </ext>
      </extLst>
    </cacheHierarchy>
    <cacheHierarchy uniqueName="[Measures].[Min of Rating]" caption="Min of Rating" measure="1" displayFolder="" measureGroup="Data" count="0" hidden="1">
      <extLst>
        <ext xmlns:x15="http://schemas.microsoft.com/office/spreadsheetml/2010/11/main" uri="{B97F6D7D-B522-45F9-BDA1-12C45D357490}">
          <x15:cacheHierarchy aggregatedColumn="19"/>
        </ext>
      </extLst>
    </cacheHierarchy>
    <cacheHierarchy uniqueName="[Measures].[Max of Rating]" caption="Max of Rating" measure="1" displayFolder="" measureGroup="Data" count="0" hidden="1">
      <extLst>
        <ext xmlns:x15="http://schemas.microsoft.com/office/spreadsheetml/2010/11/main" uri="{B97F6D7D-B522-45F9-BDA1-12C45D357490}">
          <x15:cacheHierarchy aggregatedColumn="19"/>
        </ext>
      </extLst>
    </cacheHierarchy>
    <cacheHierarchy uniqueName="[Measures].[Count of Rating]" caption="Count of Rating" measure="1" displayFolder="" measureGroup="Data" count="0" hidden="1">
      <extLst>
        <ext xmlns:x15="http://schemas.microsoft.com/office/spreadsheetml/2010/11/main" uri="{B97F6D7D-B522-45F9-BDA1-12C45D357490}">
          <x15:cacheHierarchy aggregatedColumn="19"/>
        </ext>
      </extLst>
    </cacheHierarchy>
    <cacheHierarchy uniqueName="[Measures].[Distinct Count of Rating]" caption="Distinct Count of Rating" measure="1" displayFolder="" measureGroup="Data" count="0" hidden="1">
      <extLst>
        <ext xmlns:x15="http://schemas.microsoft.com/office/spreadsheetml/2010/11/main" uri="{B97F6D7D-B522-45F9-BDA1-12C45D357490}">
          <x15:cacheHierarchy aggregatedColumn="19"/>
        </ext>
      </extLst>
    </cacheHierarchy>
    <cacheHierarchy uniqueName="[Measures].[Distinct Count of Invoice ID]" caption="Distinct Count of Invoice ID" measure="1" displayFolder="" measureGroup="Data" count="0" hidden="1">
      <extLst>
        <ext xmlns:x15="http://schemas.microsoft.com/office/spreadsheetml/2010/11/main" uri="{B97F6D7D-B522-45F9-BDA1-12C45D357490}">
          <x15:cacheHierarchy aggregatedColumn="0"/>
        </ext>
      </extLst>
    </cacheHierarchy>
    <cacheHierarchy uniqueName="[Measures].[Count of Customer type]" caption="Count of Customer type" measure="1" displayFolder="" measureGroup="Data" count="0" hidden="1">
      <extLst>
        <ext xmlns:x15="http://schemas.microsoft.com/office/spreadsheetml/2010/11/main" uri="{B97F6D7D-B522-45F9-BDA1-12C45D357490}">
          <x15:cacheHierarchy aggregatedColumn="4"/>
        </ext>
      </extLst>
    </cacheHierarchy>
    <cacheHierarchy uniqueName="[Measures].[Count of Payment]" caption="Count of Payment" measure="1" displayFolder="" measureGroup="Data" count="0" hidden="1">
      <extLst>
        <ext xmlns:x15="http://schemas.microsoft.com/office/spreadsheetml/2010/11/main" uri="{B97F6D7D-B522-45F9-BDA1-12C45D357490}">
          <x15:cacheHierarchy aggregatedColumn="16"/>
        </ext>
      </extLst>
    </cacheHierarchy>
    <cacheHierarchy uniqueName="[Measures].[Average of Total]" caption="Average of Total" measure="1" displayFolder="" measureGroup="Data" count="0" hidden="1">
      <extLst>
        <ext xmlns:x15="http://schemas.microsoft.com/office/spreadsheetml/2010/11/main" uri="{B97F6D7D-B522-45F9-BDA1-12C45D357490}">
          <x15:cacheHierarchy aggregatedColumn="10"/>
        </ext>
      </extLst>
    </cacheHierarchy>
    <cacheHierarchy uniqueName="[Measures].[Sum of Unit price]" caption="Sum of Unit price" measure="1" displayFolder="" measureGroup="Data" count="0" hidden="1">
      <extLst>
        <ext xmlns:x15="http://schemas.microsoft.com/office/spreadsheetml/2010/11/main" uri="{B97F6D7D-B522-45F9-BDA1-12C45D357490}">
          <x15:cacheHierarchy aggregatedColumn="7"/>
        </ext>
      </extLst>
    </cacheHierarchy>
    <cacheHierarchy uniqueName="[Measures].[Average of Unit price]" caption="Average of Unit price" measure="1" displayFolder="" measureGroup="Data" count="0" hidden="1">
      <extLst>
        <ext xmlns:x15="http://schemas.microsoft.com/office/spreadsheetml/2010/11/main" uri="{B97F6D7D-B522-45F9-BDA1-12C45D357490}">
          <x15:cacheHierarchy aggregatedColumn="7"/>
        </ext>
      </extLst>
    </cacheHierarchy>
    <cacheHierarchy uniqueName="[Measures].[Max of Unit price]" caption="Max of Unit price" measure="1" displayFolder="" measureGroup="Data" count="0" hidden="1">
      <extLst>
        <ext xmlns:x15="http://schemas.microsoft.com/office/spreadsheetml/2010/11/main" uri="{B97F6D7D-B522-45F9-BDA1-12C45D357490}">
          <x15:cacheHierarchy aggregatedColumn="7"/>
        </ext>
      </extLst>
    </cacheHierarchy>
    <cacheHierarchy uniqueName="[Measures].[Min of Unit price]" caption="Min of Unit price" measure="1" displayFolder="" measureGroup="Data" count="0" hidden="1">
      <extLst>
        <ext xmlns:x15="http://schemas.microsoft.com/office/spreadsheetml/2010/11/main" uri="{B97F6D7D-B522-45F9-BDA1-12C45D357490}">
          <x15:cacheHierarchy aggregatedColumn="7"/>
        </ext>
      </extLst>
    </cacheHierarchy>
  </cacheHierarchies>
  <kpis count="0"/>
  <dimensions count="4">
    <dimension name="Data" uniqueName="[Data]" caption="Data"/>
    <dimension measure="1" name="Measures" uniqueName="[Measures]" caption="Measures"/>
    <dimension name="REP" uniqueName="[REP]" caption="REP"/>
    <dimension name="Returns" uniqueName="[Returns]" caption="Returns"/>
  </dimensions>
  <measureGroups count="3">
    <measureGroup name="Data" caption="Data"/>
    <measureGroup name="REP" caption="REP"/>
    <measureGroup name="Returns" caption="Returns"/>
  </measureGroups>
  <maps count="5">
    <map measureGroup="0" dimension="0"/>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Amira" refreshedDate="46138.962711342596" backgroundQuery="1" createdVersion="6" refreshedVersion="6" minRefreshableVersion="3" recordCount="0" supportSubquery="1" supportAdvancedDrill="1">
  <cacheSource type="external" connectionId="1"/>
  <cacheFields count="4">
    <cacheField name="[Data].[Year].[Year]" caption="Year" numFmtId="0" hierarchy="14" level="1">
      <sharedItems containsSemiMixedTypes="0" containsString="0" containsNumber="1" containsInteger="1" minValue="2019" maxValue="2022" count="4">
        <n v="2019"/>
        <n v="2020"/>
        <n v="2021"/>
        <n v="2022"/>
      </sharedItems>
      <extLst>
        <ext xmlns:x15="http://schemas.microsoft.com/office/spreadsheetml/2010/11/main" uri="{4F2E5C28-24EA-4eb8-9CBF-B6C8F9C3D259}">
          <x15:cachedUniqueNames>
            <x15:cachedUniqueName index="0" name="[Data].[Year].&amp;[2019]"/>
            <x15:cachedUniqueName index="1" name="[Data].[Year].&amp;[2020]"/>
            <x15:cachedUniqueName index="2" name="[Data].[Year].&amp;[2021]"/>
            <x15:cachedUniqueName index="3" name="[Data].[Year].&amp;[2022]"/>
          </x15:cachedUniqueNames>
        </ext>
      </extLst>
    </cacheField>
    <cacheField name="[Measures].[Average of Rating]" caption="Average of Rating" numFmtId="0" hierarchy="42" level="32767"/>
    <cacheField name="[REP].[Rep].[Rep]" caption="Rep" numFmtId="0" hierarchy="23" level="1">
      <sharedItems count="3">
        <s v="Ahmed Elminofy"/>
        <s v="Mohamed Elbanhawy"/>
        <s v="Mostafa Eltantawy"/>
      </sharedItems>
    </cacheField>
    <cacheField name="[Data].[Product line].[Product line]" caption="Product line" numFmtId="0" hierarchy="6" level="1">
      <sharedItems containsSemiMixedTypes="0" containsNonDate="0" containsString="0"/>
    </cacheField>
  </cacheFields>
  <cacheHierarchies count="55">
    <cacheHierarchy uniqueName="[Data].[Invoice ID]" caption="Invoice ID" attribute="1" defaultMemberUniqueName="[Data].[Invoice ID].[All]" allUniqueName="[Data].[Invoice ID].[All]" dimensionUniqueName="[Data]" displayFolder="" count="0" memberValueDatatype="130" unbalanced="0"/>
    <cacheHierarchy uniqueName="[Data].[Branch]" caption="Branch" attribute="1" defaultMemberUniqueName="[Data].[Branch].[All]" allUniqueName="[Data].[Branch].[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Branch City]" caption="Branch City" attribute="1" defaultMemberUniqueName="[Data].[Branch City].[All]" allUniqueName="[Data].[Branch City].[All]" dimensionUniqueName="[Data]" displayFolder="" count="2" memberValueDatatype="130" unbalanced="0"/>
    <cacheHierarchy uniqueName="[Data].[Customer type]" caption="Customer type" attribute="1" defaultMemberUniqueName="[Data].[Customer type].[All]" allUniqueName="[Data].[Customer type].[All]" dimensionUniqueName="[Data]" displayFolder="" count="0" memberValueDatatype="130" unbalanced="0"/>
    <cacheHierarchy uniqueName="[Data].[Gender]" caption="Gender" attribute="1" defaultMemberUniqueName="[Data].[Gender].[All]" allUniqueName="[Data].[Gender].[All]" dimensionUniqueName="[Data]" displayFolder="" count="0" memberValueDatatype="130" unbalanced="0"/>
    <cacheHierarchy uniqueName="[Data].[Product line]" caption="Product line" attribute="1" defaultMemberUniqueName="[Data].[Product line].[All]" allUniqueName="[Data].[Product line].[All]" dimensionUniqueName="[Data]" displayFolder="" count="2" memberValueDatatype="130" unbalanced="0">
      <fieldsUsage count="2">
        <fieldUsage x="-1"/>
        <fieldUsage x="3"/>
      </fieldsUsage>
    </cacheHierarchy>
    <cacheHierarchy uniqueName="[Data].[Unit price]" caption="Unit price" attribute="1" defaultMemberUniqueName="[Data].[Unit price].[All]" allUniqueName="[Data].[Unit price].[All]" dimensionUniqueName="[Data]" displayFolder="" count="0" memberValueDatatype="5" unbalanced="0"/>
    <cacheHierarchy uniqueName="[Data].[Quantity]" caption="Quantity" attribute="1" defaultMemberUniqueName="[Data].[Quantity].[All]" allUniqueName="[Data].[Quantity].[All]" dimensionUniqueName="[Data]" displayFolder="" count="0" memberValueDatatype="20" unbalanced="0"/>
    <cacheHierarchy uniqueName="[Data].[Tax 5%]" caption="Tax 5%" attribute="1" defaultMemberUniqueName="[Data].[Tax 5%].[All]" allUniqueName="[Data].[Tax 5%].[All]" dimensionUniqueName="[Data]" displayFolder="" count="0" memberValueDatatype="5" unbalanced="0"/>
    <cacheHierarchy uniqueName="[Data].[Total]" caption="Total" attribute="1" defaultMemberUniqueName="[Data].[Total].[All]" allUniqueName="[Data].[Total].[All]" dimensionUniqueName="[Data]" displayFolder="" count="0" memberValueDatatype="5" unbalanced="0"/>
    <cacheHierarchy uniqueName="[Data].[Date]" caption="Date" attribute="1" time="1" defaultMemberUniqueName="[Data].[Date].[All]" allUniqueName="[Data].[Date].[All]" dimensionUniqueName="[Data]" displayFolder="" count="0" memberValueDatatype="7" unbalanced="0"/>
    <cacheHierarchy uniqueName="[Data].[Day]" caption="Day" attribute="1" defaultMemberUniqueName="[Data].[Day].[All]" allUniqueName="[Data].[Day].[All]" dimensionUniqueName="[Data]" displayFolder="" count="0" memberValueDatatype="20" unbalanced="0"/>
    <cacheHierarchy uniqueName="[Data].[Month]" caption="Month" attribute="1" defaultMemberUniqueName="[Data].[Month].[All]" allUniqueName="[Data].[Month].[All]" dimensionUniqueName="[Data]" displayFolder="" count="0" memberValueDatatype="20" unbalanced="0"/>
    <cacheHierarchy uniqueName="[Data].[Year]" caption="Year" attribute="1" defaultMemberUniqueName="[Data].[Year].[All]" allUniqueName="[Data].[Year].[All]" dimensionUniqueName="[Data]" displayFolder="" count="2" memberValueDatatype="20" unbalanced="0">
      <fieldsUsage count="2">
        <fieldUsage x="-1"/>
        <fieldUsage x="0"/>
      </fieldsUsage>
    </cacheHierarchy>
    <cacheHierarchy uniqueName="[Data].[Time]" caption="Time" attribute="1" time="1" defaultMemberUniqueName="[Data].[Time].[All]" allUniqueName="[Data].[Time].[All]" dimensionUniqueName="[Data]" displayFolder="" count="0" memberValueDatatype="7" unbalanced="0"/>
    <cacheHierarchy uniqueName="[Data].[Payment]" caption="Payment" attribute="1" defaultMemberUniqueName="[Data].[Payment].[All]" allUniqueName="[Data].[Payment].[All]" dimensionUniqueName="[Data]" displayFolder="" count="0" memberValueDatatype="130" unbalanced="0"/>
    <cacheHierarchy uniqueName="[Data].[cogs]" caption="cogs" attribute="1" defaultMemberUniqueName="[Data].[cogs].[All]" allUniqueName="[Data].[cogs].[All]" dimensionUniqueName="[Data]" displayFolder="" count="0" memberValueDatatype="5" unbalanced="0"/>
    <cacheHierarchy uniqueName="[Data].[Net Profit]" caption="Net Profit" attribute="1" defaultMemberUniqueName="[Data].[Net Profit].[All]" allUniqueName="[Data].[Net Profit].[All]" dimensionUniqueName="[Data]" displayFolder="" count="0" memberValueDatatype="5" unbalanced="0"/>
    <cacheHierarchy uniqueName="[Data].[Rating]" caption="Rating" attribute="1" defaultMemberUniqueName="[Data].[Rating].[All]" allUniqueName="[Data].[Rating].[All]" dimensionUniqueName="[Data]" displayFolder="" count="0" memberValueDatatype="5" unbalanced="0"/>
    <cacheHierarchy uniqueName="[Data].[Time (Hour)]" caption="Time (Hour)" attribute="1" defaultMemberUniqueName="[Data].[Time (Hour)].[All]" allUniqueName="[Data].[Time (Hour)].[All]" dimensionUniqueName="[Data]" displayFolder="" count="0" memberValueDatatype="130" unbalanced="0"/>
    <cacheHierarchy uniqueName="[Data].[Time (Minute)]" caption="Time (Minute)" attribute="1" defaultMemberUniqueName="[Data].[Time (Minute)].[All]" allUniqueName="[Data].[Time (Minute)].[All]" dimensionUniqueName="[Data]" displayFolder="" count="0" memberValueDatatype="130" unbalanced="0"/>
    <cacheHierarchy uniqueName="[REP].[city]" caption="city" attribute="1" defaultMemberUniqueName="[REP].[city].[All]" allUniqueName="[REP].[city].[All]" dimensionUniqueName="[REP]" displayFolder="" count="0" memberValueDatatype="130" unbalanced="0"/>
    <cacheHierarchy uniqueName="[REP].[Rep]" caption="Rep" attribute="1" defaultMemberUniqueName="[REP].[Rep].[All]" allUniqueName="[REP].[Rep].[All]" dimensionUniqueName="[REP]" displayFolder="" count="2" memberValueDatatype="130" unbalanced="0">
      <fieldsUsage count="2">
        <fieldUsage x="-1"/>
        <fieldUsage x="2"/>
      </fieldsUsage>
    </cacheHierarchy>
    <cacheHierarchy uniqueName="[Returns].[returns]" caption="returns" attribute="1" defaultMemberUniqueName="[Returns].[returns].[All]" allUniqueName="[Returns].[returns].[All]" dimensionUniqueName="[Returns]" displayFolder="" count="0" memberValueDatatype="130" unbalanced="0"/>
    <cacheHierarchy uniqueName="[Returns].[Invoice ID]" caption="Invoice ID" attribute="1" defaultMemberUniqueName="[Returns].[Invoice ID].[All]" allUniqueName="[Returns].[Invoice ID].[All]" dimensionUniqueName="[Returns]" displayFolder="" count="0" memberValueDatatype="130" unbalanced="0"/>
    <cacheHierarchy uniqueName="[Measures].[__XL_Count REP]" caption="__XL_Count REP" measure="1" displayFolder="" measureGroup="REP" count="0" hidden="1"/>
    <cacheHierarchy uniqueName="[Measures].[__XL_Count Returns]" caption="__XL_Count Returns" measure="1" displayFolder="" measureGroup="Returns" count="0" hidden="1"/>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Total]" caption="Sum of Total" measure="1" displayFolder="" measureGroup="Data" count="0" hidden="1">
      <extLst>
        <ext xmlns:x15="http://schemas.microsoft.com/office/spreadsheetml/2010/11/main" uri="{B97F6D7D-B522-45F9-BDA1-12C45D357490}">
          <x15:cacheHierarchy aggregatedColumn="10"/>
        </ext>
      </extLst>
    </cacheHierarchy>
    <cacheHierarchy uniqueName="[Measures].[Count of returns]" caption="Count of returns" measure="1" displayFolder="" measureGroup="Returns" count="0" hidden="1">
      <extLst>
        <ext xmlns:x15="http://schemas.microsoft.com/office/spreadsheetml/2010/11/main" uri="{B97F6D7D-B522-45F9-BDA1-12C45D357490}">
          <x15:cacheHierarchy aggregatedColumn="24"/>
        </ext>
      </extLst>
    </cacheHierarchy>
    <cacheHierarchy uniqueName="[Measures].[Sum of Net Profit]" caption="Sum of Net Profit" measure="1" displayFolder="" measureGroup="Data" count="0" hidden="1">
      <extLst>
        <ext xmlns:x15="http://schemas.microsoft.com/office/spreadsheetml/2010/11/main" uri="{B97F6D7D-B522-45F9-BDA1-12C45D357490}">
          <x15:cacheHierarchy aggregatedColumn="18"/>
        </ext>
      </extLst>
    </cacheHierarchy>
    <cacheHierarchy uniqueName="[Measures].[Sum of cogs]" caption="Sum of cogs" measure="1" displayFolder="" measureGroup="Data" count="0" hidden="1">
      <extLst>
        <ext xmlns:x15="http://schemas.microsoft.com/office/spreadsheetml/2010/11/main" uri="{B97F6D7D-B522-45F9-BDA1-12C45D357490}">
          <x15:cacheHierarchy aggregatedColumn="17"/>
        </ext>
      </extLst>
    </cacheHierarchy>
    <cacheHierarchy uniqueName="[Measures].[Sum of Tax 5%]" caption="Sum of Tax 5%" measure="1" displayFolder="" measureGroup="Data" count="0" hidden="1">
      <extLst>
        <ext xmlns:x15="http://schemas.microsoft.com/office/spreadsheetml/2010/11/main" uri="{B97F6D7D-B522-45F9-BDA1-12C45D357490}">
          <x15:cacheHierarchy aggregatedColumn="9"/>
        </ext>
      </extLst>
    </cacheHierarchy>
    <cacheHierarchy uniqueName="[Measures].[Average of Net Profit]" caption="Average of Net Profit" measure="1" displayFolder="" measureGroup="Data"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8"/>
        </ext>
      </extLst>
    </cacheHierarchy>
    <cacheHierarchy uniqueName="[Measures].[Count of Invoice ID]" caption="Count of Invoice ID" measure="1" displayFolder="" measureGroup="Data" count="0" hidden="1">
      <extLst>
        <ext xmlns:x15="http://schemas.microsoft.com/office/spreadsheetml/2010/11/main" uri="{B97F6D7D-B522-45F9-BDA1-12C45D357490}">
          <x15:cacheHierarchy aggregatedColumn="0"/>
        </ext>
      </extLst>
    </cacheHierarchy>
    <cacheHierarchy uniqueName="[Measures].[Count of Quantity]" caption="Count of Quantity" measure="1" displayFolder="" measureGroup="Data" count="0" hidden="1">
      <extLst>
        <ext xmlns:x15="http://schemas.microsoft.com/office/spreadsheetml/2010/11/main" uri="{B97F6D7D-B522-45F9-BDA1-12C45D357490}">
          <x15:cacheHierarchy aggregatedColumn="8"/>
        </ext>
      </extLst>
    </cacheHierarchy>
    <cacheHierarchy uniqueName="[Measures].[Count of Product line]" caption="Count of Product line" measure="1" displayFolder="" measureGroup="Data" count="0" hidden="1">
      <extLst>
        <ext xmlns:x15="http://schemas.microsoft.com/office/spreadsheetml/2010/11/main" uri="{B97F6D7D-B522-45F9-BDA1-12C45D357490}">
          <x15:cacheHierarchy aggregatedColumn="6"/>
        </ext>
      </extLst>
    </cacheHierarchy>
    <cacheHierarchy uniqueName="[Measures].[Count of Invoice ID 2]" caption="Count of Invoice ID 2" measure="1" displayFolder="" measureGroup="Returns" count="0" hidden="1">
      <extLst>
        <ext xmlns:x15="http://schemas.microsoft.com/office/spreadsheetml/2010/11/main" uri="{B97F6D7D-B522-45F9-BDA1-12C45D357490}">
          <x15:cacheHierarchy aggregatedColumn="25"/>
        </ext>
      </extLst>
    </cacheHierarchy>
    <cacheHierarchy uniqueName="[Measures].[Sum of Rating]" caption="Sum of Rating" measure="1" displayFolder="" measureGroup="Data" count="0" hidden="1">
      <extLst>
        <ext xmlns:x15="http://schemas.microsoft.com/office/spreadsheetml/2010/11/main" uri="{B97F6D7D-B522-45F9-BDA1-12C45D357490}">
          <x15:cacheHierarchy aggregatedColumn="19"/>
        </ext>
      </extLst>
    </cacheHierarchy>
    <cacheHierarchy uniqueName="[Measures].[Average of Rating]" caption="Average of Rating" measure="1" displayFolder="" measureGroup="Data" count="0" oneField="1" hidden="1">
      <fieldsUsage count="1">
        <fieldUsage x="1"/>
      </fieldsUsage>
      <extLst>
        <ext xmlns:x15="http://schemas.microsoft.com/office/spreadsheetml/2010/11/main" uri="{B97F6D7D-B522-45F9-BDA1-12C45D357490}">
          <x15:cacheHierarchy aggregatedColumn="19"/>
        </ext>
      </extLst>
    </cacheHierarchy>
    <cacheHierarchy uniqueName="[Measures].[Min of Rating]" caption="Min of Rating" measure="1" displayFolder="" measureGroup="Data" count="0" hidden="1">
      <extLst>
        <ext xmlns:x15="http://schemas.microsoft.com/office/spreadsheetml/2010/11/main" uri="{B97F6D7D-B522-45F9-BDA1-12C45D357490}">
          <x15:cacheHierarchy aggregatedColumn="19"/>
        </ext>
      </extLst>
    </cacheHierarchy>
    <cacheHierarchy uniqueName="[Measures].[Max of Rating]" caption="Max of Rating" measure="1" displayFolder="" measureGroup="Data" count="0" hidden="1">
      <extLst>
        <ext xmlns:x15="http://schemas.microsoft.com/office/spreadsheetml/2010/11/main" uri="{B97F6D7D-B522-45F9-BDA1-12C45D357490}">
          <x15:cacheHierarchy aggregatedColumn="19"/>
        </ext>
      </extLst>
    </cacheHierarchy>
    <cacheHierarchy uniqueName="[Measures].[Count of Rating]" caption="Count of Rating" measure="1" displayFolder="" measureGroup="Data" count="0" hidden="1">
      <extLst>
        <ext xmlns:x15="http://schemas.microsoft.com/office/spreadsheetml/2010/11/main" uri="{B97F6D7D-B522-45F9-BDA1-12C45D357490}">
          <x15:cacheHierarchy aggregatedColumn="19"/>
        </ext>
      </extLst>
    </cacheHierarchy>
    <cacheHierarchy uniqueName="[Measures].[Distinct Count of Rating]" caption="Distinct Count of Rating" measure="1" displayFolder="" measureGroup="Data" count="0" hidden="1">
      <extLst>
        <ext xmlns:x15="http://schemas.microsoft.com/office/spreadsheetml/2010/11/main" uri="{B97F6D7D-B522-45F9-BDA1-12C45D357490}">
          <x15:cacheHierarchy aggregatedColumn="19"/>
        </ext>
      </extLst>
    </cacheHierarchy>
    <cacheHierarchy uniqueName="[Measures].[Distinct Count of Invoice ID]" caption="Distinct Count of Invoice ID" measure="1" displayFolder="" measureGroup="Data" count="0" hidden="1">
      <extLst>
        <ext xmlns:x15="http://schemas.microsoft.com/office/spreadsheetml/2010/11/main" uri="{B97F6D7D-B522-45F9-BDA1-12C45D357490}">
          <x15:cacheHierarchy aggregatedColumn="0"/>
        </ext>
      </extLst>
    </cacheHierarchy>
    <cacheHierarchy uniqueName="[Measures].[Count of Customer type]" caption="Count of Customer type" measure="1" displayFolder="" measureGroup="Data" count="0" hidden="1">
      <extLst>
        <ext xmlns:x15="http://schemas.microsoft.com/office/spreadsheetml/2010/11/main" uri="{B97F6D7D-B522-45F9-BDA1-12C45D357490}">
          <x15:cacheHierarchy aggregatedColumn="4"/>
        </ext>
      </extLst>
    </cacheHierarchy>
    <cacheHierarchy uniqueName="[Measures].[Count of Payment]" caption="Count of Payment" measure="1" displayFolder="" measureGroup="Data" count="0" hidden="1">
      <extLst>
        <ext xmlns:x15="http://schemas.microsoft.com/office/spreadsheetml/2010/11/main" uri="{B97F6D7D-B522-45F9-BDA1-12C45D357490}">
          <x15:cacheHierarchy aggregatedColumn="16"/>
        </ext>
      </extLst>
    </cacheHierarchy>
    <cacheHierarchy uniqueName="[Measures].[Average of Total]" caption="Average of Total" measure="1" displayFolder="" measureGroup="Data" count="0" hidden="1">
      <extLst>
        <ext xmlns:x15="http://schemas.microsoft.com/office/spreadsheetml/2010/11/main" uri="{B97F6D7D-B522-45F9-BDA1-12C45D357490}">
          <x15:cacheHierarchy aggregatedColumn="10"/>
        </ext>
      </extLst>
    </cacheHierarchy>
    <cacheHierarchy uniqueName="[Measures].[Sum of Unit price]" caption="Sum of Unit price" measure="1" displayFolder="" measureGroup="Data" count="0" hidden="1">
      <extLst>
        <ext xmlns:x15="http://schemas.microsoft.com/office/spreadsheetml/2010/11/main" uri="{B97F6D7D-B522-45F9-BDA1-12C45D357490}">
          <x15:cacheHierarchy aggregatedColumn="7"/>
        </ext>
      </extLst>
    </cacheHierarchy>
    <cacheHierarchy uniqueName="[Measures].[Average of Unit price]" caption="Average of Unit price" measure="1" displayFolder="" measureGroup="Data" count="0" hidden="1">
      <extLst>
        <ext xmlns:x15="http://schemas.microsoft.com/office/spreadsheetml/2010/11/main" uri="{B97F6D7D-B522-45F9-BDA1-12C45D357490}">
          <x15:cacheHierarchy aggregatedColumn="7"/>
        </ext>
      </extLst>
    </cacheHierarchy>
    <cacheHierarchy uniqueName="[Measures].[Max of Unit price]" caption="Max of Unit price" measure="1" displayFolder="" measureGroup="Data" count="0" hidden="1">
      <extLst>
        <ext xmlns:x15="http://schemas.microsoft.com/office/spreadsheetml/2010/11/main" uri="{B97F6D7D-B522-45F9-BDA1-12C45D357490}">
          <x15:cacheHierarchy aggregatedColumn="7"/>
        </ext>
      </extLst>
    </cacheHierarchy>
    <cacheHierarchy uniqueName="[Measures].[Min of Unit price]" caption="Min of Unit price" measure="1" displayFolder="" measureGroup="Data" count="0" hidden="1">
      <extLst>
        <ext xmlns:x15="http://schemas.microsoft.com/office/spreadsheetml/2010/11/main" uri="{B97F6D7D-B522-45F9-BDA1-12C45D357490}">
          <x15:cacheHierarchy aggregatedColumn="7"/>
        </ext>
      </extLst>
    </cacheHierarchy>
  </cacheHierarchies>
  <kpis count="0"/>
  <dimensions count="4">
    <dimension name="Data" uniqueName="[Data]" caption="Data"/>
    <dimension measure="1" name="Measures" uniqueName="[Measures]" caption="Measures"/>
    <dimension name="REP" uniqueName="[REP]" caption="REP"/>
    <dimension name="Returns" uniqueName="[Returns]" caption="Returns"/>
  </dimensions>
  <measureGroups count="3">
    <measureGroup name="Data" caption="Data"/>
    <measureGroup name="REP" caption="REP"/>
    <measureGroup name="Returns" caption="Returns"/>
  </measureGroups>
  <maps count="5">
    <map measureGroup="0" dimension="0"/>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Amira" refreshedDate="46138.962713425928" backgroundQuery="1" createdVersion="6" refreshedVersion="6" minRefreshableVersion="3" recordCount="0" supportSubquery="1" supportAdvancedDrill="1">
  <cacheSource type="external" connectionId="1"/>
  <cacheFields count="5">
    <cacheField name="[Data].[Year].[Year]" caption="Year" numFmtId="0" hierarchy="14" level="1">
      <sharedItems containsSemiMixedTypes="0" containsString="0" containsNumber="1" containsInteger="1" minValue="2019" maxValue="2022" count="4">
        <n v="2019"/>
        <n v="2020"/>
        <n v="2021"/>
        <n v="2022"/>
      </sharedItems>
      <extLst>
        <ext xmlns:x15="http://schemas.microsoft.com/office/spreadsheetml/2010/11/main" uri="{4F2E5C28-24EA-4eb8-9CBF-B6C8F9C3D259}">
          <x15:cachedUniqueNames>
            <x15:cachedUniqueName index="0" name="[Data].[Year].&amp;[2019]"/>
            <x15:cachedUniqueName index="1" name="[Data].[Year].&amp;[2020]"/>
            <x15:cachedUniqueName index="2" name="[Data].[Year].&amp;[2021]"/>
            <x15:cachedUniqueName index="3" name="[Data].[Year].&amp;[2022]"/>
          </x15:cachedUniqueNames>
        </ext>
      </extLst>
    </cacheField>
    <cacheField name="[Returns].[returns].[returns]" caption="returns" numFmtId="0" hierarchy="24" level="1">
      <sharedItems containsBlank="1" count="2">
        <s v="yes"/>
        <m/>
      </sharedItems>
    </cacheField>
    <cacheField name="[Data].[Branch City].[Branch City]" caption="Branch City" numFmtId="0" hierarchy="3" level="1">
      <sharedItems count="3">
        <s v="Br. A (Yangon)"/>
        <s v="Br. B (Mandalay)"/>
        <s v="Br. C (Naypyitaw)"/>
      </sharedItems>
    </cacheField>
    <cacheField name="[Measures].[Sum of Total]" caption="Sum of Total" numFmtId="0" hierarchy="30" level="32767"/>
    <cacheField name="[Data].[Product line].[Product line]" caption="Product line" numFmtId="0" hierarchy="6" level="1">
      <sharedItems containsSemiMixedTypes="0" containsNonDate="0" containsString="0"/>
    </cacheField>
  </cacheFields>
  <cacheHierarchies count="55">
    <cacheHierarchy uniqueName="[Data].[Invoice ID]" caption="Invoice ID" attribute="1" defaultMemberUniqueName="[Data].[Invoice ID].[All]" allUniqueName="[Data].[Invoice ID].[All]" dimensionUniqueName="[Data]" displayFolder="" count="0" memberValueDatatype="130" unbalanced="0"/>
    <cacheHierarchy uniqueName="[Data].[Branch]" caption="Branch" attribute="1" defaultMemberUniqueName="[Data].[Branch].[All]" allUniqueName="[Data].[Branch].[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Branch City]" caption="Branch City" attribute="1" defaultMemberUniqueName="[Data].[Branch City].[All]" allUniqueName="[Data].[Branch City].[All]" dimensionUniqueName="[Data]" displayFolder="" count="2" memberValueDatatype="130" unbalanced="0">
      <fieldsUsage count="2">
        <fieldUsage x="-1"/>
        <fieldUsage x="2"/>
      </fieldsUsage>
    </cacheHierarchy>
    <cacheHierarchy uniqueName="[Data].[Customer type]" caption="Customer type" attribute="1" defaultMemberUniqueName="[Data].[Customer type].[All]" allUniqueName="[Data].[Customer type].[All]" dimensionUniqueName="[Data]" displayFolder="" count="2" memberValueDatatype="130" unbalanced="0"/>
    <cacheHierarchy uniqueName="[Data].[Gender]" caption="Gender" attribute="1" defaultMemberUniqueName="[Data].[Gender].[All]" allUniqueName="[Data].[Gender].[All]" dimensionUniqueName="[Data]" displayFolder="" count="0" memberValueDatatype="130" unbalanced="0"/>
    <cacheHierarchy uniqueName="[Data].[Product line]" caption="Product line" attribute="1" defaultMemberUniqueName="[Data].[Product line].[All]" allUniqueName="[Data].[Product line].[All]" dimensionUniqueName="[Data]" displayFolder="" count="2" memberValueDatatype="130" unbalanced="0">
      <fieldsUsage count="2">
        <fieldUsage x="-1"/>
        <fieldUsage x="4"/>
      </fieldsUsage>
    </cacheHierarchy>
    <cacheHierarchy uniqueName="[Data].[Unit price]" caption="Unit price" attribute="1" defaultMemberUniqueName="[Data].[Unit price].[All]" allUniqueName="[Data].[Unit price].[All]" dimensionUniqueName="[Data]" displayFolder="" count="0" memberValueDatatype="5" unbalanced="0"/>
    <cacheHierarchy uniqueName="[Data].[Quantity]" caption="Quantity" attribute="1" defaultMemberUniqueName="[Data].[Quantity].[All]" allUniqueName="[Data].[Quantity].[All]" dimensionUniqueName="[Data]" displayFolder="" count="0" memberValueDatatype="20" unbalanced="0"/>
    <cacheHierarchy uniqueName="[Data].[Tax 5%]" caption="Tax 5%" attribute="1" defaultMemberUniqueName="[Data].[Tax 5%].[All]" allUniqueName="[Data].[Tax 5%].[All]" dimensionUniqueName="[Data]" displayFolder="" count="0" memberValueDatatype="5" unbalanced="0"/>
    <cacheHierarchy uniqueName="[Data].[Total]" caption="Total" attribute="1" defaultMemberUniqueName="[Data].[Total].[All]" allUniqueName="[Data].[Total].[All]" dimensionUniqueName="[Data]" displayFolder="" count="0" memberValueDatatype="5" unbalanced="0"/>
    <cacheHierarchy uniqueName="[Data].[Date]" caption="Date" attribute="1" time="1" defaultMemberUniqueName="[Data].[Date].[All]" allUniqueName="[Data].[Date].[All]" dimensionUniqueName="[Data]" displayFolder="" count="0" memberValueDatatype="7" unbalanced="0"/>
    <cacheHierarchy uniqueName="[Data].[Day]" caption="Day" attribute="1" defaultMemberUniqueName="[Data].[Day].[All]" allUniqueName="[Data].[Day].[All]" dimensionUniqueName="[Data]" displayFolder="" count="0" memberValueDatatype="20" unbalanced="0"/>
    <cacheHierarchy uniqueName="[Data].[Month]" caption="Month" attribute="1" defaultMemberUniqueName="[Data].[Month].[All]" allUniqueName="[Data].[Month].[All]" dimensionUniqueName="[Data]" displayFolder="" count="0" memberValueDatatype="20" unbalanced="0"/>
    <cacheHierarchy uniqueName="[Data].[Year]" caption="Year" attribute="1" defaultMemberUniqueName="[Data].[Year].[All]" allUniqueName="[Data].[Year].[All]" dimensionUniqueName="[Data]" displayFolder="" count="2" memberValueDatatype="20" unbalanced="0">
      <fieldsUsage count="2">
        <fieldUsage x="-1"/>
        <fieldUsage x="0"/>
      </fieldsUsage>
    </cacheHierarchy>
    <cacheHierarchy uniqueName="[Data].[Time]" caption="Time" attribute="1" time="1" defaultMemberUniqueName="[Data].[Time].[All]" allUniqueName="[Data].[Time].[All]" dimensionUniqueName="[Data]" displayFolder="" count="0" memberValueDatatype="7" unbalanced="0"/>
    <cacheHierarchy uniqueName="[Data].[Payment]" caption="Payment" attribute="1" defaultMemberUniqueName="[Data].[Payment].[All]" allUniqueName="[Data].[Payment].[All]" dimensionUniqueName="[Data]" displayFolder="" count="2" memberValueDatatype="130" unbalanced="0"/>
    <cacheHierarchy uniqueName="[Data].[cogs]" caption="cogs" attribute="1" defaultMemberUniqueName="[Data].[cogs].[All]" allUniqueName="[Data].[cogs].[All]" dimensionUniqueName="[Data]" displayFolder="" count="0" memberValueDatatype="5" unbalanced="0"/>
    <cacheHierarchy uniqueName="[Data].[Net Profit]" caption="Net Profit" attribute="1" defaultMemberUniqueName="[Data].[Net Profit].[All]" allUniqueName="[Data].[Net Profit].[All]" dimensionUniqueName="[Data]" displayFolder="" count="0" memberValueDatatype="5" unbalanced="0"/>
    <cacheHierarchy uniqueName="[Data].[Rating]" caption="Rating" attribute="1" defaultMemberUniqueName="[Data].[Rating].[All]" allUniqueName="[Data].[Rating].[All]" dimensionUniqueName="[Data]" displayFolder="" count="0" memberValueDatatype="5" unbalanced="0"/>
    <cacheHierarchy uniqueName="[Data].[Time (Hour)]" caption="Time (Hour)" attribute="1" defaultMemberUniqueName="[Data].[Time (Hour)].[All]" allUniqueName="[Data].[Time (Hour)].[All]" dimensionUniqueName="[Data]" displayFolder="" count="0" memberValueDatatype="130" unbalanced="0"/>
    <cacheHierarchy uniqueName="[Data].[Time (Minute)]" caption="Time (Minute)" attribute="1" defaultMemberUniqueName="[Data].[Time (Minute)].[All]" allUniqueName="[Data].[Time (Minute)].[All]" dimensionUniqueName="[Data]" displayFolder="" count="0" memberValueDatatype="130" unbalanced="0"/>
    <cacheHierarchy uniqueName="[REP].[city]" caption="city" attribute="1" defaultMemberUniqueName="[REP].[city].[All]" allUniqueName="[REP].[city].[All]" dimensionUniqueName="[REP]" displayFolder="" count="0" memberValueDatatype="130" unbalanced="0"/>
    <cacheHierarchy uniqueName="[REP].[Rep]" caption="Rep" attribute="1" defaultMemberUniqueName="[REP].[Rep].[All]" allUniqueName="[REP].[Rep].[All]" dimensionUniqueName="[REP]" displayFolder="" count="2" memberValueDatatype="130" unbalanced="0"/>
    <cacheHierarchy uniqueName="[Returns].[returns]" caption="returns" attribute="1" defaultMemberUniqueName="[Returns].[returns].[All]" allUniqueName="[Returns].[returns].[All]" dimensionUniqueName="[Returns]" displayFolder="" count="2" memberValueDatatype="130" unbalanced="0">
      <fieldsUsage count="2">
        <fieldUsage x="-1"/>
        <fieldUsage x="1"/>
      </fieldsUsage>
    </cacheHierarchy>
    <cacheHierarchy uniqueName="[Returns].[Invoice ID]" caption="Invoice ID" attribute="1" defaultMemberUniqueName="[Returns].[Invoice ID].[All]" allUniqueName="[Returns].[Invoice ID].[All]" dimensionUniqueName="[Returns]" displayFolder="" count="0" memberValueDatatype="130" unbalanced="0"/>
    <cacheHierarchy uniqueName="[Measures].[__XL_Count REP]" caption="__XL_Count REP" measure="1" displayFolder="" measureGroup="REP" count="0" hidden="1"/>
    <cacheHierarchy uniqueName="[Measures].[__XL_Count Returns]" caption="__XL_Count Returns" measure="1" displayFolder="" measureGroup="Returns" count="0" hidden="1"/>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Total]" caption="Sum of Total" measure="1" displayFolder="" measureGroup="Data" count="0" oneField="1" hidden="1">
      <fieldsUsage count="1">
        <fieldUsage x="3"/>
      </fieldsUsage>
      <extLst>
        <ext xmlns:x15="http://schemas.microsoft.com/office/spreadsheetml/2010/11/main" uri="{B97F6D7D-B522-45F9-BDA1-12C45D357490}">
          <x15:cacheHierarchy aggregatedColumn="10"/>
        </ext>
      </extLst>
    </cacheHierarchy>
    <cacheHierarchy uniqueName="[Measures].[Count of returns]" caption="Count of returns" measure="1" displayFolder="" measureGroup="Returns" count="0" hidden="1">
      <extLst>
        <ext xmlns:x15="http://schemas.microsoft.com/office/spreadsheetml/2010/11/main" uri="{B97F6D7D-B522-45F9-BDA1-12C45D357490}">
          <x15:cacheHierarchy aggregatedColumn="24"/>
        </ext>
      </extLst>
    </cacheHierarchy>
    <cacheHierarchy uniqueName="[Measures].[Sum of Net Profit]" caption="Sum of Net Profit" measure="1" displayFolder="" measureGroup="Data" count="0" hidden="1">
      <extLst>
        <ext xmlns:x15="http://schemas.microsoft.com/office/spreadsheetml/2010/11/main" uri="{B97F6D7D-B522-45F9-BDA1-12C45D357490}">
          <x15:cacheHierarchy aggregatedColumn="18"/>
        </ext>
      </extLst>
    </cacheHierarchy>
    <cacheHierarchy uniqueName="[Measures].[Sum of cogs]" caption="Sum of cogs" measure="1" displayFolder="" measureGroup="Data" count="0" hidden="1">
      <extLst>
        <ext xmlns:x15="http://schemas.microsoft.com/office/spreadsheetml/2010/11/main" uri="{B97F6D7D-B522-45F9-BDA1-12C45D357490}">
          <x15:cacheHierarchy aggregatedColumn="17"/>
        </ext>
      </extLst>
    </cacheHierarchy>
    <cacheHierarchy uniqueName="[Measures].[Sum of Tax 5%]" caption="Sum of Tax 5%" measure="1" displayFolder="" measureGroup="Data" count="0" hidden="1">
      <extLst>
        <ext xmlns:x15="http://schemas.microsoft.com/office/spreadsheetml/2010/11/main" uri="{B97F6D7D-B522-45F9-BDA1-12C45D357490}">
          <x15:cacheHierarchy aggregatedColumn="9"/>
        </ext>
      </extLst>
    </cacheHierarchy>
    <cacheHierarchy uniqueName="[Measures].[Average of Net Profit]" caption="Average of Net Profit" measure="1" displayFolder="" measureGroup="Data"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8"/>
        </ext>
      </extLst>
    </cacheHierarchy>
    <cacheHierarchy uniqueName="[Measures].[Count of Invoice ID]" caption="Count of Invoice ID" measure="1" displayFolder="" measureGroup="Data" count="0" hidden="1">
      <extLst>
        <ext xmlns:x15="http://schemas.microsoft.com/office/spreadsheetml/2010/11/main" uri="{B97F6D7D-B522-45F9-BDA1-12C45D357490}">
          <x15:cacheHierarchy aggregatedColumn="0"/>
        </ext>
      </extLst>
    </cacheHierarchy>
    <cacheHierarchy uniqueName="[Measures].[Count of Quantity]" caption="Count of Quantity" measure="1" displayFolder="" measureGroup="Data" count="0" hidden="1">
      <extLst>
        <ext xmlns:x15="http://schemas.microsoft.com/office/spreadsheetml/2010/11/main" uri="{B97F6D7D-B522-45F9-BDA1-12C45D357490}">
          <x15:cacheHierarchy aggregatedColumn="8"/>
        </ext>
      </extLst>
    </cacheHierarchy>
    <cacheHierarchy uniqueName="[Measures].[Count of Product line]" caption="Count of Product line" measure="1" displayFolder="" measureGroup="Data" count="0" hidden="1">
      <extLst>
        <ext xmlns:x15="http://schemas.microsoft.com/office/spreadsheetml/2010/11/main" uri="{B97F6D7D-B522-45F9-BDA1-12C45D357490}">
          <x15:cacheHierarchy aggregatedColumn="6"/>
        </ext>
      </extLst>
    </cacheHierarchy>
    <cacheHierarchy uniqueName="[Measures].[Count of Invoice ID 2]" caption="Count of Invoice ID 2" measure="1" displayFolder="" measureGroup="Returns" count="0" hidden="1">
      <extLst>
        <ext xmlns:x15="http://schemas.microsoft.com/office/spreadsheetml/2010/11/main" uri="{B97F6D7D-B522-45F9-BDA1-12C45D357490}">
          <x15:cacheHierarchy aggregatedColumn="25"/>
        </ext>
      </extLst>
    </cacheHierarchy>
    <cacheHierarchy uniqueName="[Measures].[Sum of Rating]" caption="Sum of Rating" measure="1" displayFolder="" measureGroup="Data" count="0" hidden="1">
      <extLst>
        <ext xmlns:x15="http://schemas.microsoft.com/office/spreadsheetml/2010/11/main" uri="{B97F6D7D-B522-45F9-BDA1-12C45D357490}">
          <x15:cacheHierarchy aggregatedColumn="19"/>
        </ext>
      </extLst>
    </cacheHierarchy>
    <cacheHierarchy uniqueName="[Measures].[Average of Rating]" caption="Average of Rating" measure="1" displayFolder="" measureGroup="Data" count="0" hidden="1">
      <extLst>
        <ext xmlns:x15="http://schemas.microsoft.com/office/spreadsheetml/2010/11/main" uri="{B97F6D7D-B522-45F9-BDA1-12C45D357490}">
          <x15:cacheHierarchy aggregatedColumn="19"/>
        </ext>
      </extLst>
    </cacheHierarchy>
    <cacheHierarchy uniqueName="[Measures].[Min of Rating]" caption="Min of Rating" measure="1" displayFolder="" measureGroup="Data" count="0" hidden="1">
      <extLst>
        <ext xmlns:x15="http://schemas.microsoft.com/office/spreadsheetml/2010/11/main" uri="{B97F6D7D-B522-45F9-BDA1-12C45D357490}">
          <x15:cacheHierarchy aggregatedColumn="19"/>
        </ext>
      </extLst>
    </cacheHierarchy>
    <cacheHierarchy uniqueName="[Measures].[Max of Rating]" caption="Max of Rating" measure="1" displayFolder="" measureGroup="Data" count="0" hidden="1">
      <extLst>
        <ext xmlns:x15="http://schemas.microsoft.com/office/spreadsheetml/2010/11/main" uri="{B97F6D7D-B522-45F9-BDA1-12C45D357490}">
          <x15:cacheHierarchy aggregatedColumn="19"/>
        </ext>
      </extLst>
    </cacheHierarchy>
    <cacheHierarchy uniqueName="[Measures].[Count of Rating]" caption="Count of Rating" measure="1" displayFolder="" measureGroup="Data" count="0" hidden="1">
      <extLst>
        <ext xmlns:x15="http://schemas.microsoft.com/office/spreadsheetml/2010/11/main" uri="{B97F6D7D-B522-45F9-BDA1-12C45D357490}">
          <x15:cacheHierarchy aggregatedColumn="19"/>
        </ext>
      </extLst>
    </cacheHierarchy>
    <cacheHierarchy uniqueName="[Measures].[Distinct Count of Rating]" caption="Distinct Count of Rating" measure="1" displayFolder="" measureGroup="Data" count="0" hidden="1">
      <extLst>
        <ext xmlns:x15="http://schemas.microsoft.com/office/spreadsheetml/2010/11/main" uri="{B97F6D7D-B522-45F9-BDA1-12C45D357490}">
          <x15:cacheHierarchy aggregatedColumn="19"/>
        </ext>
      </extLst>
    </cacheHierarchy>
    <cacheHierarchy uniqueName="[Measures].[Distinct Count of Invoice ID]" caption="Distinct Count of Invoice ID" measure="1" displayFolder="" measureGroup="Data" count="0" hidden="1">
      <extLst>
        <ext xmlns:x15="http://schemas.microsoft.com/office/spreadsheetml/2010/11/main" uri="{B97F6D7D-B522-45F9-BDA1-12C45D357490}">
          <x15:cacheHierarchy aggregatedColumn="0"/>
        </ext>
      </extLst>
    </cacheHierarchy>
    <cacheHierarchy uniqueName="[Measures].[Count of Customer type]" caption="Count of Customer type" measure="1" displayFolder="" measureGroup="Data" count="0" hidden="1">
      <extLst>
        <ext xmlns:x15="http://schemas.microsoft.com/office/spreadsheetml/2010/11/main" uri="{B97F6D7D-B522-45F9-BDA1-12C45D357490}">
          <x15:cacheHierarchy aggregatedColumn="4"/>
        </ext>
      </extLst>
    </cacheHierarchy>
    <cacheHierarchy uniqueName="[Measures].[Count of Payment]" caption="Count of Payment" measure="1" displayFolder="" measureGroup="Data" count="0" hidden="1">
      <extLst>
        <ext xmlns:x15="http://schemas.microsoft.com/office/spreadsheetml/2010/11/main" uri="{B97F6D7D-B522-45F9-BDA1-12C45D357490}">
          <x15:cacheHierarchy aggregatedColumn="16"/>
        </ext>
      </extLst>
    </cacheHierarchy>
    <cacheHierarchy uniqueName="[Measures].[Average of Total]" caption="Average of Total" measure="1" displayFolder="" measureGroup="Data" count="0" hidden="1">
      <extLst>
        <ext xmlns:x15="http://schemas.microsoft.com/office/spreadsheetml/2010/11/main" uri="{B97F6D7D-B522-45F9-BDA1-12C45D357490}">
          <x15:cacheHierarchy aggregatedColumn="10"/>
        </ext>
      </extLst>
    </cacheHierarchy>
    <cacheHierarchy uniqueName="[Measures].[Sum of Unit price]" caption="Sum of Unit price" measure="1" displayFolder="" measureGroup="Data" count="0" hidden="1">
      <extLst>
        <ext xmlns:x15="http://schemas.microsoft.com/office/spreadsheetml/2010/11/main" uri="{B97F6D7D-B522-45F9-BDA1-12C45D357490}">
          <x15:cacheHierarchy aggregatedColumn="7"/>
        </ext>
      </extLst>
    </cacheHierarchy>
    <cacheHierarchy uniqueName="[Measures].[Average of Unit price]" caption="Average of Unit price" measure="1" displayFolder="" measureGroup="Data" count="0" hidden="1">
      <extLst>
        <ext xmlns:x15="http://schemas.microsoft.com/office/spreadsheetml/2010/11/main" uri="{B97F6D7D-B522-45F9-BDA1-12C45D357490}">
          <x15:cacheHierarchy aggregatedColumn="7"/>
        </ext>
      </extLst>
    </cacheHierarchy>
    <cacheHierarchy uniqueName="[Measures].[Max of Unit price]" caption="Max of Unit price" measure="1" displayFolder="" measureGroup="Data" count="0" hidden="1">
      <extLst>
        <ext xmlns:x15="http://schemas.microsoft.com/office/spreadsheetml/2010/11/main" uri="{B97F6D7D-B522-45F9-BDA1-12C45D357490}">
          <x15:cacheHierarchy aggregatedColumn="7"/>
        </ext>
      </extLst>
    </cacheHierarchy>
    <cacheHierarchy uniqueName="[Measures].[Min of Unit price]" caption="Min of Unit price" measure="1" displayFolder="" measureGroup="Data" count="0" hidden="1">
      <extLst>
        <ext xmlns:x15="http://schemas.microsoft.com/office/spreadsheetml/2010/11/main" uri="{B97F6D7D-B522-45F9-BDA1-12C45D357490}">
          <x15:cacheHierarchy aggregatedColumn="7"/>
        </ext>
      </extLst>
    </cacheHierarchy>
  </cacheHierarchies>
  <kpis count="0"/>
  <dimensions count="4">
    <dimension name="Data" uniqueName="[Data]" caption="Data"/>
    <dimension measure="1" name="Measures" uniqueName="[Measures]" caption="Measures"/>
    <dimension name="REP" uniqueName="[REP]" caption="REP"/>
    <dimension name="Returns" uniqueName="[Returns]" caption="Returns"/>
  </dimensions>
  <measureGroups count="3">
    <measureGroup name="Data" caption="Data"/>
    <measureGroup name="REP" caption="REP"/>
    <measureGroup name="Returns" caption="Returns"/>
  </measureGroups>
  <maps count="5">
    <map measureGroup="0" dimension="0"/>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Amira" refreshedDate="46138.964791782404" backgroundQuery="1" createdVersion="6" refreshedVersion="6" minRefreshableVersion="3" recordCount="0" supportSubquery="1" supportAdvancedDrill="1">
  <cacheSource type="external" connectionId="1"/>
  <cacheFields count="4">
    <cacheField name="[Data].[Year].[Year]" caption="Year" numFmtId="0" hierarchy="14" level="1">
      <sharedItems containsSemiMixedTypes="0" containsString="0" containsNumber="1" containsInteger="1" minValue="2019" maxValue="2022" count="4">
        <n v="2019"/>
        <n v="2020"/>
        <n v="2021"/>
        <n v="2022"/>
      </sharedItems>
      <extLst>
        <ext xmlns:x15="http://schemas.microsoft.com/office/spreadsheetml/2010/11/main" uri="{4F2E5C28-24EA-4eb8-9CBF-B6C8F9C3D259}">
          <x15:cachedUniqueNames>
            <x15:cachedUniqueName index="0" name="[Data].[Year].&amp;[2019]"/>
            <x15:cachedUniqueName index="1" name="[Data].[Year].&amp;[2020]"/>
            <x15:cachedUniqueName index="2" name="[Data].[Year].&amp;[2021]"/>
            <x15:cachedUniqueName index="3" name="[Data].[Year].&amp;[2022]"/>
          </x15:cachedUniqueNames>
        </ext>
      </extLst>
    </cacheField>
    <cacheField name="[Returns].[returns].[returns]" caption="returns" numFmtId="0" hierarchy="24" level="1">
      <sharedItems containsBlank="1" count="2">
        <s v="yes"/>
        <m/>
      </sharedItems>
    </cacheField>
    <cacheField name="[Measures].[Sum of Total]" caption="Sum of Total" numFmtId="0" hierarchy="30" level="32767"/>
    <cacheField name="[Data].[Product line].[Product line]" caption="Product line" numFmtId="0" hierarchy="6" level="1">
      <sharedItems count="6">
        <s v="Electronic accessories"/>
        <s v="Fashion accessories"/>
        <s v="Food and beverages"/>
        <s v="Health and beauty"/>
        <s v="Home and lifestyle"/>
        <s v="Sports and travel"/>
      </sharedItems>
    </cacheField>
  </cacheFields>
  <cacheHierarchies count="55">
    <cacheHierarchy uniqueName="[Data].[Invoice ID]" caption="Invoice ID" attribute="1" defaultMemberUniqueName="[Data].[Invoice ID].[All]" allUniqueName="[Data].[Invoice ID].[All]" dimensionUniqueName="[Data]" displayFolder="" count="0" memberValueDatatype="130" unbalanced="0"/>
    <cacheHierarchy uniqueName="[Data].[Branch]" caption="Branch" attribute="1" defaultMemberUniqueName="[Data].[Branch].[All]" allUniqueName="[Data].[Branch].[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Branch City]" caption="Branch City" attribute="1" defaultMemberUniqueName="[Data].[Branch City].[All]" allUniqueName="[Data].[Branch City].[All]" dimensionUniqueName="[Data]" displayFolder="" count="2" memberValueDatatype="130" unbalanced="0"/>
    <cacheHierarchy uniqueName="[Data].[Customer type]" caption="Customer type" attribute="1" defaultMemberUniqueName="[Data].[Customer type].[All]" allUniqueName="[Data].[Customer type].[All]" dimensionUniqueName="[Data]" displayFolder="" count="2" memberValueDatatype="130" unbalanced="0"/>
    <cacheHierarchy uniqueName="[Data].[Gender]" caption="Gender" attribute="1" defaultMemberUniqueName="[Data].[Gender].[All]" allUniqueName="[Data].[Gender].[All]" dimensionUniqueName="[Data]" displayFolder="" count="0" memberValueDatatype="130" unbalanced="0"/>
    <cacheHierarchy uniqueName="[Data].[Product line]" caption="Product line" attribute="1" defaultMemberUniqueName="[Data].[Product line].[All]" allUniqueName="[Data].[Product line].[All]" dimensionUniqueName="[Data]" displayFolder="" count="2" memberValueDatatype="130" unbalanced="0">
      <fieldsUsage count="2">
        <fieldUsage x="-1"/>
        <fieldUsage x="3"/>
      </fieldsUsage>
    </cacheHierarchy>
    <cacheHierarchy uniqueName="[Data].[Unit price]" caption="Unit price" attribute="1" defaultMemberUniqueName="[Data].[Unit price].[All]" allUniqueName="[Data].[Unit price].[All]" dimensionUniqueName="[Data]" displayFolder="" count="0" memberValueDatatype="5" unbalanced="0"/>
    <cacheHierarchy uniqueName="[Data].[Quantity]" caption="Quantity" attribute="1" defaultMemberUniqueName="[Data].[Quantity].[All]" allUniqueName="[Data].[Quantity].[All]" dimensionUniqueName="[Data]" displayFolder="" count="0" memberValueDatatype="20" unbalanced="0"/>
    <cacheHierarchy uniqueName="[Data].[Tax 5%]" caption="Tax 5%" attribute="1" defaultMemberUniqueName="[Data].[Tax 5%].[All]" allUniqueName="[Data].[Tax 5%].[All]" dimensionUniqueName="[Data]" displayFolder="" count="0" memberValueDatatype="5" unbalanced="0"/>
    <cacheHierarchy uniqueName="[Data].[Total]" caption="Total" attribute="1" defaultMemberUniqueName="[Data].[Total].[All]" allUniqueName="[Data].[Total].[All]" dimensionUniqueName="[Data]" displayFolder="" count="0" memberValueDatatype="5" unbalanced="0"/>
    <cacheHierarchy uniqueName="[Data].[Date]" caption="Date" attribute="1" time="1" defaultMemberUniqueName="[Data].[Date].[All]" allUniqueName="[Data].[Date].[All]" dimensionUniqueName="[Data]" displayFolder="" count="0" memberValueDatatype="7" unbalanced="0"/>
    <cacheHierarchy uniqueName="[Data].[Day]" caption="Day" attribute="1" defaultMemberUniqueName="[Data].[Day].[All]" allUniqueName="[Data].[Day].[All]" dimensionUniqueName="[Data]" displayFolder="" count="0" memberValueDatatype="20" unbalanced="0"/>
    <cacheHierarchy uniqueName="[Data].[Month]" caption="Month" attribute="1" defaultMemberUniqueName="[Data].[Month].[All]" allUniqueName="[Data].[Month].[All]" dimensionUniqueName="[Data]" displayFolder="" count="0" memberValueDatatype="20" unbalanced="0"/>
    <cacheHierarchy uniqueName="[Data].[Year]" caption="Year" attribute="1" defaultMemberUniqueName="[Data].[Year].[All]" allUniqueName="[Data].[Year].[All]" dimensionUniqueName="[Data]" displayFolder="" count="2" memberValueDatatype="20" unbalanced="0">
      <fieldsUsage count="2">
        <fieldUsage x="-1"/>
        <fieldUsage x="0"/>
      </fieldsUsage>
    </cacheHierarchy>
    <cacheHierarchy uniqueName="[Data].[Time]" caption="Time" attribute="1" time="1" defaultMemberUniqueName="[Data].[Time].[All]" allUniqueName="[Data].[Time].[All]" dimensionUniqueName="[Data]" displayFolder="" count="0" memberValueDatatype="7" unbalanced="0"/>
    <cacheHierarchy uniqueName="[Data].[Payment]" caption="Payment" attribute="1" defaultMemberUniqueName="[Data].[Payment].[All]" allUniqueName="[Data].[Payment].[All]" dimensionUniqueName="[Data]" displayFolder="" count="2" memberValueDatatype="130" unbalanced="0"/>
    <cacheHierarchy uniqueName="[Data].[cogs]" caption="cogs" attribute="1" defaultMemberUniqueName="[Data].[cogs].[All]" allUniqueName="[Data].[cogs].[All]" dimensionUniqueName="[Data]" displayFolder="" count="0" memberValueDatatype="5" unbalanced="0"/>
    <cacheHierarchy uniqueName="[Data].[Net Profit]" caption="Net Profit" attribute="1" defaultMemberUniqueName="[Data].[Net Profit].[All]" allUniqueName="[Data].[Net Profit].[All]" dimensionUniqueName="[Data]" displayFolder="" count="0" memberValueDatatype="5" unbalanced="0"/>
    <cacheHierarchy uniqueName="[Data].[Rating]" caption="Rating" attribute="1" defaultMemberUniqueName="[Data].[Rating].[All]" allUniqueName="[Data].[Rating].[All]" dimensionUniqueName="[Data]" displayFolder="" count="0" memberValueDatatype="5" unbalanced="0"/>
    <cacheHierarchy uniqueName="[Data].[Time (Hour)]" caption="Time (Hour)" attribute="1" defaultMemberUniqueName="[Data].[Time (Hour)].[All]" allUniqueName="[Data].[Time (Hour)].[All]" dimensionUniqueName="[Data]" displayFolder="" count="0" memberValueDatatype="130" unbalanced="0"/>
    <cacheHierarchy uniqueName="[Data].[Time (Minute)]" caption="Time (Minute)" attribute="1" defaultMemberUniqueName="[Data].[Time (Minute)].[All]" allUniqueName="[Data].[Time (Minute)].[All]" dimensionUniqueName="[Data]" displayFolder="" count="0" memberValueDatatype="130" unbalanced="0"/>
    <cacheHierarchy uniqueName="[REP].[city]" caption="city" attribute="1" defaultMemberUniqueName="[REP].[city].[All]" allUniqueName="[REP].[city].[All]" dimensionUniqueName="[REP]" displayFolder="" count="0" memberValueDatatype="130" unbalanced="0"/>
    <cacheHierarchy uniqueName="[REP].[Rep]" caption="Rep" attribute="1" defaultMemberUniqueName="[REP].[Rep].[All]" allUniqueName="[REP].[Rep].[All]" dimensionUniqueName="[REP]" displayFolder="" count="2" memberValueDatatype="130" unbalanced="0"/>
    <cacheHierarchy uniqueName="[Returns].[returns]" caption="returns" attribute="1" defaultMemberUniqueName="[Returns].[returns].[All]" allUniqueName="[Returns].[returns].[All]" dimensionUniqueName="[Returns]" displayFolder="" count="2" memberValueDatatype="130" unbalanced="0">
      <fieldsUsage count="2">
        <fieldUsage x="-1"/>
        <fieldUsage x="1"/>
      </fieldsUsage>
    </cacheHierarchy>
    <cacheHierarchy uniqueName="[Returns].[Invoice ID]" caption="Invoice ID" attribute="1" defaultMemberUniqueName="[Returns].[Invoice ID].[All]" allUniqueName="[Returns].[Invoice ID].[All]" dimensionUniqueName="[Returns]" displayFolder="" count="0" memberValueDatatype="130" unbalanced="0"/>
    <cacheHierarchy uniqueName="[Measures].[__XL_Count REP]" caption="__XL_Count REP" measure="1" displayFolder="" measureGroup="REP" count="0" hidden="1"/>
    <cacheHierarchy uniqueName="[Measures].[__XL_Count Returns]" caption="__XL_Count Returns" measure="1" displayFolder="" measureGroup="Returns" count="0" hidden="1"/>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Total]" caption="Sum of Total" measure="1" displayFolder="" measureGroup="Data"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returns]" caption="Count of returns" measure="1" displayFolder="" measureGroup="Returns" count="0" hidden="1">
      <extLst>
        <ext xmlns:x15="http://schemas.microsoft.com/office/spreadsheetml/2010/11/main" uri="{B97F6D7D-B522-45F9-BDA1-12C45D357490}">
          <x15:cacheHierarchy aggregatedColumn="24"/>
        </ext>
      </extLst>
    </cacheHierarchy>
    <cacheHierarchy uniqueName="[Measures].[Sum of Net Profit]" caption="Sum of Net Profit" measure="1" displayFolder="" measureGroup="Data" count="0" hidden="1">
      <extLst>
        <ext xmlns:x15="http://schemas.microsoft.com/office/spreadsheetml/2010/11/main" uri="{B97F6D7D-B522-45F9-BDA1-12C45D357490}">
          <x15:cacheHierarchy aggregatedColumn="18"/>
        </ext>
      </extLst>
    </cacheHierarchy>
    <cacheHierarchy uniqueName="[Measures].[Sum of cogs]" caption="Sum of cogs" measure="1" displayFolder="" measureGroup="Data" count="0" hidden="1">
      <extLst>
        <ext xmlns:x15="http://schemas.microsoft.com/office/spreadsheetml/2010/11/main" uri="{B97F6D7D-B522-45F9-BDA1-12C45D357490}">
          <x15:cacheHierarchy aggregatedColumn="17"/>
        </ext>
      </extLst>
    </cacheHierarchy>
    <cacheHierarchy uniqueName="[Measures].[Sum of Tax 5%]" caption="Sum of Tax 5%" measure="1" displayFolder="" measureGroup="Data" count="0" hidden="1">
      <extLst>
        <ext xmlns:x15="http://schemas.microsoft.com/office/spreadsheetml/2010/11/main" uri="{B97F6D7D-B522-45F9-BDA1-12C45D357490}">
          <x15:cacheHierarchy aggregatedColumn="9"/>
        </ext>
      </extLst>
    </cacheHierarchy>
    <cacheHierarchy uniqueName="[Measures].[Average of Net Profit]" caption="Average of Net Profit" measure="1" displayFolder="" measureGroup="Data"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8"/>
        </ext>
      </extLst>
    </cacheHierarchy>
    <cacheHierarchy uniqueName="[Measures].[Count of Invoice ID]" caption="Count of Invoice ID" measure="1" displayFolder="" measureGroup="Data" count="0" hidden="1">
      <extLst>
        <ext xmlns:x15="http://schemas.microsoft.com/office/spreadsheetml/2010/11/main" uri="{B97F6D7D-B522-45F9-BDA1-12C45D357490}">
          <x15:cacheHierarchy aggregatedColumn="0"/>
        </ext>
      </extLst>
    </cacheHierarchy>
    <cacheHierarchy uniqueName="[Measures].[Count of Quantity]" caption="Count of Quantity" measure="1" displayFolder="" measureGroup="Data" count="0" hidden="1">
      <extLst>
        <ext xmlns:x15="http://schemas.microsoft.com/office/spreadsheetml/2010/11/main" uri="{B97F6D7D-B522-45F9-BDA1-12C45D357490}">
          <x15:cacheHierarchy aggregatedColumn="8"/>
        </ext>
      </extLst>
    </cacheHierarchy>
    <cacheHierarchy uniqueName="[Measures].[Count of Product line]" caption="Count of Product line" measure="1" displayFolder="" measureGroup="Data" count="0" hidden="1">
      <extLst>
        <ext xmlns:x15="http://schemas.microsoft.com/office/spreadsheetml/2010/11/main" uri="{B97F6D7D-B522-45F9-BDA1-12C45D357490}">
          <x15:cacheHierarchy aggregatedColumn="6"/>
        </ext>
      </extLst>
    </cacheHierarchy>
    <cacheHierarchy uniqueName="[Measures].[Count of Invoice ID 2]" caption="Count of Invoice ID 2" measure="1" displayFolder="" measureGroup="Returns" count="0" hidden="1">
      <extLst>
        <ext xmlns:x15="http://schemas.microsoft.com/office/spreadsheetml/2010/11/main" uri="{B97F6D7D-B522-45F9-BDA1-12C45D357490}">
          <x15:cacheHierarchy aggregatedColumn="25"/>
        </ext>
      </extLst>
    </cacheHierarchy>
    <cacheHierarchy uniqueName="[Measures].[Sum of Rating]" caption="Sum of Rating" measure="1" displayFolder="" measureGroup="Data" count="0" hidden="1">
      <extLst>
        <ext xmlns:x15="http://schemas.microsoft.com/office/spreadsheetml/2010/11/main" uri="{B97F6D7D-B522-45F9-BDA1-12C45D357490}">
          <x15:cacheHierarchy aggregatedColumn="19"/>
        </ext>
      </extLst>
    </cacheHierarchy>
    <cacheHierarchy uniqueName="[Measures].[Average of Rating]" caption="Average of Rating" measure="1" displayFolder="" measureGroup="Data" count="0" hidden="1">
      <extLst>
        <ext xmlns:x15="http://schemas.microsoft.com/office/spreadsheetml/2010/11/main" uri="{B97F6D7D-B522-45F9-BDA1-12C45D357490}">
          <x15:cacheHierarchy aggregatedColumn="19"/>
        </ext>
      </extLst>
    </cacheHierarchy>
    <cacheHierarchy uniqueName="[Measures].[Min of Rating]" caption="Min of Rating" measure="1" displayFolder="" measureGroup="Data" count="0" hidden="1">
      <extLst>
        <ext xmlns:x15="http://schemas.microsoft.com/office/spreadsheetml/2010/11/main" uri="{B97F6D7D-B522-45F9-BDA1-12C45D357490}">
          <x15:cacheHierarchy aggregatedColumn="19"/>
        </ext>
      </extLst>
    </cacheHierarchy>
    <cacheHierarchy uniqueName="[Measures].[Max of Rating]" caption="Max of Rating" measure="1" displayFolder="" measureGroup="Data" count="0" hidden="1">
      <extLst>
        <ext xmlns:x15="http://schemas.microsoft.com/office/spreadsheetml/2010/11/main" uri="{B97F6D7D-B522-45F9-BDA1-12C45D357490}">
          <x15:cacheHierarchy aggregatedColumn="19"/>
        </ext>
      </extLst>
    </cacheHierarchy>
    <cacheHierarchy uniqueName="[Measures].[Count of Rating]" caption="Count of Rating" measure="1" displayFolder="" measureGroup="Data" count="0" hidden="1">
      <extLst>
        <ext xmlns:x15="http://schemas.microsoft.com/office/spreadsheetml/2010/11/main" uri="{B97F6D7D-B522-45F9-BDA1-12C45D357490}">
          <x15:cacheHierarchy aggregatedColumn="19"/>
        </ext>
      </extLst>
    </cacheHierarchy>
    <cacheHierarchy uniqueName="[Measures].[Distinct Count of Rating]" caption="Distinct Count of Rating" measure="1" displayFolder="" measureGroup="Data" count="0" hidden="1">
      <extLst>
        <ext xmlns:x15="http://schemas.microsoft.com/office/spreadsheetml/2010/11/main" uri="{B97F6D7D-B522-45F9-BDA1-12C45D357490}">
          <x15:cacheHierarchy aggregatedColumn="19"/>
        </ext>
      </extLst>
    </cacheHierarchy>
    <cacheHierarchy uniqueName="[Measures].[Distinct Count of Invoice ID]" caption="Distinct Count of Invoice ID" measure="1" displayFolder="" measureGroup="Data" count="0" hidden="1">
      <extLst>
        <ext xmlns:x15="http://schemas.microsoft.com/office/spreadsheetml/2010/11/main" uri="{B97F6D7D-B522-45F9-BDA1-12C45D357490}">
          <x15:cacheHierarchy aggregatedColumn="0"/>
        </ext>
      </extLst>
    </cacheHierarchy>
    <cacheHierarchy uniqueName="[Measures].[Count of Customer type]" caption="Count of Customer type" measure="1" displayFolder="" measureGroup="Data" count="0" hidden="1">
      <extLst>
        <ext xmlns:x15="http://schemas.microsoft.com/office/spreadsheetml/2010/11/main" uri="{B97F6D7D-B522-45F9-BDA1-12C45D357490}">
          <x15:cacheHierarchy aggregatedColumn="4"/>
        </ext>
      </extLst>
    </cacheHierarchy>
    <cacheHierarchy uniqueName="[Measures].[Count of Payment]" caption="Count of Payment" measure="1" displayFolder="" measureGroup="Data" count="0" hidden="1">
      <extLst>
        <ext xmlns:x15="http://schemas.microsoft.com/office/spreadsheetml/2010/11/main" uri="{B97F6D7D-B522-45F9-BDA1-12C45D357490}">
          <x15:cacheHierarchy aggregatedColumn="16"/>
        </ext>
      </extLst>
    </cacheHierarchy>
    <cacheHierarchy uniqueName="[Measures].[Average of Total]" caption="Average of Total" measure="1" displayFolder="" measureGroup="Data" count="0" hidden="1">
      <extLst>
        <ext xmlns:x15="http://schemas.microsoft.com/office/spreadsheetml/2010/11/main" uri="{B97F6D7D-B522-45F9-BDA1-12C45D357490}">
          <x15:cacheHierarchy aggregatedColumn="10"/>
        </ext>
      </extLst>
    </cacheHierarchy>
    <cacheHierarchy uniqueName="[Measures].[Sum of Unit price]" caption="Sum of Unit price" measure="1" displayFolder="" measureGroup="Data" count="0" hidden="1">
      <extLst>
        <ext xmlns:x15="http://schemas.microsoft.com/office/spreadsheetml/2010/11/main" uri="{B97F6D7D-B522-45F9-BDA1-12C45D357490}">
          <x15:cacheHierarchy aggregatedColumn="7"/>
        </ext>
      </extLst>
    </cacheHierarchy>
    <cacheHierarchy uniqueName="[Measures].[Average of Unit price]" caption="Average of Unit price" measure="1" displayFolder="" measureGroup="Data" count="0" hidden="1">
      <extLst>
        <ext xmlns:x15="http://schemas.microsoft.com/office/spreadsheetml/2010/11/main" uri="{B97F6D7D-B522-45F9-BDA1-12C45D357490}">
          <x15:cacheHierarchy aggregatedColumn="7"/>
        </ext>
      </extLst>
    </cacheHierarchy>
    <cacheHierarchy uniqueName="[Measures].[Max of Unit price]" caption="Max of Unit price" measure="1" displayFolder="" measureGroup="Data" count="0" hidden="1">
      <extLst>
        <ext xmlns:x15="http://schemas.microsoft.com/office/spreadsheetml/2010/11/main" uri="{B97F6D7D-B522-45F9-BDA1-12C45D357490}">
          <x15:cacheHierarchy aggregatedColumn="7"/>
        </ext>
      </extLst>
    </cacheHierarchy>
    <cacheHierarchy uniqueName="[Measures].[Min of Unit price]" caption="Min of Unit price" measure="1" displayFolder="" measureGroup="Data" count="0" hidden="1">
      <extLst>
        <ext xmlns:x15="http://schemas.microsoft.com/office/spreadsheetml/2010/11/main" uri="{B97F6D7D-B522-45F9-BDA1-12C45D357490}">
          <x15:cacheHierarchy aggregatedColumn="7"/>
        </ext>
      </extLst>
    </cacheHierarchy>
  </cacheHierarchies>
  <kpis count="0"/>
  <dimensions count="4">
    <dimension name="Data" uniqueName="[Data]" caption="Data"/>
    <dimension measure="1" name="Measures" uniqueName="[Measures]" caption="Measures"/>
    <dimension name="REP" uniqueName="[REP]" caption="REP"/>
    <dimension name="Returns" uniqueName="[Returns]" caption="Returns"/>
  </dimensions>
  <measureGroups count="3">
    <measureGroup name="Data" caption="Data"/>
    <measureGroup name="REP" caption="REP"/>
    <measureGroup name="Returns" caption="Returns"/>
  </measureGroups>
  <maps count="5">
    <map measureGroup="0" dimension="0"/>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Amira" refreshedDate="46139.489651851851" backgroundQuery="1" createdVersion="6" refreshedVersion="6" minRefreshableVersion="3" recordCount="0" supportSubquery="1" supportAdvancedDrill="1">
  <cacheSource type="external" connectionId="1"/>
  <cacheFields count="5">
    <cacheField name="[Measures].[Sum of Total]" caption="Sum of Total" numFmtId="0" hierarchy="30" level="32767"/>
    <cacheField name="[Data].[Year].[Year]" caption="Year" numFmtId="0" hierarchy="14" level="1">
      <sharedItems containsSemiMixedTypes="0" containsNonDate="0" containsString="0"/>
    </cacheField>
    <cacheField name="[Measures].[Sum of Net Profit]" caption="Sum of Net Profit" numFmtId="0" hierarchy="32" level="32767"/>
    <cacheField name="[Measures].[Sum of cogs]" caption="Sum of cogs" numFmtId="0" hierarchy="33" level="32767"/>
    <cacheField name="[Measures].[Sum of Tax 5%]" caption="Sum of Tax 5%" numFmtId="0" hierarchy="34" level="32767"/>
  </cacheFields>
  <cacheHierarchies count="55">
    <cacheHierarchy uniqueName="[Data].[Invoice ID]" caption="Invoice ID" attribute="1" defaultMemberUniqueName="[Data].[Invoice ID].[All]" allUniqueName="[Data].[Invoice ID].[All]" dimensionUniqueName="[Data]" displayFolder="" count="0" memberValueDatatype="130" unbalanced="0"/>
    <cacheHierarchy uniqueName="[Data].[Branch]" caption="Branch" attribute="1" defaultMemberUniqueName="[Data].[Branch].[All]" allUniqueName="[Data].[Branch].[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Branch City]" caption="Branch City" attribute="1" defaultMemberUniqueName="[Data].[Branch City].[All]" allUniqueName="[Data].[Branch City].[All]" dimensionUniqueName="[Data]" displayFolder="" count="2" memberValueDatatype="130" unbalanced="0"/>
    <cacheHierarchy uniqueName="[Data].[Customer type]" caption="Customer type" attribute="1" defaultMemberUniqueName="[Data].[Customer type].[All]" allUniqueName="[Data].[Customer type].[All]" dimensionUniqueName="[Data]" displayFolder="" count="0" memberValueDatatype="130" unbalanced="0"/>
    <cacheHierarchy uniqueName="[Data].[Gender]" caption="Gender" attribute="1" defaultMemberUniqueName="[Data].[Gender].[All]" allUniqueName="[Data].[Gender].[All]" dimensionUniqueName="[Data]" displayFolder="" count="0" memberValueDatatype="130" unbalanced="0"/>
    <cacheHierarchy uniqueName="[Data].[Product line]" caption="Product line" attribute="1" defaultMemberUniqueName="[Data].[Product line].[All]" allUniqueName="[Data].[Product line].[All]" dimensionUniqueName="[Data]" displayFolder="" count="2" memberValueDatatype="130" unbalanced="0"/>
    <cacheHierarchy uniqueName="[Data].[Unit price]" caption="Unit price" attribute="1" defaultMemberUniqueName="[Data].[Unit price].[All]" allUniqueName="[Data].[Unit price].[All]" dimensionUniqueName="[Data]" displayFolder="" count="0" memberValueDatatype="5" unbalanced="0"/>
    <cacheHierarchy uniqueName="[Data].[Quantity]" caption="Quantity" attribute="1" defaultMemberUniqueName="[Data].[Quantity].[All]" allUniqueName="[Data].[Quantity].[All]" dimensionUniqueName="[Data]" displayFolder="" count="0" memberValueDatatype="20" unbalanced="0"/>
    <cacheHierarchy uniqueName="[Data].[Tax 5%]" caption="Tax 5%" attribute="1" defaultMemberUniqueName="[Data].[Tax 5%].[All]" allUniqueName="[Data].[Tax 5%].[All]" dimensionUniqueName="[Data]" displayFolder="" count="0" memberValueDatatype="5" unbalanced="0"/>
    <cacheHierarchy uniqueName="[Data].[Total]" caption="Total" attribute="1" defaultMemberUniqueName="[Data].[Total].[All]" allUniqueName="[Data].[Total].[All]" dimensionUniqueName="[Data]" displayFolder="" count="0" memberValueDatatype="5" unbalanced="0"/>
    <cacheHierarchy uniqueName="[Data].[Date]" caption="Date" attribute="1" time="1" defaultMemberUniqueName="[Data].[Date].[All]" allUniqueName="[Data].[Date].[All]" dimensionUniqueName="[Data]" displayFolder="" count="0" memberValueDatatype="7" unbalanced="0"/>
    <cacheHierarchy uniqueName="[Data].[Day]" caption="Day" attribute="1" defaultMemberUniqueName="[Data].[Day].[All]" allUniqueName="[Data].[Day].[All]" dimensionUniqueName="[Data]" displayFolder="" count="0" memberValueDatatype="20" unbalanced="0"/>
    <cacheHierarchy uniqueName="[Data].[Month]" caption="Month" attribute="1" defaultMemberUniqueName="[Data].[Month].[All]" allUniqueName="[Data].[Month].[All]" dimensionUniqueName="[Data]" displayFolder="" count="0" memberValueDatatype="20" unbalanced="0"/>
    <cacheHierarchy uniqueName="[Data].[Year]" caption="Year" attribute="1" defaultMemberUniqueName="[Data].[Year].[All]" allUniqueName="[Data].[Year].[All]" dimensionUniqueName="[Data]" displayFolder="" count="2" memberValueDatatype="20" unbalanced="0">
      <fieldsUsage count="2">
        <fieldUsage x="-1"/>
        <fieldUsage x="1"/>
      </fieldsUsage>
    </cacheHierarchy>
    <cacheHierarchy uniqueName="[Data].[Time]" caption="Time" attribute="1" time="1" defaultMemberUniqueName="[Data].[Time].[All]" allUniqueName="[Data].[Time].[All]" dimensionUniqueName="[Data]" displayFolder="" count="0" memberValueDatatype="7" unbalanced="0"/>
    <cacheHierarchy uniqueName="[Data].[Payment]" caption="Payment" attribute="1" defaultMemberUniqueName="[Data].[Payment].[All]" allUniqueName="[Data].[Payment].[All]" dimensionUniqueName="[Data]" displayFolder="" count="0" memberValueDatatype="130" unbalanced="0"/>
    <cacheHierarchy uniqueName="[Data].[cogs]" caption="cogs" attribute="1" defaultMemberUniqueName="[Data].[cogs].[All]" allUniqueName="[Data].[cogs].[All]" dimensionUniqueName="[Data]" displayFolder="" count="0" memberValueDatatype="5" unbalanced="0"/>
    <cacheHierarchy uniqueName="[Data].[Net Profit]" caption="Net Profit" attribute="1" defaultMemberUniqueName="[Data].[Net Profit].[All]" allUniqueName="[Data].[Net Profit].[All]" dimensionUniqueName="[Data]" displayFolder="" count="0" memberValueDatatype="5" unbalanced="0"/>
    <cacheHierarchy uniqueName="[Data].[Rating]" caption="Rating" attribute="1" defaultMemberUniqueName="[Data].[Rating].[All]" allUniqueName="[Data].[Rating].[All]" dimensionUniqueName="[Data]" displayFolder="" count="0" memberValueDatatype="5" unbalanced="0"/>
    <cacheHierarchy uniqueName="[Data].[Time (Hour)]" caption="Time (Hour)" attribute="1" defaultMemberUniqueName="[Data].[Time (Hour)].[All]" allUniqueName="[Data].[Time (Hour)].[All]" dimensionUniqueName="[Data]" displayFolder="" count="0" memberValueDatatype="130" unbalanced="0"/>
    <cacheHierarchy uniqueName="[Data].[Time (Minute)]" caption="Time (Minute)" attribute="1" defaultMemberUniqueName="[Data].[Time (Minute)].[All]" allUniqueName="[Data].[Time (Minute)].[All]" dimensionUniqueName="[Data]" displayFolder="" count="0" memberValueDatatype="130" unbalanced="0"/>
    <cacheHierarchy uniqueName="[REP].[city]" caption="city" attribute="1" defaultMemberUniqueName="[REP].[city].[All]" allUniqueName="[REP].[city].[All]" dimensionUniqueName="[REP]" displayFolder="" count="0" memberValueDatatype="130" unbalanced="0"/>
    <cacheHierarchy uniqueName="[REP].[Rep]" caption="Rep" attribute="1" defaultMemberUniqueName="[REP].[Rep].[All]" allUniqueName="[REP].[Rep].[All]" dimensionUniqueName="[REP]" displayFolder="" count="0" memberValueDatatype="130" unbalanced="0"/>
    <cacheHierarchy uniqueName="[Returns].[returns]" caption="returns" attribute="1" defaultMemberUniqueName="[Returns].[returns].[All]" allUniqueName="[Returns].[returns].[All]" dimensionUniqueName="[Returns]" displayFolder="" count="0" memberValueDatatype="130" unbalanced="0"/>
    <cacheHierarchy uniqueName="[Returns].[Invoice ID]" caption="Invoice ID" attribute="1" defaultMemberUniqueName="[Returns].[Invoice ID].[All]" allUniqueName="[Returns].[Invoice ID].[All]" dimensionUniqueName="[Returns]" displayFolder="" count="0" memberValueDatatype="130" unbalanced="0"/>
    <cacheHierarchy uniqueName="[Measures].[__XL_Count REP]" caption="__XL_Count REP" measure="1" displayFolder="" measureGroup="REP" count="0" hidden="1"/>
    <cacheHierarchy uniqueName="[Measures].[__XL_Count Returns]" caption="__XL_Count Returns" measure="1" displayFolder="" measureGroup="Returns" count="0" hidden="1"/>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Total]" caption="Sum of Total" measure="1" displayFolder="" measureGroup="Data" count="0" oneField="1" hidden="1">
      <fieldsUsage count="1">
        <fieldUsage x="0"/>
      </fieldsUsage>
      <extLst>
        <ext xmlns:x15="http://schemas.microsoft.com/office/spreadsheetml/2010/11/main" uri="{B97F6D7D-B522-45F9-BDA1-12C45D357490}">
          <x15:cacheHierarchy aggregatedColumn="10"/>
        </ext>
      </extLst>
    </cacheHierarchy>
    <cacheHierarchy uniqueName="[Measures].[Count of returns]" caption="Count of returns" measure="1" displayFolder="" measureGroup="Returns" count="0" hidden="1">
      <extLst>
        <ext xmlns:x15="http://schemas.microsoft.com/office/spreadsheetml/2010/11/main" uri="{B97F6D7D-B522-45F9-BDA1-12C45D357490}">
          <x15:cacheHierarchy aggregatedColumn="24"/>
        </ext>
      </extLst>
    </cacheHierarchy>
    <cacheHierarchy uniqueName="[Measures].[Sum of Net Profit]" caption="Sum of Net Profit" measure="1" displayFolder="" measureGroup="Data" count="0" oneField="1" hidden="1">
      <fieldsUsage count="1">
        <fieldUsage x="2"/>
      </fieldsUsage>
      <extLst>
        <ext xmlns:x15="http://schemas.microsoft.com/office/spreadsheetml/2010/11/main" uri="{B97F6D7D-B522-45F9-BDA1-12C45D357490}">
          <x15:cacheHierarchy aggregatedColumn="18"/>
        </ext>
      </extLst>
    </cacheHierarchy>
    <cacheHierarchy uniqueName="[Measures].[Sum of cogs]" caption="Sum of cogs" measure="1" displayFolder="" measureGroup="Data" count="0" oneField="1" hidden="1">
      <fieldsUsage count="1">
        <fieldUsage x="3"/>
      </fieldsUsage>
      <extLst>
        <ext xmlns:x15="http://schemas.microsoft.com/office/spreadsheetml/2010/11/main" uri="{B97F6D7D-B522-45F9-BDA1-12C45D357490}">
          <x15:cacheHierarchy aggregatedColumn="17"/>
        </ext>
      </extLst>
    </cacheHierarchy>
    <cacheHierarchy uniqueName="[Measures].[Sum of Tax 5%]" caption="Sum of Tax 5%" measure="1" displayFolder="" measureGroup="Data" count="0" oneField="1" hidden="1">
      <fieldsUsage count="1">
        <fieldUsage x="4"/>
      </fieldsUsage>
      <extLst>
        <ext xmlns:x15="http://schemas.microsoft.com/office/spreadsheetml/2010/11/main" uri="{B97F6D7D-B522-45F9-BDA1-12C45D357490}">
          <x15:cacheHierarchy aggregatedColumn="9"/>
        </ext>
      </extLst>
    </cacheHierarchy>
    <cacheHierarchy uniqueName="[Measures].[Average of Net Profit]" caption="Average of Net Profit" measure="1" displayFolder="" measureGroup="Data"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8"/>
        </ext>
      </extLst>
    </cacheHierarchy>
    <cacheHierarchy uniqueName="[Measures].[Count of Invoice ID]" caption="Count of Invoice ID" measure="1" displayFolder="" measureGroup="Data" count="0" hidden="1">
      <extLst>
        <ext xmlns:x15="http://schemas.microsoft.com/office/spreadsheetml/2010/11/main" uri="{B97F6D7D-B522-45F9-BDA1-12C45D357490}">
          <x15:cacheHierarchy aggregatedColumn="0"/>
        </ext>
      </extLst>
    </cacheHierarchy>
    <cacheHierarchy uniqueName="[Measures].[Count of Quantity]" caption="Count of Quantity" measure="1" displayFolder="" measureGroup="Data" count="0" hidden="1">
      <extLst>
        <ext xmlns:x15="http://schemas.microsoft.com/office/spreadsheetml/2010/11/main" uri="{B97F6D7D-B522-45F9-BDA1-12C45D357490}">
          <x15:cacheHierarchy aggregatedColumn="8"/>
        </ext>
      </extLst>
    </cacheHierarchy>
    <cacheHierarchy uniqueName="[Measures].[Count of Product line]" caption="Count of Product line" measure="1" displayFolder="" measureGroup="Data" count="0" hidden="1">
      <extLst>
        <ext xmlns:x15="http://schemas.microsoft.com/office/spreadsheetml/2010/11/main" uri="{B97F6D7D-B522-45F9-BDA1-12C45D357490}">
          <x15:cacheHierarchy aggregatedColumn="6"/>
        </ext>
      </extLst>
    </cacheHierarchy>
    <cacheHierarchy uniqueName="[Measures].[Count of Invoice ID 2]" caption="Count of Invoice ID 2" measure="1" displayFolder="" measureGroup="Returns" count="0" hidden="1">
      <extLst>
        <ext xmlns:x15="http://schemas.microsoft.com/office/spreadsheetml/2010/11/main" uri="{B97F6D7D-B522-45F9-BDA1-12C45D357490}">
          <x15:cacheHierarchy aggregatedColumn="25"/>
        </ext>
      </extLst>
    </cacheHierarchy>
    <cacheHierarchy uniqueName="[Measures].[Sum of Rating]" caption="Sum of Rating" measure="1" displayFolder="" measureGroup="Data" count="0" hidden="1">
      <extLst>
        <ext xmlns:x15="http://schemas.microsoft.com/office/spreadsheetml/2010/11/main" uri="{B97F6D7D-B522-45F9-BDA1-12C45D357490}">
          <x15:cacheHierarchy aggregatedColumn="19"/>
        </ext>
      </extLst>
    </cacheHierarchy>
    <cacheHierarchy uniqueName="[Measures].[Average of Rating]" caption="Average of Rating" measure="1" displayFolder="" measureGroup="Data" count="0" hidden="1">
      <extLst>
        <ext xmlns:x15="http://schemas.microsoft.com/office/spreadsheetml/2010/11/main" uri="{B97F6D7D-B522-45F9-BDA1-12C45D357490}">
          <x15:cacheHierarchy aggregatedColumn="19"/>
        </ext>
      </extLst>
    </cacheHierarchy>
    <cacheHierarchy uniqueName="[Measures].[Min of Rating]" caption="Min of Rating" measure="1" displayFolder="" measureGroup="Data" count="0" hidden="1">
      <extLst>
        <ext xmlns:x15="http://schemas.microsoft.com/office/spreadsheetml/2010/11/main" uri="{B97F6D7D-B522-45F9-BDA1-12C45D357490}">
          <x15:cacheHierarchy aggregatedColumn="19"/>
        </ext>
      </extLst>
    </cacheHierarchy>
    <cacheHierarchy uniqueName="[Measures].[Max of Rating]" caption="Max of Rating" measure="1" displayFolder="" measureGroup="Data" count="0" hidden="1">
      <extLst>
        <ext xmlns:x15="http://schemas.microsoft.com/office/spreadsheetml/2010/11/main" uri="{B97F6D7D-B522-45F9-BDA1-12C45D357490}">
          <x15:cacheHierarchy aggregatedColumn="19"/>
        </ext>
      </extLst>
    </cacheHierarchy>
    <cacheHierarchy uniqueName="[Measures].[Count of Rating]" caption="Count of Rating" measure="1" displayFolder="" measureGroup="Data" count="0" hidden="1">
      <extLst>
        <ext xmlns:x15="http://schemas.microsoft.com/office/spreadsheetml/2010/11/main" uri="{B97F6D7D-B522-45F9-BDA1-12C45D357490}">
          <x15:cacheHierarchy aggregatedColumn="19"/>
        </ext>
      </extLst>
    </cacheHierarchy>
    <cacheHierarchy uniqueName="[Measures].[Distinct Count of Rating]" caption="Distinct Count of Rating" measure="1" displayFolder="" measureGroup="Data" count="0" hidden="1">
      <extLst>
        <ext xmlns:x15="http://schemas.microsoft.com/office/spreadsheetml/2010/11/main" uri="{B97F6D7D-B522-45F9-BDA1-12C45D357490}">
          <x15:cacheHierarchy aggregatedColumn="19"/>
        </ext>
      </extLst>
    </cacheHierarchy>
    <cacheHierarchy uniqueName="[Measures].[Distinct Count of Invoice ID]" caption="Distinct Count of Invoice ID" measure="1" displayFolder="" measureGroup="Data" count="0" hidden="1">
      <extLst>
        <ext xmlns:x15="http://schemas.microsoft.com/office/spreadsheetml/2010/11/main" uri="{B97F6D7D-B522-45F9-BDA1-12C45D357490}">
          <x15:cacheHierarchy aggregatedColumn="0"/>
        </ext>
      </extLst>
    </cacheHierarchy>
    <cacheHierarchy uniqueName="[Measures].[Count of Customer type]" caption="Count of Customer type" measure="1" displayFolder="" measureGroup="Data" count="0" hidden="1">
      <extLst>
        <ext xmlns:x15="http://schemas.microsoft.com/office/spreadsheetml/2010/11/main" uri="{B97F6D7D-B522-45F9-BDA1-12C45D357490}">
          <x15:cacheHierarchy aggregatedColumn="4"/>
        </ext>
      </extLst>
    </cacheHierarchy>
    <cacheHierarchy uniqueName="[Measures].[Count of Payment]" caption="Count of Payment" measure="1" displayFolder="" measureGroup="Data" count="0" hidden="1">
      <extLst>
        <ext xmlns:x15="http://schemas.microsoft.com/office/spreadsheetml/2010/11/main" uri="{B97F6D7D-B522-45F9-BDA1-12C45D357490}">
          <x15:cacheHierarchy aggregatedColumn="16"/>
        </ext>
      </extLst>
    </cacheHierarchy>
    <cacheHierarchy uniqueName="[Measures].[Average of Total]" caption="Average of Total" measure="1" displayFolder="" measureGroup="Data" count="0" hidden="1">
      <extLst>
        <ext xmlns:x15="http://schemas.microsoft.com/office/spreadsheetml/2010/11/main" uri="{B97F6D7D-B522-45F9-BDA1-12C45D357490}">
          <x15:cacheHierarchy aggregatedColumn="10"/>
        </ext>
      </extLst>
    </cacheHierarchy>
    <cacheHierarchy uniqueName="[Measures].[Sum of Unit price]" caption="Sum of Unit price" measure="1" displayFolder="" measureGroup="Data" count="0" hidden="1">
      <extLst>
        <ext xmlns:x15="http://schemas.microsoft.com/office/spreadsheetml/2010/11/main" uri="{B97F6D7D-B522-45F9-BDA1-12C45D357490}">
          <x15:cacheHierarchy aggregatedColumn="7"/>
        </ext>
      </extLst>
    </cacheHierarchy>
    <cacheHierarchy uniqueName="[Measures].[Average of Unit price]" caption="Average of Unit price" measure="1" displayFolder="" measureGroup="Data" count="0" hidden="1">
      <extLst>
        <ext xmlns:x15="http://schemas.microsoft.com/office/spreadsheetml/2010/11/main" uri="{B97F6D7D-B522-45F9-BDA1-12C45D357490}">
          <x15:cacheHierarchy aggregatedColumn="7"/>
        </ext>
      </extLst>
    </cacheHierarchy>
    <cacheHierarchy uniqueName="[Measures].[Max of Unit price]" caption="Max of Unit price" measure="1" displayFolder="" measureGroup="Data" count="0" hidden="1">
      <extLst>
        <ext xmlns:x15="http://schemas.microsoft.com/office/spreadsheetml/2010/11/main" uri="{B97F6D7D-B522-45F9-BDA1-12C45D357490}">
          <x15:cacheHierarchy aggregatedColumn="7"/>
        </ext>
      </extLst>
    </cacheHierarchy>
    <cacheHierarchy uniqueName="[Measures].[Min of Unit price]" caption="Min of Unit price" measure="1" displayFolder="" measureGroup="Data" count="0" hidden="1">
      <extLst>
        <ext xmlns:x15="http://schemas.microsoft.com/office/spreadsheetml/2010/11/main" uri="{B97F6D7D-B522-45F9-BDA1-12C45D357490}">
          <x15:cacheHierarchy aggregatedColumn="7"/>
        </ext>
      </extLst>
    </cacheHierarchy>
  </cacheHierarchies>
  <kpis count="0"/>
  <dimensions count="4">
    <dimension name="Data" uniqueName="[Data]" caption="Data"/>
    <dimension measure="1" name="Measures" uniqueName="[Measures]" caption="Measures"/>
    <dimension name="REP" uniqueName="[REP]" caption="REP"/>
    <dimension name="Returns" uniqueName="[Returns]" caption="Returns"/>
  </dimensions>
  <measureGroups count="3">
    <measureGroup name="Data" caption="Data"/>
    <measureGroup name="REP" caption="REP"/>
    <measureGroup name="Returns" caption="Returns"/>
  </measureGroups>
  <maps count="5">
    <map measureGroup="0" dimension="0"/>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saveData="0" refreshedBy="Amira" refreshedDate="46139.489652546297" backgroundQuery="1" createdVersion="6" refreshedVersion="6" minRefreshableVersion="3" recordCount="0" supportSubquery="1" supportAdvancedDrill="1">
  <cacheSource type="external" connectionId="1"/>
  <cacheFields count="4">
    <cacheField name="[Measures].[Sum of Total]" caption="Sum of Total" numFmtId="0" hierarchy="30" level="32767"/>
    <cacheField name="[Returns].[returns].[returns]" caption="returns" numFmtId="0" hierarchy="24" level="1">
      <sharedItems containsBlank="1" count="2">
        <s v="yes"/>
        <m/>
      </sharedItems>
    </cacheField>
    <cacheField name="[Data].[Year].[Year]" caption="Year" numFmtId="0" hierarchy="14" level="1">
      <sharedItems containsSemiMixedTypes="0" containsNonDate="0" containsString="0"/>
    </cacheField>
    <cacheField name="Dummy0" numFmtId="0" hierarchy="55" level="32767">
      <extLst>
        <ext xmlns:x14="http://schemas.microsoft.com/office/spreadsheetml/2009/9/main" uri="{63CAB8AC-B538-458d-9737-405883B0398D}">
          <x14:cacheField ignore="1"/>
        </ext>
      </extLst>
    </cacheField>
  </cacheFields>
  <cacheHierarchies count="56">
    <cacheHierarchy uniqueName="[Data].[Invoice ID]" caption="Invoice ID" attribute="1" defaultMemberUniqueName="[Data].[Invoice ID].[All]" allUniqueName="[Data].[Invoice ID].[All]" dimensionUniqueName="[Data]" displayFolder="" count="0" memberValueDatatype="130" unbalanced="0"/>
    <cacheHierarchy uniqueName="[Data].[Branch]" caption="Branch" attribute="1" defaultMemberUniqueName="[Data].[Branch].[All]" allUniqueName="[Data].[Branch].[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Branch City]" caption="Branch City" attribute="1" defaultMemberUniqueName="[Data].[Branch City].[All]" allUniqueName="[Data].[Branch City].[All]" dimensionUniqueName="[Data]" displayFolder="" count="2" memberValueDatatype="130" unbalanced="0"/>
    <cacheHierarchy uniqueName="[Data].[Customer type]" caption="Customer type" attribute="1" defaultMemberUniqueName="[Data].[Customer type].[All]" allUniqueName="[Data].[Customer type].[All]" dimensionUniqueName="[Data]" displayFolder="" count="0" memberValueDatatype="130" unbalanced="0"/>
    <cacheHierarchy uniqueName="[Data].[Gender]" caption="Gender" attribute="1" defaultMemberUniqueName="[Data].[Gender].[All]" allUniqueName="[Data].[Gender].[All]" dimensionUniqueName="[Data]" displayFolder="" count="0" memberValueDatatype="130" unbalanced="0"/>
    <cacheHierarchy uniqueName="[Data].[Product line]" caption="Product line" attribute="1" defaultMemberUniqueName="[Data].[Product line].[All]" allUniqueName="[Data].[Product line].[All]" dimensionUniqueName="[Data]" displayFolder="" count="2" memberValueDatatype="130" unbalanced="0"/>
    <cacheHierarchy uniqueName="[Data].[Unit price]" caption="Unit price" attribute="1" defaultMemberUniqueName="[Data].[Unit price].[All]" allUniqueName="[Data].[Unit price].[All]" dimensionUniqueName="[Data]" displayFolder="" count="0" memberValueDatatype="5" unbalanced="0"/>
    <cacheHierarchy uniqueName="[Data].[Quantity]" caption="Quantity" attribute="1" defaultMemberUniqueName="[Data].[Quantity].[All]" allUniqueName="[Data].[Quantity].[All]" dimensionUniqueName="[Data]" displayFolder="" count="0" memberValueDatatype="20" unbalanced="0"/>
    <cacheHierarchy uniqueName="[Data].[Tax 5%]" caption="Tax 5%" attribute="1" defaultMemberUniqueName="[Data].[Tax 5%].[All]" allUniqueName="[Data].[Tax 5%].[All]" dimensionUniqueName="[Data]" displayFolder="" count="0" memberValueDatatype="5" unbalanced="0"/>
    <cacheHierarchy uniqueName="[Data].[Total]" caption="Total" attribute="1" defaultMemberUniqueName="[Data].[Total].[All]" allUniqueName="[Data].[Total].[All]" dimensionUniqueName="[Data]" displayFolder="" count="0" memberValueDatatype="5" unbalanced="0"/>
    <cacheHierarchy uniqueName="[Data].[Date]" caption="Date" attribute="1" time="1" defaultMemberUniqueName="[Data].[Date].[All]" allUniqueName="[Data].[Date].[All]" dimensionUniqueName="[Data]" displayFolder="" count="0" memberValueDatatype="7" unbalanced="0"/>
    <cacheHierarchy uniqueName="[Data].[Day]" caption="Day" attribute="1" defaultMemberUniqueName="[Data].[Day].[All]" allUniqueName="[Data].[Day].[All]" dimensionUniqueName="[Data]" displayFolder="" count="0" memberValueDatatype="20" unbalanced="0"/>
    <cacheHierarchy uniqueName="[Data].[Month]" caption="Month" attribute="1" defaultMemberUniqueName="[Data].[Month].[All]" allUniqueName="[Data].[Month].[All]" dimensionUniqueName="[Data]" displayFolder="" count="0" memberValueDatatype="20" unbalanced="0"/>
    <cacheHierarchy uniqueName="[Data].[Year]" caption="Year" attribute="1" defaultMemberUniqueName="[Data].[Year].[All]" allUniqueName="[Data].[Year].[All]" dimensionUniqueName="[Data]" displayFolder="" count="2" memberValueDatatype="20" unbalanced="0">
      <fieldsUsage count="2">
        <fieldUsage x="-1"/>
        <fieldUsage x="2"/>
      </fieldsUsage>
    </cacheHierarchy>
    <cacheHierarchy uniqueName="[Data].[Time]" caption="Time" attribute="1" time="1" defaultMemberUniqueName="[Data].[Time].[All]" allUniqueName="[Data].[Time].[All]" dimensionUniqueName="[Data]" displayFolder="" count="0" memberValueDatatype="7" unbalanced="0"/>
    <cacheHierarchy uniqueName="[Data].[Payment]" caption="Payment" attribute="1" defaultMemberUniqueName="[Data].[Payment].[All]" allUniqueName="[Data].[Payment].[All]" dimensionUniqueName="[Data]" displayFolder="" count="0" memberValueDatatype="130" unbalanced="0"/>
    <cacheHierarchy uniqueName="[Data].[cogs]" caption="cogs" attribute="1" defaultMemberUniqueName="[Data].[cogs].[All]" allUniqueName="[Data].[cogs].[All]" dimensionUniqueName="[Data]" displayFolder="" count="0" memberValueDatatype="5" unbalanced="0"/>
    <cacheHierarchy uniqueName="[Data].[Net Profit]" caption="Net Profit" attribute="1" defaultMemberUniqueName="[Data].[Net Profit].[All]" allUniqueName="[Data].[Net Profit].[All]" dimensionUniqueName="[Data]" displayFolder="" count="0" memberValueDatatype="5" unbalanced="0"/>
    <cacheHierarchy uniqueName="[Data].[Rating]" caption="Rating" attribute="1" defaultMemberUniqueName="[Data].[Rating].[All]" allUniqueName="[Data].[Rating].[All]" dimensionUniqueName="[Data]" displayFolder="" count="0" memberValueDatatype="5" unbalanced="0"/>
    <cacheHierarchy uniqueName="[Data].[Time (Hour)]" caption="Time (Hour)" attribute="1" defaultMemberUniqueName="[Data].[Time (Hour)].[All]" allUniqueName="[Data].[Time (Hour)].[All]" dimensionUniqueName="[Data]" displayFolder="" count="0" memberValueDatatype="130" unbalanced="0"/>
    <cacheHierarchy uniqueName="[Data].[Time (Minute)]" caption="Time (Minute)" attribute="1" defaultMemberUniqueName="[Data].[Time (Minute)].[All]" allUniqueName="[Data].[Time (Minute)].[All]" dimensionUniqueName="[Data]" displayFolder="" count="0" memberValueDatatype="130" unbalanced="0"/>
    <cacheHierarchy uniqueName="[REP].[city]" caption="city" attribute="1" defaultMemberUniqueName="[REP].[city].[All]" allUniqueName="[REP].[city].[All]" dimensionUniqueName="[REP]" displayFolder="" count="0" memberValueDatatype="130" unbalanced="0"/>
    <cacheHierarchy uniqueName="[REP].[Rep]" caption="Rep" attribute="1" defaultMemberUniqueName="[REP].[Rep].[All]" allUniqueName="[REP].[Rep].[All]" dimensionUniqueName="[REP]" displayFolder="" count="0" memberValueDatatype="130" unbalanced="0"/>
    <cacheHierarchy uniqueName="[Returns].[returns]" caption="returns" attribute="1" defaultMemberUniqueName="[Returns].[returns].[All]" allUniqueName="[Returns].[returns].[All]" dimensionUniqueName="[Returns]" displayFolder="" count="2" memberValueDatatype="130" unbalanced="0">
      <fieldsUsage count="2">
        <fieldUsage x="-1"/>
        <fieldUsage x="1"/>
      </fieldsUsage>
    </cacheHierarchy>
    <cacheHierarchy uniqueName="[Returns].[Invoice ID]" caption="Invoice ID" attribute="1" defaultMemberUniqueName="[Returns].[Invoice ID].[All]" allUniqueName="[Returns].[Invoice ID].[All]" dimensionUniqueName="[Returns]" displayFolder="" count="0" memberValueDatatype="130" unbalanced="0"/>
    <cacheHierarchy uniqueName="[Measures].[__XL_Count REP]" caption="__XL_Count REP" measure="1" displayFolder="" measureGroup="REP" count="0" hidden="1"/>
    <cacheHierarchy uniqueName="[Measures].[__XL_Count Returns]" caption="__XL_Count Returns" measure="1" displayFolder="" measureGroup="Returns" count="0" hidden="1"/>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Total]" caption="Sum of Total" measure="1" displayFolder="" measureGroup="Data" count="0" oneField="1" hidden="1">
      <fieldsUsage count="1">
        <fieldUsage x="0"/>
      </fieldsUsage>
      <extLst>
        <ext xmlns:x15="http://schemas.microsoft.com/office/spreadsheetml/2010/11/main" uri="{B97F6D7D-B522-45F9-BDA1-12C45D357490}">
          <x15:cacheHierarchy aggregatedColumn="10"/>
        </ext>
      </extLst>
    </cacheHierarchy>
    <cacheHierarchy uniqueName="[Measures].[Count of returns]" caption="Count of returns" measure="1" displayFolder="" measureGroup="Returns" count="0" hidden="1">
      <extLst>
        <ext xmlns:x15="http://schemas.microsoft.com/office/spreadsheetml/2010/11/main" uri="{B97F6D7D-B522-45F9-BDA1-12C45D357490}">
          <x15:cacheHierarchy aggregatedColumn="24"/>
        </ext>
      </extLst>
    </cacheHierarchy>
    <cacheHierarchy uniqueName="[Measures].[Sum of Net Profit]" caption="Sum of Net Profit" measure="1" displayFolder="" measureGroup="Data" count="0" hidden="1">
      <extLst>
        <ext xmlns:x15="http://schemas.microsoft.com/office/spreadsheetml/2010/11/main" uri="{B97F6D7D-B522-45F9-BDA1-12C45D357490}">
          <x15:cacheHierarchy aggregatedColumn="18"/>
        </ext>
      </extLst>
    </cacheHierarchy>
    <cacheHierarchy uniqueName="[Measures].[Sum of cogs]" caption="Sum of cogs" measure="1" displayFolder="" measureGroup="Data" count="0" hidden="1">
      <extLst>
        <ext xmlns:x15="http://schemas.microsoft.com/office/spreadsheetml/2010/11/main" uri="{B97F6D7D-B522-45F9-BDA1-12C45D357490}">
          <x15:cacheHierarchy aggregatedColumn="17"/>
        </ext>
      </extLst>
    </cacheHierarchy>
    <cacheHierarchy uniqueName="[Measures].[Sum of Tax 5%]" caption="Sum of Tax 5%" measure="1" displayFolder="" measureGroup="Data" count="0" hidden="1">
      <extLst>
        <ext xmlns:x15="http://schemas.microsoft.com/office/spreadsheetml/2010/11/main" uri="{B97F6D7D-B522-45F9-BDA1-12C45D357490}">
          <x15:cacheHierarchy aggregatedColumn="9"/>
        </ext>
      </extLst>
    </cacheHierarchy>
    <cacheHierarchy uniqueName="[Measures].[Average of Net Profit]" caption="Average of Net Profit" measure="1" displayFolder="" measureGroup="Data"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8"/>
        </ext>
      </extLst>
    </cacheHierarchy>
    <cacheHierarchy uniqueName="[Measures].[Count of Invoice ID]" caption="Count of Invoice ID" measure="1" displayFolder="" measureGroup="Data" count="0" hidden="1">
      <extLst>
        <ext xmlns:x15="http://schemas.microsoft.com/office/spreadsheetml/2010/11/main" uri="{B97F6D7D-B522-45F9-BDA1-12C45D357490}">
          <x15:cacheHierarchy aggregatedColumn="0"/>
        </ext>
      </extLst>
    </cacheHierarchy>
    <cacheHierarchy uniqueName="[Measures].[Count of Quantity]" caption="Count of Quantity" measure="1" displayFolder="" measureGroup="Data" count="0" hidden="1">
      <extLst>
        <ext xmlns:x15="http://schemas.microsoft.com/office/spreadsheetml/2010/11/main" uri="{B97F6D7D-B522-45F9-BDA1-12C45D357490}">
          <x15:cacheHierarchy aggregatedColumn="8"/>
        </ext>
      </extLst>
    </cacheHierarchy>
    <cacheHierarchy uniqueName="[Measures].[Count of Product line]" caption="Count of Product line" measure="1" displayFolder="" measureGroup="Data" count="0" hidden="1">
      <extLst>
        <ext xmlns:x15="http://schemas.microsoft.com/office/spreadsheetml/2010/11/main" uri="{B97F6D7D-B522-45F9-BDA1-12C45D357490}">
          <x15:cacheHierarchy aggregatedColumn="6"/>
        </ext>
      </extLst>
    </cacheHierarchy>
    <cacheHierarchy uniqueName="[Measures].[Count of Invoice ID 2]" caption="Count of Invoice ID 2" measure="1" displayFolder="" measureGroup="Returns" count="0" hidden="1">
      <extLst>
        <ext xmlns:x15="http://schemas.microsoft.com/office/spreadsheetml/2010/11/main" uri="{B97F6D7D-B522-45F9-BDA1-12C45D357490}">
          <x15:cacheHierarchy aggregatedColumn="25"/>
        </ext>
      </extLst>
    </cacheHierarchy>
    <cacheHierarchy uniqueName="[Measures].[Sum of Rating]" caption="Sum of Rating" measure="1" displayFolder="" measureGroup="Data" count="0" hidden="1">
      <extLst>
        <ext xmlns:x15="http://schemas.microsoft.com/office/spreadsheetml/2010/11/main" uri="{B97F6D7D-B522-45F9-BDA1-12C45D357490}">
          <x15:cacheHierarchy aggregatedColumn="19"/>
        </ext>
      </extLst>
    </cacheHierarchy>
    <cacheHierarchy uniqueName="[Measures].[Average of Rating]" caption="Average of Rating" measure="1" displayFolder="" measureGroup="Data" count="0" hidden="1">
      <extLst>
        <ext xmlns:x15="http://schemas.microsoft.com/office/spreadsheetml/2010/11/main" uri="{B97F6D7D-B522-45F9-BDA1-12C45D357490}">
          <x15:cacheHierarchy aggregatedColumn="19"/>
        </ext>
      </extLst>
    </cacheHierarchy>
    <cacheHierarchy uniqueName="[Measures].[Min of Rating]" caption="Min of Rating" measure="1" displayFolder="" measureGroup="Data" count="0" hidden="1">
      <extLst>
        <ext xmlns:x15="http://schemas.microsoft.com/office/spreadsheetml/2010/11/main" uri="{B97F6D7D-B522-45F9-BDA1-12C45D357490}">
          <x15:cacheHierarchy aggregatedColumn="19"/>
        </ext>
      </extLst>
    </cacheHierarchy>
    <cacheHierarchy uniqueName="[Measures].[Max of Rating]" caption="Max of Rating" measure="1" displayFolder="" measureGroup="Data" count="0" hidden="1">
      <extLst>
        <ext xmlns:x15="http://schemas.microsoft.com/office/spreadsheetml/2010/11/main" uri="{B97F6D7D-B522-45F9-BDA1-12C45D357490}">
          <x15:cacheHierarchy aggregatedColumn="19"/>
        </ext>
      </extLst>
    </cacheHierarchy>
    <cacheHierarchy uniqueName="[Measures].[Count of Rating]" caption="Count of Rating" measure="1" displayFolder="" measureGroup="Data" count="0" hidden="1">
      <extLst>
        <ext xmlns:x15="http://schemas.microsoft.com/office/spreadsheetml/2010/11/main" uri="{B97F6D7D-B522-45F9-BDA1-12C45D357490}">
          <x15:cacheHierarchy aggregatedColumn="19"/>
        </ext>
      </extLst>
    </cacheHierarchy>
    <cacheHierarchy uniqueName="[Measures].[Distinct Count of Rating]" caption="Distinct Count of Rating" measure="1" displayFolder="" measureGroup="Data" count="0" hidden="1">
      <extLst>
        <ext xmlns:x15="http://schemas.microsoft.com/office/spreadsheetml/2010/11/main" uri="{B97F6D7D-B522-45F9-BDA1-12C45D357490}">
          <x15:cacheHierarchy aggregatedColumn="19"/>
        </ext>
      </extLst>
    </cacheHierarchy>
    <cacheHierarchy uniqueName="[Measures].[Distinct Count of Invoice ID]" caption="Distinct Count of Invoice ID" measure="1" displayFolder="" measureGroup="Data" count="0" hidden="1">
      <extLst>
        <ext xmlns:x15="http://schemas.microsoft.com/office/spreadsheetml/2010/11/main" uri="{B97F6D7D-B522-45F9-BDA1-12C45D357490}">
          <x15:cacheHierarchy aggregatedColumn="0"/>
        </ext>
      </extLst>
    </cacheHierarchy>
    <cacheHierarchy uniqueName="[Measures].[Count of Customer type]" caption="Count of Customer type" measure="1" displayFolder="" measureGroup="Data" count="0" hidden="1">
      <extLst>
        <ext xmlns:x15="http://schemas.microsoft.com/office/spreadsheetml/2010/11/main" uri="{B97F6D7D-B522-45F9-BDA1-12C45D357490}">
          <x15:cacheHierarchy aggregatedColumn="4"/>
        </ext>
      </extLst>
    </cacheHierarchy>
    <cacheHierarchy uniqueName="[Measures].[Count of Payment]" caption="Count of Payment" measure="1" displayFolder="" measureGroup="Data" count="0" hidden="1">
      <extLst>
        <ext xmlns:x15="http://schemas.microsoft.com/office/spreadsheetml/2010/11/main" uri="{B97F6D7D-B522-45F9-BDA1-12C45D357490}">
          <x15:cacheHierarchy aggregatedColumn="16"/>
        </ext>
      </extLst>
    </cacheHierarchy>
    <cacheHierarchy uniqueName="[Measures].[Average of Total]" caption="Average of Total" measure="1" displayFolder="" measureGroup="Data" count="0" hidden="1">
      <extLst>
        <ext xmlns:x15="http://schemas.microsoft.com/office/spreadsheetml/2010/11/main" uri="{B97F6D7D-B522-45F9-BDA1-12C45D357490}">
          <x15:cacheHierarchy aggregatedColumn="10"/>
        </ext>
      </extLst>
    </cacheHierarchy>
    <cacheHierarchy uniqueName="[Measures].[Sum of Unit price]" caption="Sum of Unit price" measure="1" displayFolder="" measureGroup="Data" count="0" hidden="1">
      <extLst>
        <ext xmlns:x15="http://schemas.microsoft.com/office/spreadsheetml/2010/11/main" uri="{B97F6D7D-B522-45F9-BDA1-12C45D357490}">
          <x15:cacheHierarchy aggregatedColumn="7"/>
        </ext>
      </extLst>
    </cacheHierarchy>
    <cacheHierarchy uniqueName="[Measures].[Average of Unit price]" caption="Average of Unit price" measure="1" displayFolder="" measureGroup="Data" count="0" hidden="1">
      <extLst>
        <ext xmlns:x15="http://schemas.microsoft.com/office/spreadsheetml/2010/11/main" uri="{B97F6D7D-B522-45F9-BDA1-12C45D357490}">
          <x15:cacheHierarchy aggregatedColumn="7"/>
        </ext>
      </extLst>
    </cacheHierarchy>
    <cacheHierarchy uniqueName="[Measures].[Max of Unit price]" caption="Max of Unit price" measure="1" displayFolder="" measureGroup="Data" count="0" hidden="1">
      <extLst>
        <ext xmlns:x15="http://schemas.microsoft.com/office/spreadsheetml/2010/11/main" uri="{B97F6D7D-B522-45F9-BDA1-12C45D357490}">
          <x15:cacheHierarchy aggregatedColumn="7"/>
        </ext>
      </extLst>
    </cacheHierarchy>
    <cacheHierarchy uniqueName="[Measures].[Min of Unit price]" caption="Min of Unit price" measure="1" displayFolder="" measureGroup="Data" count="0" hidden="1">
      <extLst>
        <ext xmlns:x15="http://schemas.microsoft.com/office/spreadsheetml/2010/11/main" uri="{B97F6D7D-B522-45F9-BDA1-12C45D357490}">
          <x15:cacheHierarchy aggregatedColumn="7"/>
        </ext>
      </extLst>
    </cacheHierarchy>
    <cacheHierarchy uniqueName="Dummy0" caption="Invoice ID" measure="1" count="0">
      <extLst>
        <ext xmlns:x14="http://schemas.microsoft.com/office/spreadsheetml/2009/9/main" uri="{8CF416AD-EC4C-4aba-99F5-12A058AE0983}">
          <x14:cacheHierarchy ignore="1"/>
        </ext>
      </extLst>
    </cacheHierarchy>
  </cacheHierarchies>
  <kpis count="0"/>
  <dimensions count="4">
    <dimension name="Data" uniqueName="[Data]" caption="Data"/>
    <dimension measure="1" name="Measures" uniqueName="[Measures]" caption="Measures"/>
    <dimension name="REP" uniqueName="[REP]" caption="REP"/>
    <dimension name="Returns" uniqueName="[Returns]" caption="Returns"/>
  </dimensions>
  <measureGroups count="3">
    <measureGroup name="Data" caption="Data"/>
    <measureGroup name="REP" caption="REP"/>
    <measureGroup name="Returns" caption="Returns"/>
  </measureGroups>
  <maps count="5">
    <map measureGroup="0" dimension="0"/>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saveData="0" refreshedBy="Amira" refreshedDate="46139.489653124998" backgroundQuery="1" createdVersion="6" refreshedVersion="6" minRefreshableVersion="3" recordCount="0" supportSubquery="1" supportAdvancedDrill="1">
  <cacheSource type="external" connectionId="1"/>
  <cacheFields count="3">
    <cacheField name="[Measures].[Sum of Total]" caption="Sum of Total" numFmtId="0" hierarchy="30" level="32767"/>
    <cacheField name="[Data].[Year].[Year]" caption="Year" numFmtId="0" hierarchy="14" level="1">
      <sharedItems containsSemiMixedTypes="0" containsNonDate="0" containsString="0"/>
    </cacheField>
    <cacheField name="[Data].[Branch City].[Branch City]" caption="Branch City" numFmtId="0" hierarchy="3" level="1">
      <sharedItems count="3">
        <s v="Br. A (Yangon)"/>
        <s v="Br. B (Mandalay)"/>
        <s v="Br. C (Naypyitaw)"/>
      </sharedItems>
    </cacheField>
  </cacheFields>
  <cacheHierarchies count="55">
    <cacheHierarchy uniqueName="[Data].[Invoice ID]" caption="Invoice ID" attribute="1" defaultMemberUniqueName="[Data].[Invoice ID].[All]" allUniqueName="[Data].[Invoice ID].[All]" dimensionUniqueName="[Data]" displayFolder="" count="0" memberValueDatatype="130" unbalanced="0"/>
    <cacheHierarchy uniqueName="[Data].[Branch]" caption="Branch" attribute="1" defaultMemberUniqueName="[Data].[Branch].[All]" allUniqueName="[Data].[Branch].[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Branch City]" caption="Branch City" attribute="1" defaultMemberUniqueName="[Data].[Branch City].[All]" allUniqueName="[Data].[Branch City].[All]" dimensionUniqueName="[Data]" displayFolder="" count="2" memberValueDatatype="130" unbalanced="0">
      <fieldsUsage count="2">
        <fieldUsage x="-1"/>
        <fieldUsage x="2"/>
      </fieldsUsage>
    </cacheHierarchy>
    <cacheHierarchy uniqueName="[Data].[Customer type]" caption="Customer type" attribute="1" defaultMemberUniqueName="[Data].[Customer type].[All]" allUniqueName="[Data].[Customer type].[All]" dimensionUniqueName="[Data]" displayFolder="" count="0" memberValueDatatype="130" unbalanced="0"/>
    <cacheHierarchy uniqueName="[Data].[Gender]" caption="Gender" attribute="1" defaultMemberUniqueName="[Data].[Gender].[All]" allUniqueName="[Data].[Gender].[All]" dimensionUniqueName="[Data]" displayFolder="" count="0" memberValueDatatype="130" unbalanced="0"/>
    <cacheHierarchy uniqueName="[Data].[Product line]" caption="Product line" attribute="1" defaultMemberUniqueName="[Data].[Product line].[All]" allUniqueName="[Data].[Product line].[All]" dimensionUniqueName="[Data]" displayFolder="" count="2" memberValueDatatype="130" unbalanced="0"/>
    <cacheHierarchy uniqueName="[Data].[Unit price]" caption="Unit price" attribute="1" defaultMemberUniqueName="[Data].[Unit price].[All]" allUniqueName="[Data].[Unit price].[All]" dimensionUniqueName="[Data]" displayFolder="" count="0" memberValueDatatype="5" unbalanced="0"/>
    <cacheHierarchy uniqueName="[Data].[Quantity]" caption="Quantity" attribute="1" defaultMemberUniqueName="[Data].[Quantity].[All]" allUniqueName="[Data].[Quantity].[All]" dimensionUniqueName="[Data]" displayFolder="" count="0" memberValueDatatype="20" unbalanced="0"/>
    <cacheHierarchy uniqueName="[Data].[Tax 5%]" caption="Tax 5%" attribute="1" defaultMemberUniqueName="[Data].[Tax 5%].[All]" allUniqueName="[Data].[Tax 5%].[All]" dimensionUniqueName="[Data]" displayFolder="" count="0" memberValueDatatype="5" unbalanced="0"/>
    <cacheHierarchy uniqueName="[Data].[Total]" caption="Total" attribute="1" defaultMemberUniqueName="[Data].[Total].[All]" allUniqueName="[Data].[Total].[All]" dimensionUniqueName="[Data]" displayFolder="" count="0" memberValueDatatype="5" unbalanced="0"/>
    <cacheHierarchy uniqueName="[Data].[Date]" caption="Date" attribute="1" time="1" defaultMemberUniqueName="[Data].[Date].[All]" allUniqueName="[Data].[Date].[All]" dimensionUniqueName="[Data]" displayFolder="" count="0" memberValueDatatype="7" unbalanced="0"/>
    <cacheHierarchy uniqueName="[Data].[Day]" caption="Day" attribute="1" defaultMemberUniqueName="[Data].[Day].[All]" allUniqueName="[Data].[Day].[All]" dimensionUniqueName="[Data]" displayFolder="" count="0" memberValueDatatype="20" unbalanced="0"/>
    <cacheHierarchy uniqueName="[Data].[Month]" caption="Month" attribute="1" defaultMemberUniqueName="[Data].[Month].[All]" allUniqueName="[Data].[Month].[All]" dimensionUniqueName="[Data]" displayFolder="" count="0" memberValueDatatype="20" unbalanced="0"/>
    <cacheHierarchy uniqueName="[Data].[Year]" caption="Year" attribute="1" defaultMemberUniqueName="[Data].[Year].[All]" allUniqueName="[Data].[Year].[All]" dimensionUniqueName="[Data]" displayFolder="" count="2" memberValueDatatype="20" unbalanced="0">
      <fieldsUsage count="2">
        <fieldUsage x="-1"/>
        <fieldUsage x="1"/>
      </fieldsUsage>
    </cacheHierarchy>
    <cacheHierarchy uniqueName="[Data].[Time]" caption="Time" attribute="1" time="1" defaultMemberUniqueName="[Data].[Time].[All]" allUniqueName="[Data].[Time].[All]" dimensionUniqueName="[Data]" displayFolder="" count="0" memberValueDatatype="7" unbalanced="0"/>
    <cacheHierarchy uniqueName="[Data].[Payment]" caption="Payment" attribute="1" defaultMemberUniqueName="[Data].[Payment].[All]" allUniqueName="[Data].[Payment].[All]" dimensionUniqueName="[Data]" displayFolder="" count="0" memberValueDatatype="130" unbalanced="0"/>
    <cacheHierarchy uniqueName="[Data].[cogs]" caption="cogs" attribute="1" defaultMemberUniqueName="[Data].[cogs].[All]" allUniqueName="[Data].[cogs].[All]" dimensionUniqueName="[Data]" displayFolder="" count="0" memberValueDatatype="5" unbalanced="0"/>
    <cacheHierarchy uniqueName="[Data].[Net Profit]" caption="Net Profit" attribute="1" defaultMemberUniqueName="[Data].[Net Profit].[All]" allUniqueName="[Data].[Net Profit].[All]" dimensionUniqueName="[Data]" displayFolder="" count="0" memberValueDatatype="5" unbalanced="0"/>
    <cacheHierarchy uniqueName="[Data].[Rating]" caption="Rating" attribute="1" defaultMemberUniqueName="[Data].[Rating].[All]" allUniqueName="[Data].[Rating].[All]" dimensionUniqueName="[Data]" displayFolder="" count="0" memberValueDatatype="5" unbalanced="0"/>
    <cacheHierarchy uniqueName="[Data].[Time (Hour)]" caption="Time (Hour)" attribute="1" defaultMemberUniqueName="[Data].[Time (Hour)].[All]" allUniqueName="[Data].[Time (Hour)].[All]" dimensionUniqueName="[Data]" displayFolder="" count="0" memberValueDatatype="130" unbalanced="0"/>
    <cacheHierarchy uniqueName="[Data].[Time (Minute)]" caption="Time (Minute)" attribute="1" defaultMemberUniqueName="[Data].[Time (Minute)].[All]" allUniqueName="[Data].[Time (Minute)].[All]" dimensionUniqueName="[Data]" displayFolder="" count="0" memberValueDatatype="130" unbalanced="0"/>
    <cacheHierarchy uniqueName="[REP].[city]" caption="city" attribute="1" defaultMemberUniqueName="[REP].[city].[All]" allUniqueName="[REP].[city].[All]" dimensionUniqueName="[REP]" displayFolder="" count="0" memberValueDatatype="130" unbalanced="0"/>
    <cacheHierarchy uniqueName="[REP].[Rep]" caption="Rep" attribute="1" defaultMemberUniqueName="[REP].[Rep].[All]" allUniqueName="[REP].[Rep].[All]" dimensionUniqueName="[REP]" displayFolder="" count="0" memberValueDatatype="130" unbalanced="0"/>
    <cacheHierarchy uniqueName="[Returns].[returns]" caption="returns" attribute="1" defaultMemberUniqueName="[Returns].[returns].[All]" allUniqueName="[Returns].[returns].[All]" dimensionUniqueName="[Returns]" displayFolder="" count="0" memberValueDatatype="130" unbalanced="0"/>
    <cacheHierarchy uniqueName="[Returns].[Invoice ID]" caption="Invoice ID" attribute="1" defaultMemberUniqueName="[Returns].[Invoice ID].[All]" allUniqueName="[Returns].[Invoice ID].[All]" dimensionUniqueName="[Returns]" displayFolder="" count="0" memberValueDatatype="130" unbalanced="0"/>
    <cacheHierarchy uniqueName="[Measures].[__XL_Count REP]" caption="__XL_Count REP" measure="1" displayFolder="" measureGroup="REP" count="0" hidden="1"/>
    <cacheHierarchy uniqueName="[Measures].[__XL_Count Returns]" caption="__XL_Count Returns" measure="1" displayFolder="" measureGroup="Returns" count="0" hidden="1"/>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Total]" caption="Sum of Total" measure="1" displayFolder="" measureGroup="Data" count="0" oneField="1" hidden="1">
      <fieldsUsage count="1">
        <fieldUsage x="0"/>
      </fieldsUsage>
      <extLst>
        <ext xmlns:x15="http://schemas.microsoft.com/office/spreadsheetml/2010/11/main" uri="{B97F6D7D-B522-45F9-BDA1-12C45D357490}">
          <x15:cacheHierarchy aggregatedColumn="10"/>
        </ext>
      </extLst>
    </cacheHierarchy>
    <cacheHierarchy uniqueName="[Measures].[Count of returns]" caption="Count of returns" measure="1" displayFolder="" measureGroup="Returns" count="0" hidden="1">
      <extLst>
        <ext xmlns:x15="http://schemas.microsoft.com/office/spreadsheetml/2010/11/main" uri="{B97F6D7D-B522-45F9-BDA1-12C45D357490}">
          <x15:cacheHierarchy aggregatedColumn="24"/>
        </ext>
      </extLst>
    </cacheHierarchy>
    <cacheHierarchy uniqueName="[Measures].[Sum of Net Profit]" caption="Sum of Net Profit" measure="1" displayFolder="" measureGroup="Data" count="0" hidden="1">
      <extLst>
        <ext xmlns:x15="http://schemas.microsoft.com/office/spreadsheetml/2010/11/main" uri="{B97F6D7D-B522-45F9-BDA1-12C45D357490}">
          <x15:cacheHierarchy aggregatedColumn="18"/>
        </ext>
      </extLst>
    </cacheHierarchy>
    <cacheHierarchy uniqueName="[Measures].[Sum of cogs]" caption="Sum of cogs" measure="1" displayFolder="" measureGroup="Data" count="0" hidden="1">
      <extLst>
        <ext xmlns:x15="http://schemas.microsoft.com/office/spreadsheetml/2010/11/main" uri="{B97F6D7D-B522-45F9-BDA1-12C45D357490}">
          <x15:cacheHierarchy aggregatedColumn="17"/>
        </ext>
      </extLst>
    </cacheHierarchy>
    <cacheHierarchy uniqueName="[Measures].[Sum of Tax 5%]" caption="Sum of Tax 5%" measure="1" displayFolder="" measureGroup="Data" count="0" hidden="1">
      <extLst>
        <ext xmlns:x15="http://schemas.microsoft.com/office/spreadsheetml/2010/11/main" uri="{B97F6D7D-B522-45F9-BDA1-12C45D357490}">
          <x15:cacheHierarchy aggregatedColumn="9"/>
        </ext>
      </extLst>
    </cacheHierarchy>
    <cacheHierarchy uniqueName="[Measures].[Average of Net Profit]" caption="Average of Net Profit" measure="1" displayFolder="" measureGroup="Data"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8"/>
        </ext>
      </extLst>
    </cacheHierarchy>
    <cacheHierarchy uniqueName="[Measures].[Count of Invoice ID]" caption="Count of Invoice ID" measure="1" displayFolder="" measureGroup="Data" count="0" hidden="1">
      <extLst>
        <ext xmlns:x15="http://schemas.microsoft.com/office/spreadsheetml/2010/11/main" uri="{B97F6D7D-B522-45F9-BDA1-12C45D357490}">
          <x15:cacheHierarchy aggregatedColumn="0"/>
        </ext>
      </extLst>
    </cacheHierarchy>
    <cacheHierarchy uniqueName="[Measures].[Count of Quantity]" caption="Count of Quantity" measure="1" displayFolder="" measureGroup="Data" count="0" hidden="1">
      <extLst>
        <ext xmlns:x15="http://schemas.microsoft.com/office/spreadsheetml/2010/11/main" uri="{B97F6D7D-B522-45F9-BDA1-12C45D357490}">
          <x15:cacheHierarchy aggregatedColumn="8"/>
        </ext>
      </extLst>
    </cacheHierarchy>
    <cacheHierarchy uniqueName="[Measures].[Count of Product line]" caption="Count of Product line" measure="1" displayFolder="" measureGroup="Data" count="0" hidden="1">
      <extLst>
        <ext xmlns:x15="http://schemas.microsoft.com/office/spreadsheetml/2010/11/main" uri="{B97F6D7D-B522-45F9-BDA1-12C45D357490}">
          <x15:cacheHierarchy aggregatedColumn="6"/>
        </ext>
      </extLst>
    </cacheHierarchy>
    <cacheHierarchy uniqueName="[Measures].[Count of Invoice ID 2]" caption="Count of Invoice ID 2" measure="1" displayFolder="" measureGroup="Returns" count="0" hidden="1">
      <extLst>
        <ext xmlns:x15="http://schemas.microsoft.com/office/spreadsheetml/2010/11/main" uri="{B97F6D7D-B522-45F9-BDA1-12C45D357490}">
          <x15:cacheHierarchy aggregatedColumn="25"/>
        </ext>
      </extLst>
    </cacheHierarchy>
    <cacheHierarchy uniqueName="[Measures].[Sum of Rating]" caption="Sum of Rating" measure="1" displayFolder="" measureGroup="Data" count="0" hidden="1">
      <extLst>
        <ext xmlns:x15="http://schemas.microsoft.com/office/spreadsheetml/2010/11/main" uri="{B97F6D7D-B522-45F9-BDA1-12C45D357490}">
          <x15:cacheHierarchy aggregatedColumn="19"/>
        </ext>
      </extLst>
    </cacheHierarchy>
    <cacheHierarchy uniqueName="[Measures].[Average of Rating]" caption="Average of Rating" measure="1" displayFolder="" measureGroup="Data" count="0" hidden="1">
      <extLst>
        <ext xmlns:x15="http://schemas.microsoft.com/office/spreadsheetml/2010/11/main" uri="{B97F6D7D-B522-45F9-BDA1-12C45D357490}">
          <x15:cacheHierarchy aggregatedColumn="19"/>
        </ext>
      </extLst>
    </cacheHierarchy>
    <cacheHierarchy uniqueName="[Measures].[Min of Rating]" caption="Min of Rating" measure="1" displayFolder="" measureGroup="Data" count="0" hidden="1">
      <extLst>
        <ext xmlns:x15="http://schemas.microsoft.com/office/spreadsheetml/2010/11/main" uri="{B97F6D7D-B522-45F9-BDA1-12C45D357490}">
          <x15:cacheHierarchy aggregatedColumn="19"/>
        </ext>
      </extLst>
    </cacheHierarchy>
    <cacheHierarchy uniqueName="[Measures].[Max of Rating]" caption="Max of Rating" measure="1" displayFolder="" measureGroup="Data" count="0" hidden="1">
      <extLst>
        <ext xmlns:x15="http://schemas.microsoft.com/office/spreadsheetml/2010/11/main" uri="{B97F6D7D-B522-45F9-BDA1-12C45D357490}">
          <x15:cacheHierarchy aggregatedColumn="19"/>
        </ext>
      </extLst>
    </cacheHierarchy>
    <cacheHierarchy uniqueName="[Measures].[Count of Rating]" caption="Count of Rating" measure="1" displayFolder="" measureGroup="Data" count="0" hidden="1">
      <extLst>
        <ext xmlns:x15="http://schemas.microsoft.com/office/spreadsheetml/2010/11/main" uri="{B97F6D7D-B522-45F9-BDA1-12C45D357490}">
          <x15:cacheHierarchy aggregatedColumn="19"/>
        </ext>
      </extLst>
    </cacheHierarchy>
    <cacheHierarchy uniqueName="[Measures].[Distinct Count of Rating]" caption="Distinct Count of Rating" measure="1" displayFolder="" measureGroup="Data" count="0" hidden="1">
      <extLst>
        <ext xmlns:x15="http://schemas.microsoft.com/office/spreadsheetml/2010/11/main" uri="{B97F6D7D-B522-45F9-BDA1-12C45D357490}">
          <x15:cacheHierarchy aggregatedColumn="19"/>
        </ext>
      </extLst>
    </cacheHierarchy>
    <cacheHierarchy uniqueName="[Measures].[Distinct Count of Invoice ID]" caption="Distinct Count of Invoice ID" measure="1" displayFolder="" measureGroup="Data" count="0" hidden="1">
      <extLst>
        <ext xmlns:x15="http://schemas.microsoft.com/office/spreadsheetml/2010/11/main" uri="{B97F6D7D-B522-45F9-BDA1-12C45D357490}">
          <x15:cacheHierarchy aggregatedColumn="0"/>
        </ext>
      </extLst>
    </cacheHierarchy>
    <cacheHierarchy uniqueName="[Measures].[Count of Customer type]" caption="Count of Customer type" measure="1" displayFolder="" measureGroup="Data" count="0" hidden="1">
      <extLst>
        <ext xmlns:x15="http://schemas.microsoft.com/office/spreadsheetml/2010/11/main" uri="{B97F6D7D-B522-45F9-BDA1-12C45D357490}">
          <x15:cacheHierarchy aggregatedColumn="4"/>
        </ext>
      </extLst>
    </cacheHierarchy>
    <cacheHierarchy uniqueName="[Measures].[Count of Payment]" caption="Count of Payment" measure="1" displayFolder="" measureGroup="Data" count="0" hidden="1">
      <extLst>
        <ext xmlns:x15="http://schemas.microsoft.com/office/spreadsheetml/2010/11/main" uri="{B97F6D7D-B522-45F9-BDA1-12C45D357490}">
          <x15:cacheHierarchy aggregatedColumn="16"/>
        </ext>
      </extLst>
    </cacheHierarchy>
    <cacheHierarchy uniqueName="[Measures].[Average of Total]" caption="Average of Total" measure="1" displayFolder="" measureGroup="Data" count="0" hidden="1">
      <extLst>
        <ext xmlns:x15="http://schemas.microsoft.com/office/spreadsheetml/2010/11/main" uri="{B97F6D7D-B522-45F9-BDA1-12C45D357490}">
          <x15:cacheHierarchy aggregatedColumn="10"/>
        </ext>
      </extLst>
    </cacheHierarchy>
    <cacheHierarchy uniqueName="[Measures].[Sum of Unit price]" caption="Sum of Unit price" measure="1" displayFolder="" measureGroup="Data" count="0" hidden="1">
      <extLst>
        <ext xmlns:x15="http://schemas.microsoft.com/office/spreadsheetml/2010/11/main" uri="{B97F6D7D-B522-45F9-BDA1-12C45D357490}">
          <x15:cacheHierarchy aggregatedColumn="7"/>
        </ext>
      </extLst>
    </cacheHierarchy>
    <cacheHierarchy uniqueName="[Measures].[Average of Unit price]" caption="Average of Unit price" measure="1" displayFolder="" measureGroup="Data" count="0" hidden="1">
      <extLst>
        <ext xmlns:x15="http://schemas.microsoft.com/office/spreadsheetml/2010/11/main" uri="{B97F6D7D-B522-45F9-BDA1-12C45D357490}">
          <x15:cacheHierarchy aggregatedColumn="7"/>
        </ext>
      </extLst>
    </cacheHierarchy>
    <cacheHierarchy uniqueName="[Measures].[Max of Unit price]" caption="Max of Unit price" measure="1" displayFolder="" measureGroup="Data" count="0" hidden="1">
      <extLst>
        <ext xmlns:x15="http://schemas.microsoft.com/office/spreadsheetml/2010/11/main" uri="{B97F6D7D-B522-45F9-BDA1-12C45D357490}">
          <x15:cacheHierarchy aggregatedColumn="7"/>
        </ext>
      </extLst>
    </cacheHierarchy>
    <cacheHierarchy uniqueName="[Measures].[Min of Unit price]" caption="Min of Unit price" measure="1" displayFolder="" measureGroup="Data" count="0" hidden="1">
      <extLst>
        <ext xmlns:x15="http://schemas.microsoft.com/office/spreadsheetml/2010/11/main" uri="{B97F6D7D-B522-45F9-BDA1-12C45D357490}">
          <x15:cacheHierarchy aggregatedColumn="7"/>
        </ext>
      </extLst>
    </cacheHierarchy>
  </cacheHierarchies>
  <kpis count="0"/>
  <dimensions count="4">
    <dimension name="Data" uniqueName="[Data]" caption="Data"/>
    <dimension measure="1" name="Measures" uniqueName="[Measures]" caption="Measures"/>
    <dimension name="REP" uniqueName="[REP]" caption="REP"/>
    <dimension name="Returns" uniqueName="[Returns]" caption="Returns"/>
  </dimensions>
  <measureGroups count="3">
    <measureGroup name="Data" caption="Data"/>
    <measureGroup name="REP" caption="REP"/>
    <measureGroup name="Returns" caption="Returns"/>
  </measureGroups>
  <maps count="5">
    <map measureGroup="0" dimension="0"/>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saveData="0" refreshedBy="Amira" refreshedDate="46139.489653703706" backgroundQuery="1" createdVersion="6" refreshedVersion="6" minRefreshableVersion="3" recordCount="0" supportSubquery="1" supportAdvancedDrill="1">
  <cacheSource type="external" connectionId="1"/>
  <cacheFields count="3">
    <cacheField name="[Data].[Year].[Year]" caption="Year" numFmtId="0" hierarchy="14" level="1">
      <sharedItems containsSemiMixedTypes="0" containsNonDate="0" containsString="0"/>
    </cacheField>
    <cacheField name="[Data].[Branch City].[Branch City]" caption="Branch City" numFmtId="0" hierarchy="3" level="1">
      <sharedItems count="3">
        <s v="Br. A (Yangon)"/>
        <s v="Br. B (Mandalay)"/>
        <s v="Br. C (Naypyitaw)"/>
      </sharedItems>
    </cacheField>
    <cacheField name="[Measures].[Sum of Net Profit]" caption="Sum of Net Profit" numFmtId="0" hierarchy="32" level="32767"/>
  </cacheFields>
  <cacheHierarchies count="55">
    <cacheHierarchy uniqueName="[Data].[Invoice ID]" caption="Invoice ID" attribute="1" defaultMemberUniqueName="[Data].[Invoice ID].[All]" allUniqueName="[Data].[Invoice ID].[All]" dimensionUniqueName="[Data]" displayFolder="" count="0" memberValueDatatype="130" unbalanced="0"/>
    <cacheHierarchy uniqueName="[Data].[Branch]" caption="Branch" attribute="1" defaultMemberUniqueName="[Data].[Branch].[All]" allUniqueName="[Data].[Branch].[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Branch City]" caption="Branch City" attribute="1" defaultMemberUniqueName="[Data].[Branch City].[All]" allUniqueName="[Data].[Branch City].[All]" dimensionUniqueName="[Data]" displayFolder="" count="2" memberValueDatatype="130" unbalanced="0">
      <fieldsUsage count="2">
        <fieldUsage x="-1"/>
        <fieldUsage x="1"/>
      </fieldsUsage>
    </cacheHierarchy>
    <cacheHierarchy uniqueName="[Data].[Customer type]" caption="Customer type" attribute="1" defaultMemberUniqueName="[Data].[Customer type].[All]" allUniqueName="[Data].[Customer type].[All]" dimensionUniqueName="[Data]" displayFolder="" count="0" memberValueDatatype="130" unbalanced="0"/>
    <cacheHierarchy uniqueName="[Data].[Gender]" caption="Gender" attribute="1" defaultMemberUniqueName="[Data].[Gender].[All]" allUniqueName="[Data].[Gender].[All]" dimensionUniqueName="[Data]" displayFolder="" count="0" memberValueDatatype="130" unbalanced="0"/>
    <cacheHierarchy uniqueName="[Data].[Product line]" caption="Product line" attribute="1" defaultMemberUniqueName="[Data].[Product line].[All]" allUniqueName="[Data].[Product line].[All]" dimensionUniqueName="[Data]" displayFolder="" count="2" memberValueDatatype="130" unbalanced="0"/>
    <cacheHierarchy uniqueName="[Data].[Unit price]" caption="Unit price" attribute="1" defaultMemberUniqueName="[Data].[Unit price].[All]" allUniqueName="[Data].[Unit price].[All]" dimensionUniqueName="[Data]" displayFolder="" count="0" memberValueDatatype="5" unbalanced="0"/>
    <cacheHierarchy uniqueName="[Data].[Quantity]" caption="Quantity" attribute="1" defaultMemberUniqueName="[Data].[Quantity].[All]" allUniqueName="[Data].[Quantity].[All]" dimensionUniqueName="[Data]" displayFolder="" count="0" memberValueDatatype="20" unbalanced="0"/>
    <cacheHierarchy uniqueName="[Data].[Tax 5%]" caption="Tax 5%" attribute="1" defaultMemberUniqueName="[Data].[Tax 5%].[All]" allUniqueName="[Data].[Tax 5%].[All]" dimensionUniqueName="[Data]" displayFolder="" count="0" memberValueDatatype="5" unbalanced="0"/>
    <cacheHierarchy uniqueName="[Data].[Total]" caption="Total" attribute="1" defaultMemberUniqueName="[Data].[Total].[All]" allUniqueName="[Data].[Total].[All]" dimensionUniqueName="[Data]" displayFolder="" count="0" memberValueDatatype="5" unbalanced="0"/>
    <cacheHierarchy uniqueName="[Data].[Date]" caption="Date" attribute="1" time="1" defaultMemberUniqueName="[Data].[Date].[All]" allUniqueName="[Data].[Date].[All]" dimensionUniqueName="[Data]" displayFolder="" count="0" memberValueDatatype="7" unbalanced="0"/>
    <cacheHierarchy uniqueName="[Data].[Day]" caption="Day" attribute="1" defaultMemberUniqueName="[Data].[Day].[All]" allUniqueName="[Data].[Day].[All]" dimensionUniqueName="[Data]" displayFolder="" count="0" memberValueDatatype="20" unbalanced="0"/>
    <cacheHierarchy uniqueName="[Data].[Month]" caption="Month" attribute="1" defaultMemberUniqueName="[Data].[Month].[All]" allUniqueName="[Data].[Month].[All]" dimensionUniqueName="[Data]" displayFolder="" count="0" memberValueDatatype="20" unbalanced="0"/>
    <cacheHierarchy uniqueName="[Data].[Year]" caption="Year" attribute="1" defaultMemberUniqueName="[Data].[Year].[All]" allUniqueName="[Data].[Year].[All]" dimensionUniqueName="[Data]" displayFolder="" count="2" memberValueDatatype="20" unbalanced="0">
      <fieldsUsage count="2">
        <fieldUsage x="-1"/>
        <fieldUsage x="0"/>
      </fieldsUsage>
    </cacheHierarchy>
    <cacheHierarchy uniqueName="[Data].[Time]" caption="Time" attribute="1" time="1" defaultMemberUniqueName="[Data].[Time].[All]" allUniqueName="[Data].[Time].[All]" dimensionUniqueName="[Data]" displayFolder="" count="0" memberValueDatatype="7" unbalanced="0"/>
    <cacheHierarchy uniqueName="[Data].[Payment]" caption="Payment" attribute="1" defaultMemberUniqueName="[Data].[Payment].[All]" allUniqueName="[Data].[Payment].[All]" dimensionUniqueName="[Data]" displayFolder="" count="0" memberValueDatatype="130" unbalanced="0"/>
    <cacheHierarchy uniqueName="[Data].[cogs]" caption="cogs" attribute="1" defaultMemberUniqueName="[Data].[cogs].[All]" allUniqueName="[Data].[cogs].[All]" dimensionUniqueName="[Data]" displayFolder="" count="0" memberValueDatatype="5" unbalanced="0"/>
    <cacheHierarchy uniqueName="[Data].[Net Profit]" caption="Net Profit" attribute="1" defaultMemberUniqueName="[Data].[Net Profit].[All]" allUniqueName="[Data].[Net Profit].[All]" dimensionUniqueName="[Data]" displayFolder="" count="0" memberValueDatatype="5" unbalanced="0"/>
    <cacheHierarchy uniqueName="[Data].[Rating]" caption="Rating" attribute="1" defaultMemberUniqueName="[Data].[Rating].[All]" allUniqueName="[Data].[Rating].[All]" dimensionUniqueName="[Data]" displayFolder="" count="0" memberValueDatatype="5" unbalanced="0"/>
    <cacheHierarchy uniqueName="[Data].[Time (Hour)]" caption="Time (Hour)" attribute="1" defaultMemberUniqueName="[Data].[Time (Hour)].[All]" allUniqueName="[Data].[Time (Hour)].[All]" dimensionUniqueName="[Data]" displayFolder="" count="0" memberValueDatatype="130" unbalanced="0"/>
    <cacheHierarchy uniqueName="[Data].[Time (Minute)]" caption="Time (Minute)" attribute="1" defaultMemberUniqueName="[Data].[Time (Minute)].[All]" allUniqueName="[Data].[Time (Minute)].[All]" dimensionUniqueName="[Data]" displayFolder="" count="0" memberValueDatatype="130" unbalanced="0"/>
    <cacheHierarchy uniqueName="[REP].[city]" caption="city" attribute="1" defaultMemberUniqueName="[REP].[city].[All]" allUniqueName="[REP].[city].[All]" dimensionUniqueName="[REP]" displayFolder="" count="0" memberValueDatatype="130" unbalanced="0"/>
    <cacheHierarchy uniqueName="[REP].[Rep]" caption="Rep" attribute="1" defaultMemberUniqueName="[REP].[Rep].[All]" allUniqueName="[REP].[Rep].[All]" dimensionUniqueName="[REP]" displayFolder="" count="0" memberValueDatatype="130" unbalanced="0"/>
    <cacheHierarchy uniqueName="[Returns].[returns]" caption="returns" attribute="1" defaultMemberUniqueName="[Returns].[returns].[All]" allUniqueName="[Returns].[returns].[All]" dimensionUniqueName="[Returns]" displayFolder="" count="0" memberValueDatatype="130" unbalanced="0"/>
    <cacheHierarchy uniqueName="[Returns].[Invoice ID]" caption="Invoice ID" attribute="1" defaultMemberUniqueName="[Returns].[Invoice ID].[All]" allUniqueName="[Returns].[Invoice ID].[All]" dimensionUniqueName="[Returns]" displayFolder="" count="0" memberValueDatatype="130" unbalanced="0"/>
    <cacheHierarchy uniqueName="[Measures].[__XL_Count REP]" caption="__XL_Count REP" measure="1" displayFolder="" measureGroup="REP" count="0" hidden="1"/>
    <cacheHierarchy uniqueName="[Measures].[__XL_Count Returns]" caption="__XL_Count Returns" measure="1" displayFolder="" measureGroup="Returns" count="0" hidden="1"/>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Total]" caption="Sum of Total" measure="1" displayFolder="" measureGroup="Data" count="0" hidden="1">
      <extLst>
        <ext xmlns:x15="http://schemas.microsoft.com/office/spreadsheetml/2010/11/main" uri="{B97F6D7D-B522-45F9-BDA1-12C45D357490}">
          <x15:cacheHierarchy aggregatedColumn="10"/>
        </ext>
      </extLst>
    </cacheHierarchy>
    <cacheHierarchy uniqueName="[Measures].[Count of returns]" caption="Count of returns" measure="1" displayFolder="" measureGroup="Returns" count="0" hidden="1">
      <extLst>
        <ext xmlns:x15="http://schemas.microsoft.com/office/spreadsheetml/2010/11/main" uri="{B97F6D7D-B522-45F9-BDA1-12C45D357490}">
          <x15:cacheHierarchy aggregatedColumn="24"/>
        </ext>
      </extLst>
    </cacheHierarchy>
    <cacheHierarchy uniqueName="[Measures].[Sum of Net Profit]" caption="Sum of Net Profit" measure="1" displayFolder="" measureGroup="Data" count="0" oneField="1" hidden="1">
      <fieldsUsage count="1">
        <fieldUsage x="2"/>
      </fieldsUsage>
      <extLst>
        <ext xmlns:x15="http://schemas.microsoft.com/office/spreadsheetml/2010/11/main" uri="{B97F6D7D-B522-45F9-BDA1-12C45D357490}">
          <x15:cacheHierarchy aggregatedColumn="18"/>
        </ext>
      </extLst>
    </cacheHierarchy>
    <cacheHierarchy uniqueName="[Measures].[Sum of cogs]" caption="Sum of cogs" measure="1" displayFolder="" measureGroup="Data" count="0" hidden="1">
      <extLst>
        <ext xmlns:x15="http://schemas.microsoft.com/office/spreadsheetml/2010/11/main" uri="{B97F6D7D-B522-45F9-BDA1-12C45D357490}">
          <x15:cacheHierarchy aggregatedColumn="17"/>
        </ext>
      </extLst>
    </cacheHierarchy>
    <cacheHierarchy uniqueName="[Measures].[Sum of Tax 5%]" caption="Sum of Tax 5%" measure="1" displayFolder="" measureGroup="Data" count="0" hidden="1">
      <extLst>
        <ext xmlns:x15="http://schemas.microsoft.com/office/spreadsheetml/2010/11/main" uri="{B97F6D7D-B522-45F9-BDA1-12C45D357490}">
          <x15:cacheHierarchy aggregatedColumn="9"/>
        </ext>
      </extLst>
    </cacheHierarchy>
    <cacheHierarchy uniqueName="[Measures].[Average of Net Profit]" caption="Average of Net Profit" measure="1" displayFolder="" measureGroup="Data"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8"/>
        </ext>
      </extLst>
    </cacheHierarchy>
    <cacheHierarchy uniqueName="[Measures].[Count of Invoice ID]" caption="Count of Invoice ID" measure="1" displayFolder="" measureGroup="Data" count="0" hidden="1">
      <extLst>
        <ext xmlns:x15="http://schemas.microsoft.com/office/spreadsheetml/2010/11/main" uri="{B97F6D7D-B522-45F9-BDA1-12C45D357490}">
          <x15:cacheHierarchy aggregatedColumn="0"/>
        </ext>
      </extLst>
    </cacheHierarchy>
    <cacheHierarchy uniqueName="[Measures].[Count of Quantity]" caption="Count of Quantity" measure="1" displayFolder="" measureGroup="Data" count="0" hidden="1">
      <extLst>
        <ext xmlns:x15="http://schemas.microsoft.com/office/spreadsheetml/2010/11/main" uri="{B97F6D7D-B522-45F9-BDA1-12C45D357490}">
          <x15:cacheHierarchy aggregatedColumn="8"/>
        </ext>
      </extLst>
    </cacheHierarchy>
    <cacheHierarchy uniqueName="[Measures].[Count of Product line]" caption="Count of Product line" measure="1" displayFolder="" measureGroup="Data" count="0" hidden="1">
      <extLst>
        <ext xmlns:x15="http://schemas.microsoft.com/office/spreadsheetml/2010/11/main" uri="{B97F6D7D-B522-45F9-BDA1-12C45D357490}">
          <x15:cacheHierarchy aggregatedColumn="6"/>
        </ext>
      </extLst>
    </cacheHierarchy>
    <cacheHierarchy uniqueName="[Measures].[Count of Invoice ID 2]" caption="Count of Invoice ID 2" measure="1" displayFolder="" measureGroup="Returns" count="0" hidden="1">
      <extLst>
        <ext xmlns:x15="http://schemas.microsoft.com/office/spreadsheetml/2010/11/main" uri="{B97F6D7D-B522-45F9-BDA1-12C45D357490}">
          <x15:cacheHierarchy aggregatedColumn="25"/>
        </ext>
      </extLst>
    </cacheHierarchy>
    <cacheHierarchy uniqueName="[Measures].[Sum of Rating]" caption="Sum of Rating" measure="1" displayFolder="" measureGroup="Data" count="0" hidden="1">
      <extLst>
        <ext xmlns:x15="http://schemas.microsoft.com/office/spreadsheetml/2010/11/main" uri="{B97F6D7D-B522-45F9-BDA1-12C45D357490}">
          <x15:cacheHierarchy aggregatedColumn="19"/>
        </ext>
      </extLst>
    </cacheHierarchy>
    <cacheHierarchy uniqueName="[Measures].[Average of Rating]" caption="Average of Rating" measure="1" displayFolder="" measureGroup="Data" count="0" hidden="1">
      <extLst>
        <ext xmlns:x15="http://schemas.microsoft.com/office/spreadsheetml/2010/11/main" uri="{B97F6D7D-B522-45F9-BDA1-12C45D357490}">
          <x15:cacheHierarchy aggregatedColumn="19"/>
        </ext>
      </extLst>
    </cacheHierarchy>
    <cacheHierarchy uniqueName="[Measures].[Min of Rating]" caption="Min of Rating" measure="1" displayFolder="" measureGroup="Data" count="0" hidden="1">
      <extLst>
        <ext xmlns:x15="http://schemas.microsoft.com/office/spreadsheetml/2010/11/main" uri="{B97F6D7D-B522-45F9-BDA1-12C45D357490}">
          <x15:cacheHierarchy aggregatedColumn="19"/>
        </ext>
      </extLst>
    </cacheHierarchy>
    <cacheHierarchy uniqueName="[Measures].[Max of Rating]" caption="Max of Rating" measure="1" displayFolder="" measureGroup="Data" count="0" hidden="1">
      <extLst>
        <ext xmlns:x15="http://schemas.microsoft.com/office/spreadsheetml/2010/11/main" uri="{B97F6D7D-B522-45F9-BDA1-12C45D357490}">
          <x15:cacheHierarchy aggregatedColumn="19"/>
        </ext>
      </extLst>
    </cacheHierarchy>
    <cacheHierarchy uniqueName="[Measures].[Count of Rating]" caption="Count of Rating" measure="1" displayFolder="" measureGroup="Data" count="0" hidden="1">
      <extLst>
        <ext xmlns:x15="http://schemas.microsoft.com/office/spreadsheetml/2010/11/main" uri="{B97F6D7D-B522-45F9-BDA1-12C45D357490}">
          <x15:cacheHierarchy aggregatedColumn="19"/>
        </ext>
      </extLst>
    </cacheHierarchy>
    <cacheHierarchy uniqueName="[Measures].[Distinct Count of Rating]" caption="Distinct Count of Rating" measure="1" displayFolder="" measureGroup="Data" count="0" hidden="1">
      <extLst>
        <ext xmlns:x15="http://schemas.microsoft.com/office/spreadsheetml/2010/11/main" uri="{B97F6D7D-B522-45F9-BDA1-12C45D357490}">
          <x15:cacheHierarchy aggregatedColumn="19"/>
        </ext>
      </extLst>
    </cacheHierarchy>
    <cacheHierarchy uniqueName="[Measures].[Distinct Count of Invoice ID]" caption="Distinct Count of Invoice ID" measure="1" displayFolder="" measureGroup="Data" count="0" hidden="1">
      <extLst>
        <ext xmlns:x15="http://schemas.microsoft.com/office/spreadsheetml/2010/11/main" uri="{B97F6D7D-B522-45F9-BDA1-12C45D357490}">
          <x15:cacheHierarchy aggregatedColumn="0"/>
        </ext>
      </extLst>
    </cacheHierarchy>
    <cacheHierarchy uniqueName="[Measures].[Count of Customer type]" caption="Count of Customer type" measure="1" displayFolder="" measureGroup="Data" count="0" hidden="1">
      <extLst>
        <ext xmlns:x15="http://schemas.microsoft.com/office/spreadsheetml/2010/11/main" uri="{B97F6D7D-B522-45F9-BDA1-12C45D357490}">
          <x15:cacheHierarchy aggregatedColumn="4"/>
        </ext>
      </extLst>
    </cacheHierarchy>
    <cacheHierarchy uniqueName="[Measures].[Count of Payment]" caption="Count of Payment" measure="1" displayFolder="" measureGroup="Data" count="0" hidden="1">
      <extLst>
        <ext xmlns:x15="http://schemas.microsoft.com/office/spreadsheetml/2010/11/main" uri="{B97F6D7D-B522-45F9-BDA1-12C45D357490}">
          <x15:cacheHierarchy aggregatedColumn="16"/>
        </ext>
      </extLst>
    </cacheHierarchy>
    <cacheHierarchy uniqueName="[Measures].[Average of Total]" caption="Average of Total" measure="1" displayFolder="" measureGroup="Data" count="0" hidden="1">
      <extLst>
        <ext xmlns:x15="http://schemas.microsoft.com/office/spreadsheetml/2010/11/main" uri="{B97F6D7D-B522-45F9-BDA1-12C45D357490}">
          <x15:cacheHierarchy aggregatedColumn="10"/>
        </ext>
      </extLst>
    </cacheHierarchy>
    <cacheHierarchy uniqueName="[Measures].[Sum of Unit price]" caption="Sum of Unit price" measure="1" displayFolder="" measureGroup="Data" count="0" hidden="1">
      <extLst>
        <ext xmlns:x15="http://schemas.microsoft.com/office/spreadsheetml/2010/11/main" uri="{B97F6D7D-B522-45F9-BDA1-12C45D357490}">
          <x15:cacheHierarchy aggregatedColumn="7"/>
        </ext>
      </extLst>
    </cacheHierarchy>
    <cacheHierarchy uniqueName="[Measures].[Average of Unit price]" caption="Average of Unit price" measure="1" displayFolder="" measureGroup="Data" count="0" hidden="1">
      <extLst>
        <ext xmlns:x15="http://schemas.microsoft.com/office/spreadsheetml/2010/11/main" uri="{B97F6D7D-B522-45F9-BDA1-12C45D357490}">
          <x15:cacheHierarchy aggregatedColumn="7"/>
        </ext>
      </extLst>
    </cacheHierarchy>
    <cacheHierarchy uniqueName="[Measures].[Max of Unit price]" caption="Max of Unit price" measure="1" displayFolder="" measureGroup="Data" count="0" hidden="1">
      <extLst>
        <ext xmlns:x15="http://schemas.microsoft.com/office/spreadsheetml/2010/11/main" uri="{B97F6D7D-B522-45F9-BDA1-12C45D357490}">
          <x15:cacheHierarchy aggregatedColumn="7"/>
        </ext>
      </extLst>
    </cacheHierarchy>
    <cacheHierarchy uniqueName="[Measures].[Min of Unit price]" caption="Min of Unit price" measure="1" displayFolder="" measureGroup="Data" count="0" hidden="1">
      <extLst>
        <ext xmlns:x15="http://schemas.microsoft.com/office/spreadsheetml/2010/11/main" uri="{B97F6D7D-B522-45F9-BDA1-12C45D357490}">
          <x15:cacheHierarchy aggregatedColumn="7"/>
        </ext>
      </extLst>
    </cacheHierarchy>
  </cacheHierarchies>
  <kpis count="0"/>
  <dimensions count="4">
    <dimension name="Data" uniqueName="[Data]" caption="Data"/>
    <dimension measure="1" name="Measures" uniqueName="[Measures]" caption="Measures"/>
    <dimension name="REP" uniqueName="[REP]" caption="REP"/>
    <dimension name="Returns" uniqueName="[Returns]" caption="Returns"/>
  </dimensions>
  <measureGroups count="3">
    <measureGroup name="Data" caption="Data"/>
    <measureGroup name="REP" caption="REP"/>
    <measureGroup name="Returns" caption="Returns"/>
  </measureGroups>
  <maps count="5">
    <map measureGroup="0" dimension="0"/>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saveData="0" refreshedBy="Amira" refreshedDate="46139.489654282406" backgroundQuery="1" createdVersion="6" refreshedVersion="6" minRefreshableVersion="3" recordCount="0" supportSubquery="1" supportAdvancedDrill="1">
  <cacheSource type="external" connectionId="1"/>
  <cacheFields count="3">
    <cacheField name="[Data].[Year].[Year]" caption="Year" numFmtId="0" hierarchy="14" level="1">
      <sharedItems containsSemiMixedTypes="0" containsNonDate="0" containsString="0"/>
    </cacheField>
    <cacheField name="[Data].[Product line].[Product line]" caption="Product line" numFmtId="0" hierarchy="6" level="1">
      <sharedItems count="6">
        <s v="Electronic accessories"/>
        <s v="Fashion accessories"/>
        <s v="Food and beverages"/>
        <s v="Health and beauty"/>
        <s v="Home and lifestyle"/>
        <s v="Sports and travel"/>
      </sharedItems>
    </cacheField>
    <cacheField name="[Measures].[Sum of Net Profit]" caption="Sum of Net Profit" numFmtId="0" hierarchy="32" level="32767"/>
  </cacheFields>
  <cacheHierarchies count="55">
    <cacheHierarchy uniqueName="[Data].[Invoice ID]" caption="Invoice ID" attribute="1" defaultMemberUniqueName="[Data].[Invoice ID].[All]" allUniqueName="[Data].[Invoice ID].[All]" dimensionUniqueName="[Data]" displayFolder="" count="0" memberValueDatatype="130" unbalanced="0"/>
    <cacheHierarchy uniqueName="[Data].[Branch]" caption="Branch" attribute="1" defaultMemberUniqueName="[Data].[Branch].[All]" allUniqueName="[Data].[Branch].[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Branch City]" caption="Branch City" attribute="1" defaultMemberUniqueName="[Data].[Branch City].[All]" allUniqueName="[Data].[Branch City].[All]" dimensionUniqueName="[Data]" displayFolder="" count="2" memberValueDatatype="130" unbalanced="0"/>
    <cacheHierarchy uniqueName="[Data].[Customer type]" caption="Customer type" attribute="1" defaultMemberUniqueName="[Data].[Customer type].[All]" allUniqueName="[Data].[Customer type].[All]" dimensionUniqueName="[Data]" displayFolder="" count="0" memberValueDatatype="130" unbalanced="0"/>
    <cacheHierarchy uniqueName="[Data].[Gender]" caption="Gender" attribute="1" defaultMemberUniqueName="[Data].[Gender].[All]" allUniqueName="[Data].[Gender].[All]" dimensionUniqueName="[Data]" displayFolder="" count="0" memberValueDatatype="130" unbalanced="0"/>
    <cacheHierarchy uniqueName="[Data].[Product line]" caption="Product line" attribute="1" defaultMemberUniqueName="[Data].[Product line].[All]" allUniqueName="[Data].[Product line].[All]" dimensionUniqueName="[Data]" displayFolder="" count="2" memberValueDatatype="130" unbalanced="0">
      <fieldsUsage count="2">
        <fieldUsage x="-1"/>
        <fieldUsage x="1"/>
      </fieldsUsage>
    </cacheHierarchy>
    <cacheHierarchy uniqueName="[Data].[Unit price]" caption="Unit price" attribute="1" defaultMemberUniqueName="[Data].[Unit price].[All]" allUniqueName="[Data].[Unit price].[All]" dimensionUniqueName="[Data]" displayFolder="" count="0" memberValueDatatype="5" unbalanced="0"/>
    <cacheHierarchy uniqueName="[Data].[Quantity]" caption="Quantity" attribute="1" defaultMemberUniqueName="[Data].[Quantity].[All]" allUniqueName="[Data].[Quantity].[All]" dimensionUniqueName="[Data]" displayFolder="" count="0" memberValueDatatype="20" unbalanced="0"/>
    <cacheHierarchy uniqueName="[Data].[Tax 5%]" caption="Tax 5%" attribute="1" defaultMemberUniqueName="[Data].[Tax 5%].[All]" allUniqueName="[Data].[Tax 5%].[All]" dimensionUniqueName="[Data]" displayFolder="" count="0" memberValueDatatype="5" unbalanced="0"/>
    <cacheHierarchy uniqueName="[Data].[Total]" caption="Total" attribute="1" defaultMemberUniqueName="[Data].[Total].[All]" allUniqueName="[Data].[Total].[All]" dimensionUniqueName="[Data]" displayFolder="" count="0" memberValueDatatype="5" unbalanced="0"/>
    <cacheHierarchy uniqueName="[Data].[Date]" caption="Date" attribute="1" time="1" defaultMemberUniqueName="[Data].[Date].[All]" allUniqueName="[Data].[Date].[All]" dimensionUniqueName="[Data]" displayFolder="" count="0" memberValueDatatype="7" unbalanced="0"/>
    <cacheHierarchy uniqueName="[Data].[Day]" caption="Day" attribute="1" defaultMemberUniqueName="[Data].[Day].[All]" allUniqueName="[Data].[Day].[All]" dimensionUniqueName="[Data]" displayFolder="" count="0" memberValueDatatype="20" unbalanced="0"/>
    <cacheHierarchy uniqueName="[Data].[Month]" caption="Month" attribute="1" defaultMemberUniqueName="[Data].[Month].[All]" allUniqueName="[Data].[Month].[All]" dimensionUniqueName="[Data]" displayFolder="" count="0" memberValueDatatype="20" unbalanced="0"/>
    <cacheHierarchy uniqueName="[Data].[Year]" caption="Year" attribute="1" defaultMemberUniqueName="[Data].[Year].[All]" allUniqueName="[Data].[Year].[All]" dimensionUniqueName="[Data]" displayFolder="" count="2" memberValueDatatype="20" unbalanced="0">
      <fieldsUsage count="2">
        <fieldUsage x="-1"/>
        <fieldUsage x="0"/>
      </fieldsUsage>
    </cacheHierarchy>
    <cacheHierarchy uniqueName="[Data].[Time]" caption="Time" attribute="1" time="1" defaultMemberUniqueName="[Data].[Time].[All]" allUniqueName="[Data].[Time].[All]" dimensionUniqueName="[Data]" displayFolder="" count="0" memberValueDatatype="7" unbalanced="0"/>
    <cacheHierarchy uniqueName="[Data].[Payment]" caption="Payment" attribute="1" defaultMemberUniqueName="[Data].[Payment].[All]" allUniqueName="[Data].[Payment].[All]" dimensionUniqueName="[Data]" displayFolder="" count="0" memberValueDatatype="130" unbalanced="0"/>
    <cacheHierarchy uniqueName="[Data].[cogs]" caption="cogs" attribute="1" defaultMemberUniqueName="[Data].[cogs].[All]" allUniqueName="[Data].[cogs].[All]" dimensionUniqueName="[Data]" displayFolder="" count="0" memberValueDatatype="5" unbalanced="0"/>
    <cacheHierarchy uniqueName="[Data].[Net Profit]" caption="Net Profit" attribute="1" defaultMemberUniqueName="[Data].[Net Profit].[All]" allUniqueName="[Data].[Net Profit].[All]" dimensionUniqueName="[Data]" displayFolder="" count="0" memberValueDatatype="5" unbalanced="0"/>
    <cacheHierarchy uniqueName="[Data].[Rating]" caption="Rating" attribute="1" defaultMemberUniqueName="[Data].[Rating].[All]" allUniqueName="[Data].[Rating].[All]" dimensionUniqueName="[Data]" displayFolder="" count="0" memberValueDatatype="5" unbalanced="0"/>
    <cacheHierarchy uniqueName="[Data].[Time (Hour)]" caption="Time (Hour)" attribute="1" defaultMemberUniqueName="[Data].[Time (Hour)].[All]" allUniqueName="[Data].[Time (Hour)].[All]" dimensionUniqueName="[Data]" displayFolder="" count="0" memberValueDatatype="130" unbalanced="0"/>
    <cacheHierarchy uniqueName="[Data].[Time (Minute)]" caption="Time (Minute)" attribute="1" defaultMemberUniqueName="[Data].[Time (Minute)].[All]" allUniqueName="[Data].[Time (Minute)].[All]" dimensionUniqueName="[Data]" displayFolder="" count="0" memberValueDatatype="130" unbalanced="0"/>
    <cacheHierarchy uniqueName="[REP].[city]" caption="city" attribute="1" defaultMemberUniqueName="[REP].[city].[All]" allUniqueName="[REP].[city].[All]" dimensionUniqueName="[REP]" displayFolder="" count="0" memberValueDatatype="130" unbalanced="0"/>
    <cacheHierarchy uniqueName="[REP].[Rep]" caption="Rep" attribute="1" defaultMemberUniqueName="[REP].[Rep].[All]" allUniqueName="[REP].[Rep].[All]" dimensionUniqueName="[REP]" displayFolder="" count="0" memberValueDatatype="130" unbalanced="0"/>
    <cacheHierarchy uniqueName="[Returns].[returns]" caption="returns" attribute="1" defaultMemberUniqueName="[Returns].[returns].[All]" allUniqueName="[Returns].[returns].[All]" dimensionUniqueName="[Returns]" displayFolder="" count="0" memberValueDatatype="130" unbalanced="0"/>
    <cacheHierarchy uniqueName="[Returns].[Invoice ID]" caption="Invoice ID" attribute="1" defaultMemberUniqueName="[Returns].[Invoice ID].[All]" allUniqueName="[Returns].[Invoice ID].[All]" dimensionUniqueName="[Returns]" displayFolder="" count="0" memberValueDatatype="130" unbalanced="0"/>
    <cacheHierarchy uniqueName="[Measures].[__XL_Count REP]" caption="__XL_Count REP" measure="1" displayFolder="" measureGroup="REP" count="0" hidden="1"/>
    <cacheHierarchy uniqueName="[Measures].[__XL_Count Returns]" caption="__XL_Count Returns" measure="1" displayFolder="" measureGroup="Returns" count="0" hidden="1"/>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Total]" caption="Sum of Total" measure="1" displayFolder="" measureGroup="Data" count="0" hidden="1">
      <extLst>
        <ext xmlns:x15="http://schemas.microsoft.com/office/spreadsheetml/2010/11/main" uri="{B97F6D7D-B522-45F9-BDA1-12C45D357490}">
          <x15:cacheHierarchy aggregatedColumn="10"/>
        </ext>
      </extLst>
    </cacheHierarchy>
    <cacheHierarchy uniqueName="[Measures].[Count of returns]" caption="Count of returns" measure="1" displayFolder="" measureGroup="Returns" count="0" hidden="1">
      <extLst>
        <ext xmlns:x15="http://schemas.microsoft.com/office/spreadsheetml/2010/11/main" uri="{B97F6D7D-B522-45F9-BDA1-12C45D357490}">
          <x15:cacheHierarchy aggregatedColumn="24"/>
        </ext>
      </extLst>
    </cacheHierarchy>
    <cacheHierarchy uniqueName="[Measures].[Sum of Net Profit]" caption="Sum of Net Profit" measure="1" displayFolder="" measureGroup="Data" count="0" oneField="1" hidden="1">
      <fieldsUsage count="1">
        <fieldUsage x="2"/>
      </fieldsUsage>
      <extLst>
        <ext xmlns:x15="http://schemas.microsoft.com/office/spreadsheetml/2010/11/main" uri="{B97F6D7D-B522-45F9-BDA1-12C45D357490}">
          <x15:cacheHierarchy aggregatedColumn="18"/>
        </ext>
      </extLst>
    </cacheHierarchy>
    <cacheHierarchy uniqueName="[Measures].[Sum of cogs]" caption="Sum of cogs" measure="1" displayFolder="" measureGroup="Data" count="0" hidden="1">
      <extLst>
        <ext xmlns:x15="http://schemas.microsoft.com/office/spreadsheetml/2010/11/main" uri="{B97F6D7D-B522-45F9-BDA1-12C45D357490}">
          <x15:cacheHierarchy aggregatedColumn="17"/>
        </ext>
      </extLst>
    </cacheHierarchy>
    <cacheHierarchy uniqueName="[Measures].[Sum of Tax 5%]" caption="Sum of Tax 5%" measure="1" displayFolder="" measureGroup="Data" count="0" hidden="1">
      <extLst>
        <ext xmlns:x15="http://schemas.microsoft.com/office/spreadsheetml/2010/11/main" uri="{B97F6D7D-B522-45F9-BDA1-12C45D357490}">
          <x15:cacheHierarchy aggregatedColumn="9"/>
        </ext>
      </extLst>
    </cacheHierarchy>
    <cacheHierarchy uniqueName="[Measures].[Average of Net Profit]" caption="Average of Net Profit" measure="1" displayFolder="" measureGroup="Data"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8"/>
        </ext>
      </extLst>
    </cacheHierarchy>
    <cacheHierarchy uniqueName="[Measures].[Count of Invoice ID]" caption="Count of Invoice ID" measure="1" displayFolder="" measureGroup="Data" count="0" hidden="1">
      <extLst>
        <ext xmlns:x15="http://schemas.microsoft.com/office/spreadsheetml/2010/11/main" uri="{B97F6D7D-B522-45F9-BDA1-12C45D357490}">
          <x15:cacheHierarchy aggregatedColumn="0"/>
        </ext>
      </extLst>
    </cacheHierarchy>
    <cacheHierarchy uniqueName="[Measures].[Count of Quantity]" caption="Count of Quantity" measure="1" displayFolder="" measureGroup="Data" count="0" hidden="1">
      <extLst>
        <ext xmlns:x15="http://schemas.microsoft.com/office/spreadsheetml/2010/11/main" uri="{B97F6D7D-B522-45F9-BDA1-12C45D357490}">
          <x15:cacheHierarchy aggregatedColumn="8"/>
        </ext>
      </extLst>
    </cacheHierarchy>
    <cacheHierarchy uniqueName="[Measures].[Count of Product line]" caption="Count of Product line" measure="1" displayFolder="" measureGroup="Data" count="0" hidden="1">
      <extLst>
        <ext xmlns:x15="http://schemas.microsoft.com/office/spreadsheetml/2010/11/main" uri="{B97F6D7D-B522-45F9-BDA1-12C45D357490}">
          <x15:cacheHierarchy aggregatedColumn="6"/>
        </ext>
      </extLst>
    </cacheHierarchy>
    <cacheHierarchy uniqueName="[Measures].[Count of Invoice ID 2]" caption="Count of Invoice ID 2" measure="1" displayFolder="" measureGroup="Returns" count="0" hidden="1">
      <extLst>
        <ext xmlns:x15="http://schemas.microsoft.com/office/spreadsheetml/2010/11/main" uri="{B97F6D7D-B522-45F9-BDA1-12C45D357490}">
          <x15:cacheHierarchy aggregatedColumn="25"/>
        </ext>
      </extLst>
    </cacheHierarchy>
    <cacheHierarchy uniqueName="[Measures].[Sum of Rating]" caption="Sum of Rating" measure="1" displayFolder="" measureGroup="Data" count="0" hidden="1">
      <extLst>
        <ext xmlns:x15="http://schemas.microsoft.com/office/spreadsheetml/2010/11/main" uri="{B97F6D7D-B522-45F9-BDA1-12C45D357490}">
          <x15:cacheHierarchy aggregatedColumn="19"/>
        </ext>
      </extLst>
    </cacheHierarchy>
    <cacheHierarchy uniqueName="[Measures].[Average of Rating]" caption="Average of Rating" measure="1" displayFolder="" measureGroup="Data" count="0" hidden="1">
      <extLst>
        <ext xmlns:x15="http://schemas.microsoft.com/office/spreadsheetml/2010/11/main" uri="{B97F6D7D-B522-45F9-BDA1-12C45D357490}">
          <x15:cacheHierarchy aggregatedColumn="19"/>
        </ext>
      </extLst>
    </cacheHierarchy>
    <cacheHierarchy uniqueName="[Measures].[Min of Rating]" caption="Min of Rating" measure="1" displayFolder="" measureGroup="Data" count="0" hidden="1">
      <extLst>
        <ext xmlns:x15="http://schemas.microsoft.com/office/spreadsheetml/2010/11/main" uri="{B97F6D7D-B522-45F9-BDA1-12C45D357490}">
          <x15:cacheHierarchy aggregatedColumn="19"/>
        </ext>
      </extLst>
    </cacheHierarchy>
    <cacheHierarchy uniqueName="[Measures].[Max of Rating]" caption="Max of Rating" measure="1" displayFolder="" measureGroup="Data" count="0" hidden="1">
      <extLst>
        <ext xmlns:x15="http://schemas.microsoft.com/office/spreadsheetml/2010/11/main" uri="{B97F6D7D-B522-45F9-BDA1-12C45D357490}">
          <x15:cacheHierarchy aggregatedColumn="19"/>
        </ext>
      </extLst>
    </cacheHierarchy>
    <cacheHierarchy uniqueName="[Measures].[Count of Rating]" caption="Count of Rating" measure="1" displayFolder="" measureGroup="Data" count="0" hidden="1">
      <extLst>
        <ext xmlns:x15="http://schemas.microsoft.com/office/spreadsheetml/2010/11/main" uri="{B97F6D7D-B522-45F9-BDA1-12C45D357490}">
          <x15:cacheHierarchy aggregatedColumn="19"/>
        </ext>
      </extLst>
    </cacheHierarchy>
    <cacheHierarchy uniqueName="[Measures].[Distinct Count of Rating]" caption="Distinct Count of Rating" measure="1" displayFolder="" measureGroup="Data" count="0" hidden="1">
      <extLst>
        <ext xmlns:x15="http://schemas.microsoft.com/office/spreadsheetml/2010/11/main" uri="{B97F6D7D-B522-45F9-BDA1-12C45D357490}">
          <x15:cacheHierarchy aggregatedColumn="19"/>
        </ext>
      </extLst>
    </cacheHierarchy>
    <cacheHierarchy uniqueName="[Measures].[Distinct Count of Invoice ID]" caption="Distinct Count of Invoice ID" measure="1" displayFolder="" measureGroup="Data" count="0" hidden="1">
      <extLst>
        <ext xmlns:x15="http://schemas.microsoft.com/office/spreadsheetml/2010/11/main" uri="{B97F6D7D-B522-45F9-BDA1-12C45D357490}">
          <x15:cacheHierarchy aggregatedColumn="0"/>
        </ext>
      </extLst>
    </cacheHierarchy>
    <cacheHierarchy uniqueName="[Measures].[Count of Customer type]" caption="Count of Customer type" measure="1" displayFolder="" measureGroup="Data" count="0" hidden="1">
      <extLst>
        <ext xmlns:x15="http://schemas.microsoft.com/office/spreadsheetml/2010/11/main" uri="{B97F6D7D-B522-45F9-BDA1-12C45D357490}">
          <x15:cacheHierarchy aggregatedColumn="4"/>
        </ext>
      </extLst>
    </cacheHierarchy>
    <cacheHierarchy uniqueName="[Measures].[Count of Payment]" caption="Count of Payment" measure="1" displayFolder="" measureGroup="Data" count="0" hidden="1">
      <extLst>
        <ext xmlns:x15="http://schemas.microsoft.com/office/spreadsheetml/2010/11/main" uri="{B97F6D7D-B522-45F9-BDA1-12C45D357490}">
          <x15:cacheHierarchy aggregatedColumn="16"/>
        </ext>
      </extLst>
    </cacheHierarchy>
    <cacheHierarchy uniqueName="[Measures].[Average of Total]" caption="Average of Total" measure="1" displayFolder="" measureGroup="Data" count="0" hidden="1">
      <extLst>
        <ext xmlns:x15="http://schemas.microsoft.com/office/spreadsheetml/2010/11/main" uri="{B97F6D7D-B522-45F9-BDA1-12C45D357490}">
          <x15:cacheHierarchy aggregatedColumn="10"/>
        </ext>
      </extLst>
    </cacheHierarchy>
    <cacheHierarchy uniqueName="[Measures].[Sum of Unit price]" caption="Sum of Unit price" measure="1" displayFolder="" measureGroup="Data" count="0" hidden="1">
      <extLst>
        <ext xmlns:x15="http://schemas.microsoft.com/office/spreadsheetml/2010/11/main" uri="{B97F6D7D-B522-45F9-BDA1-12C45D357490}">
          <x15:cacheHierarchy aggregatedColumn="7"/>
        </ext>
      </extLst>
    </cacheHierarchy>
    <cacheHierarchy uniqueName="[Measures].[Average of Unit price]" caption="Average of Unit price" measure="1" displayFolder="" measureGroup="Data" count="0" hidden="1">
      <extLst>
        <ext xmlns:x15="http://schemas.microsoft.com/office/spreadsheetml/2010/11/main" uri="{B97F6D7D-B522-45F9-BDA1-12C45D357490}">
          <x15:cacheHierarchy aggregatedColumn="7"/>
        </ext>
      </extLst>
    </cacheHierarchy>
    <cacheHierarchy uniqueName="[Measures].[Max of Unit price]" caption="Max of Unit price" measure="1" displayFolder="" measureGroup="Data" count="0" hidden="1">
      <extLst>
        <ext xmlns:x15="http://schemas.microsoft.com/office/spreadsheetml/2010/11/main" uri="{B97F6D7D-B522-45F9-BDA1-12C45D357490}">
          <x15:cacheHierarchy aggregatedColumn="7"/>
        </ext>
      </extLst>
    </cacheHierarchy>
    <cacheHierarchy uniqueName="[Measures].[Min of Unit price]" caption="Min of Unit price" measure="1" displayFolder="" measureGroup="Data" count="0" hidden="1">
      <extLst>
        <ext xmlns:x15="http://schemas.microsoft.com/office/spreadsheetml/2010/11/main" uri="{B97F6D7D-B522-45F9-BDA1-12C45D357490}">
          <x15:cacheHierarchy aggregatedColumn="7"/>
        </ext>
      </extLst>
    </cacheHierarchy>
  </cacheHierarchies>
  <kpis count="0"/>
  <dimensions count="4">
    <dimension name="Data" uniqueName="[Data]" caption="Data"/>
    <dimension measure="1" name="Measures" uniqueName="[Measures]" caption="Measures"/>
    <dimension name="REP" uniqueName="[REP]" caption="REP"/>
    <dimension name="Returns" uniqueName="[Returns]" caption="Returns"/>
  </dimensions>
  <measureGroups count="3">
    <measureGroup name="Data" caption="Data"/>
    <measureGroup name="REP" caption="REP"/>
    <measureGroup name="Returns" caption="Returns"/>
  </measureGroups>
  <maps count="5">
    <map measureGroup="0" dimension="0"/>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saveData="0" refreshedBy="Amira" refreshedDate="46139.489654976853" backgroundQuery="1" createdVersion="6" refreshedVersion="6" minRefreshableVersion="3" recordCount="0" supportSubquery="1" supportAdvancedDrill="1">
  <cacheSource type="external" connectionId="1"/>
  <cacheFields count="6">
    <cacheField name="[Data].[Year].[Year]" caption="Year" numFmtId="0" hierarchy="14" level="1">
      <sharedItems containsSemiMixedTypes="0" containsNonDate="0" containsString="0"/>
    </cacheField>
    <cacheField name="[Data].[Product line].[Product line]" caption="Product line" numFmtId="0" hierarchy="6" level="1">
      <sharedItems count="6">
        <s v="Electronic accessories"/>
        <s v="Fashion accessories"/>
        <s v="Food and beverages"/>
        <s v="Health and beauty"/>
        <s v="Home and lifestyle"/>
        <s v="Sports and travel"/>
      </sharedItems>
    </cacheField>
    <cacheField name="[Measures].[Sum of Net Profit]" caption="Sum of Net Profit" numFmtId="0" hierarchy="32" level="32767"/>
    <cacheField name="[Measures].[Sum of Total]" caption="Sum of Total" numFmtId="0" hierarchy="30" level="32767"/>
    <cacheField name="[Measures].[Sum of cogs]" caption="Sum of cogs" numFmtId="0" hierarchy="33" level="32767"/>
    <cacheField name="[Measures].[Sum of Quantity]" caption="Sum of Quantity" numFmtId="0" hierarchy="36" level="32767"/>
  </cacheFields>
  <cacheHierarchies count="55">
    <cacheHierarchy uniqueName="[Data].[Invoice ID]" caption="Invoice ID" attribute="1" defaultMemberUniqueName="[Data].[Invoice ID].[All]" allUniqueName="[Data].[Invoice ID].[All]" dimensionUniqueName="[Data]" displayFolder="" count="0" memberValueDatatype="130" unbalanced="0"/>
    <cacheHierarchy uniqueName="[Data].[Branch]" caption="Branch" attribute="1" defaultMemberUniqueName="[Data].[Branch].[All]" allUniqueName="[Data].[Branch].[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Branch City]" caption="Branch City" attribute="1" defaultMemberUniqueName="[Data].[Branch City].[All]" allUniqueName="[Data].[Branch City].[All]" dimensionUniqueName="[Data]" displayFolder="" count="2" memberValueDatatype="130" unbalanced="0"/>
    <cacheHierarchy uniqueName="[Data].[Customer type]" caption="Customer type" attribute="1" defaultMemberUniqueName="[Data].[Customer type].[All]" allUniqueName="[Data].[Customer type].[All]" dimensionUniqueName="[Data]" displayFolder="" count="0" memberValueDatatype="130" unbalanced="0"/>
    <cacheHierarchy uniqueName="[Data].[Gender]" caption="Gender" attribute="1" defaultMemberUniqueName="[Data].[Gender].[All]" allUniqueName="[Data].[Gender].[All]" dimensionUniqueName="[Data]" displayFolder="" count="0" memberValueDatatype="130" unbalanced="0"/>
    <cacheHierarchy uniqueName="[Data].[Product line]" caption="Product line" attribute="1" defaultMemberUniqueName="[Data].[Product line].[All]" allUniqueName="[Data].[Product line].[All]" dimensionUniqueName="[Data]" displayFolder="" count="2" memberValueDatatype="130" unbalanced="0">
      <fieldsUsage count="2">
        <fieldUsage x="-1"/>
        <fieldUsage x="1"/>
      </fieldsUsage>
    </cacheHierarchy>
    <cacheHierarchy uniqueName="[Data].[Unit price]" caption="Unit price" attribute="1" defaultMemberUniqueName="[Data].[Unit price].[All]" allUniqueName="[Data].[Unit price].[All]" dimensionUniqueName="[Data]" displayFolder="" count="0" memberValueDatatype="5" unbalanced="0"/>
    <cacheHierarchy uniqueName="[Data].[Quantity]" caption="Quantity" attribute="1" defaultMemberUniqueName="[Data].[Quantity].[All]" allUniqueName="[Data].[Quantity].[All]" dimensionUniqueName="[Data]" displayFolder="" count="0" memberValueDatatype="20" unbalanced="0"/>
    <cacheHierarchy uniqueName="[Data].[Tax 5%]" caption="Tax 5%" attribute="1" defaultMemberUniqueName="[Data].[Tax 5%].[All]" allUniqueName="[Data].[Tax 5%].[All]" dimensionUniqueName="[Data]" displayFolder="" count="0" memberValueDatatype="5" unbalanced="0"/>
    <cacheHierarchy uniqueName="[Data].[Total]" caption="Total" attribute="1" defaultMemberUniqueName="[Data].[Total].[All]" allUniqueName="[Data].[Total].[All]" dimensionUniqueName="[Data]" displayFolder="" count="0" memberValueDatatype="5" unbalanced="0"/>
    <cacheHierarchy uniqueName="[Data].[Date]" caption="Date" attribute="1" time="1" defaultMemberUniqueName="[Data].[Date].[All]" allUniqueName="[Data].[Date].[All]" dimensionUniqueName="[Data]" displayFolder="" count="0" memberValueDatatype="7" unbalanced="0"/>
    <cacheHierarchy uniqueName="[Data].[Day]" caption="Day" attribute="1" defaultMemberUniqueName="[Data].[Day].[All]" allUniqueName="[Data].[Day].[All]" dimensionUniqueName="[Data]" displayFolder="" count="0" memberValueDatatype="20" unbalanced="0"/>
    <cacheHierarchy uniqueName="[Data].[Month]" caption="Month" attribute="1" defaultMemberUniqueName="[Data].[Month].[All]" allUniqueName="[Data].[Month].[All]" dimensionUniqueName="[Data]" displayFolder="" count="0" memberValueDatatype="20" unbalanced="0"/>
    <cacheHierarchy uniqueName="[Data].[Year]" caption="Year" attribute="1" defaultMemberUniqueName="[Data].[Year].[All]" allUniqueName="[Data].[Year].[All]" dimensionUniqueName="[Data]" displayFolder="" count="2" memberValueDatatype="20" unbalanced="0">
      <fieldsUsage count="2">
        <fieldUsage x="-1"/>
        <fieldUsage x="0"/>
      </fieldsUsage>
    </cacheHierarchy>
    <cacheHierarchy uniqueName="[Data].[Time]" caption="Time" attribute="1" time="1" defaultMemberUniqueName="[Data].[Time].[All]" allUniqueName="[Data].[Time].[All]" dimensionUniqueName="[Data]" displayFolder="" count="0" memberValueDatatype="7" unbalanced="0"/>
    <cacheHierarchy uniqueName="[Data].[Payment]" caption="Payment" attribute="1" defaultMemberUniqueName="[Data].[Payment].[All]" allUniqueName="[Data].[Payment].[All]" dimensionUniqueName="[Data]" displayFolder="" count="0" memberValueDatatype="130" unbalanced="0"/>
    <cacheHierarchy uniqueName="[Data].[cogs]" caption="cogs" attribute="1" defaultMemberUniqueName="[Data].[cogs].[All]" allUniqueName="[Data].[cogs].[All]" dimensionUniqueName="[Data]" displayFolder="" count="0" memberValueDatatype="5" unbalanced="0"/>
    <cacheHierarchy uniqueName="[Data].[Net Profit]" caption="Net Profit" attribute="1" defaultMemberUniqueName="[Data].[Net Profit].[All]" allUniqueName="[Data].[Net Profit].[All]" dimensionUniqueName="[Data]" displayFolder="" count="0" memberValueDatatype="5" unbalanced="0"/>
    <cacheHierarchy uniqueName="[Data].[Rating]" caption="Rating" attribute="1" defaultMemberUniqueName="[Data].[Rating].[All]" allUniqueName="[Data].[Rating].[All]" dimensionUniqueName="[Data]" displayFolder="" count="0" memberValueDatatype="5" unbalanced="0"/>
    <cacheHierarchy uniqueName="[Data].[Time (Hour)]" caption="Time (Hour)" attribute="1" defaultMemberUniqueName="[Data].[Time (Hour)].[All]" allUniqueName="[Data].[Time (Hour)].[All]" dimensionUniqueName="[Data]" displayFolder="" count="0" memberValueDatatype="130" unbalanced="0"/>
    <cacheHierarchy uniqueName="[Data].[Time (Minute)]" caption="Time (Minute)" attribute="1" defaultMemberUniqueName="[Data].[Time (Minute)].[All]" allUniqueName="[Data].[Time (Minute)].[All]" dimensionUniqueName="[Data]" displayFolder="" count="0" memberValueDatatype="130" unbalanced="0"/>
    <cacheHierarchy uniqueName="[REP].[city]" caption="city" attribute="1" defaultMemberUniqueName="[REP].[city].[All]" allUniqueName="[REP].[city].[All]" dimensionUniqueName="[REP]" displayFolder="" count="0" memberValueDatatype="130" unbalanced="0"/>
    <cacheHierarchy uniqueName="[REP].[Rep]" caption="Rep" attribute="1" defaultMemberUniqueName="[REP].[Rep].[All]" allUniqueName="[REP].[Rep].[All]" dimensionUniqueName="[REP]" displayFolder="" count="0" memberValueDatatype="130" unbalanced="0"/>
    <cacheHierarchy uniqueName="[Returns].[returns]" caption="returns" attribute="1" defaultMemberUniqueName="[Returns].[returns].[All]" allUniqueName="[Returns].[returns].[All]" dimensionUniqueName="[Returns]" displayFolder="" count="0" memberValueDatatype="130" unbalanced="0"/>
    <cacheHierarchy uniqueName="[Returns].[Invoice ID]" caption="Invoice ID" attribute="1" defaultMemberUniqueName="[Returns].[Invoice ID].[All]" allUniqueName="[Returns].[Invoice ID].[All]" dimensionUniqueName="[Returns]" displayFolder="" count="0" memberValueDatatype="130" unbalanced="0"/>
    <cacheHierarchy uniqueName="[Measures].[__XL_Count REP]" caption="__XL_Count REP" measure="1" displayFolder="" measureGroup="REP" count="0" hidden="1"/>
    <cacheHierarchy uniqueName="[Measures].[__XL_Count Returns]" caption="__XL_Count Returns" measure="1" displayFolder="" measureGroup="Returns" count="0" hidden="1"/>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Total]" caption="Sum of Total" measure="1" displayFolder="" measureGroup="Data" count="0" oneField="1" hidden="1">
      <fieldsUsage count="1">
        <fieldUsage x="3"/>
      </fieldsUsage>
      <extLst>
        <ext xmlns:x15="http://schemas.microsoft.com/office/spreadsheetml/2010/11/main" uri="{B97F6D7D-B522-45F9-BDA1-12C45D357490}">
          <x15:cacheHierarchy aggregatedColumn="10"/>
        </ext>
      </extLst>
    </cacheHierarchy>
    <cacheHierarchy uniqueName="[Measures].[Count of returns]" caption="Count of returns" measure="1" displayFolder="" measureGroup="Returns" count="0" hidden="1">
      <extLst>
        <ext xmlns:x15="http://schemas.microsoft.com/office/spreadsheetml/2010/11/main" uri="{B97F6D7D-B522-45F9-BDA1-12C45D357490}">
          <x15:cacheHierarchy aggregatedColumn="24"/>
        </ext>
      </extLst>
    </cacheHierarchy>
    <cacheHierarchy uniqueName="[Measures].[Sum of Net Profit]" caption="Sum of Net Profit" measure="1" displayFolder="" measureGroup="Data" count="0" oneField="1" hidden="1">
      <fieldsUsage count="1">
        <fieldUsage x="2"/>
      </fieldsUsage>
      <extLst>
        <ext xmlns:x15="http://schemas.microsoft.com/office/spreadsheetml/2010/11/main" uri="{B97F6D7D-B522-45F9-BDA1-12C45D357490}">
          <x15:cacheHierarchy aggregatedColumn="18"/>
        </ext>
      </extLst>
    </cacheHierarchy>
    <cacheHierarchy uniqueName="[Measures].[Sum of cogs]" caption="Sum of cogs" measure="1" displayFolder="" measureGroup="Data" count="0" oneField="1" hidden="1">
      <fieldsUsage count="1">
        <fieldUsage x="4"/>
      </fieldsUsage>
      <extLst>
        <ext xmlns:x15="http://schemas.microsoft.com/office/spreadsheetml/2010/11/main" uri="{B97F6D7D-B522-45F9-BDA1-12C45D357490}">
          <x15:cacheHierarchy aggregatedColumn="17"/>
        </ext>
      </extLst>
    </cacheHierarchy>
    <cacheHierarchy uniqueName="[Measures].[Sum of Tax 5%]" caption="Sum of Tax 5%" measure="1" displayFolder="" measureGroup="Data" count="0" hidden="1">
      <extLst>
        <ext xmlns:x15="http://schemas.microsoft.com/office/spreadsheetml/2010/11/main" uri="{B97F6D7D-B522-45F9-BDA1-12C45D357490}">
          <x15:cacheHierarchy aggregatedColumn="9"/>
        </ext>
      </extLst>
    </cacheHierarchy>
    <cacheHierarchy uniqueName="[Measures].[Average of Net Profit]" caption="Average of Net Profit" measure="1" displayFolder="" measureGroup="Data"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Data" count="0" oneField="1" hidden="1">
      <fieldsUsage count="1">
        <fieldUsage x="5"/>
      </fieldsUsage>
      <extLst>
        <ext xmlns:x15="http://schemas.microsoft.com/office/spreadsheetml/2010/11/main" uri="{B97F6D7D-B522-45F9-BDA1-12C45D357490}">
          <x15:cacheHierarchy aggregatedColumn="8"/>
        </ext>
      </extLst>
    </cacheHierarchy>
    <cacheHierarchy uniqueName="[Measures].[Count of Invoice ID]" caption="Count of Invoice ID" measure="1" displayFolder="" measureGroup="Data" count="0" hidden="1">
      <extLst>
        <ext xmlns:x15="http://schemas.microsoft.com/office/spreadsheetml/2010/11/main" uri="{B97F6D7D-B522-45F9-BDA1-12C45D357490}">
          <x15:cacheHierarchy aggregatedColumn="0"/>
        </ext>
      </extLst>
    </cacheHierarchy>
    <cacheHierarchy uniqueName="[Measures].[Count of Quantity]" caption="Count of Quantity" measure="1" displayFolder="" measureGroup="Data" count="0" hidden="1">
      <extLst>
        <ext xmlns:x15="http://schemas.microsoft.com/office/spreadsheetml/2010/11/main" uri="{B97F6D7D-B522-45F9-BDA1-12C45D357490}">
          <x15:cacheHierarchy aggregatedColumn="8"/>
        </ext>
      </extLst>
    </cacheHierarchy>
    <cacheHierarchy uniqueName="[Measures].[Count of Product line]" caption="Count of Product line" measure="1" displayFolder="" measureGroup="Data" count="0" hidden="1">
      <extLst>
        <ext xmlns:x15="http://schemas.microsoft.com/office/spreadsheetml/2010/11/main" uri="{B97F6D7D-B522-45F9-BDA1-12C45D357490}">
          <x15:cacheHierarchy aggregatedColumn="6"/>
        </ext>
      </extLst>
    </cacheHierarchy>
    <cacheHierarchy uniqueName="[Measures].[Count of Invoice ID 2]" caption="Count of Invoice ID 2" measure="1" displayFolder="" measureGroup="Returns" count="0" hidden="1">
      <extLst>
        <ext xmlns:x15="http://schemas.microsoft.com/office/spreadsheetml/2010/11/main" uri="{B97F6D7D-B522-45F9-BDA1-12C45D357490}">
          <x15:cacheHierarchy aggregatedColumn="25"/>
        </ext>
      </extLst>
    </cacheHierarchy>
    <cacheHierarchy uniqueName="[Measures].[Sum of Rating]" caption="Sum of Rating" measure="1" displayFolder="" measureGroup="Data" count="0" hidden="1">
      <extLst>
        <ext xmlns:x15="http://schemas.microsoft.com/office/spreadsheetml/2010/11/main" uri="{B97F6D7D-B522-45F9-BDA1-12C45D357490}">
          <x15:cacheHierarchy aggregatedColumn="19"/>
        </ext>
      </extLst>
    </cacheHierarchy>
    <cacheHierarchy uniqueName="[Measures].[Average of Rating]" caption="Average of Rating" measure="1" displayFolder="" measureGroup="Data" count="0" hidden="1">
      <extLst>
        <ext xmlns:x15="http://schemas.microsoft.com/office/spreadsheetml/2010/11/main" uri="{B97F6D7D-B522-45F9-BDA1-12C45D357490}">
          <x15:cacheHierarchy aggregatedColumn="19"/>
        </ext>
      </extLst>
    </cacheHierarchy>
    <cacheHierarchy uniqueName="[Measures].[Min of Rating]" caption="Min of Rating" measure="1" displayFolder="" measureGroup="Data" count="0" hidden="1">
      <extLst>
        <ext xmlns:x15="http://schemas.microsoft.com/office/spreadsheetml/2010/11/main" uri="{B97F6D7D-B522-45F9-BDA1-12C45D357490}">
          <x15:cacheHierarchy aggregatedColumn="19"/>
        </ext>
      </extLst>
    </cacheHierarchy>
    <cacheHierarchy uniqueName="[Measures].[Max of Rating]" caption="Max of Rating" measure="1" displayFolder="" measureGroup="Data" count="0" hidden="1">
      <extLst>
        <ext xmlns:x15="http://schemas.microsoft.com/office/spreadsheetml/2010/11/main" uri="{B97F6D7D-B522-45F9-BDA1-12C45D357490}">
          <x15:cacheHierarchy aggregatedColumn="19"/>
        </ext>
      </extLst>
    </cacheHierarchy>
    <cacheHierarchy uniqueName="[Measures].[Count of Rating]" caption="Count of Rating" measure="1" displayFolder="" measureGroup="Data" count="0" hidden="1">
      <extLst>
        <ext xmlns:x15="http://schemas.microsoft.com/office/spreadsheetml/2010/11/main" uri="{B97F6D7D-B522-45F9-BDA1-12C45D357490}">
          <x15:cacheHierarchy aggregatedColumn="19"/>
        </ext>
      </extLst>
    </cacheHierarchy>
    <cacheHierarchy uniqueName="[Measures].[Distinct Count of Rating]" caption="Distinct Count of Rating" measure="1" displayFolder="" measureGroup="Data" count="0" hidden="1">
      <extLst>
        <ext xmlns:x15="http://schemas.microsoft.com/office/spreadsheetml/2010/11/main" uri="{B97F6D7D-B522-45F9-BDA1-12C45D357490}">
          <x15:cacheHierarchy aggregatedColumn="19"/>
        </ext>
      </extLst>
    </cacheHierarchy>
    <cacheHierarchy uniqueName="[Measures].[Distinct Count of Invoice ID]" caption="Distinct Count of Invoice ID" measure="1" displayFolder="" measureGroup="Data" count="0" hidden="1">
      <extLst>
        <ext xmlns:x15="http://schemas.microsoft.com/office/spreadsheetml/2010/11/main" uri="{B97F6D7D-B522-45F9-BDA1-12C45D357490}">
          <x15:cacheHierarchy aggregatedColumn="0"/>
        </ext>
      </extLst>
    </cacheHierarchy>
    <cacheHierarchy uniqueName="[Measures].[Count of Customer type]" caption="Count of Customer type" measure="1" displayFolder="" measureGroup="Data" count="0" hidden="1">
      <extLst>
        <ext xmlns:x15="http://schemas.microsoft.com/office/spreadsheetml/2010/11/main" uri="{B97F6D7D-B522-45F9-BDA1-12C45D357490}">
          <x15:cacheHierarchy aggregatedColumn="4"/>
        </ext>
      </extLst>
    </cacheHierarchy>
    <cacheHierarchy uniqueName="[Measures].[Count of Payment]" caption="Count of Payment" measure="1" displayFolder="" measureGroup="Data" count="0" hidden="1">
      <extLst>
        <ext xmlns:x15="http://schemas.microsoft.com/office/spreadsheetml/2010/11/main" uri="{B97F6D7D-B522-45F9-BDA1-12C45D357490}">
          <x15:cacheHierarchy aggregatedColumn="16"/>
        </ext>
      </extLst>
    </cacheHierarchy>
    <cacheHierarchy uniqueName="[Measures].[Average of Total]" caption="Average of Total" measure="1" displayFolder="" measureGroup="Data" count="0" hidden="1">
      <extLst>
        <ext xmlns:x15="http://schemas.microsoft.com/office/spreadsheetml/2010/11/main" uri="{B97F6D7D-B522-45F9-BDA1-12C45D357490}">
          <x15:cacheHierarchy aggregatedColumn="10"/>
        </ext>
      </extLst>
    </cacheHierarchy>
    <cacheHierarchy uniqueName="[Measures].[Sum of Unit price]" caption="Sum of Unit price" measure="1" displayFolder="" measureGroup="Data" count="0" hidden="1">
      <extLst>
        <ext xmlns:x15="http://schemas.microsoft.com/office/spreadsheetml/2010/11/main" uri="{B97F6D7D-B522-45F9-BDA1-12C45D357490}">
          <x15:cacheHierarchy aggregatedColumn="7"/>
        </ext>
      </extLst>
    </cacheHierarchy>
    <cacheHierarchy uniqueName="[Measures].[Average of Unit price]" caption="Average of Unit price" measure="1" displayFolder="" measureGroup="Data" count="0" hidden="1">
      <extLst>
        <ext xmlns:x15="http://schemas.microsoft.com/office/spreadsheetml/2010/11/main" uri="{B97F6D7D-B522-45F9-BDA1-12C45D357490}">
          <x15:cacheHierarchy aggregatedColumn="7"/>
        </ext>
      </extLst>
    </cacheHierarchy>
    <cacheHierarchy uniqueName="[Measures].[Max of Unit price]" caption="Max of Unit price" measure="1" displayFolder="" measureGroup="Data" count="0" hidden="1">
      <extLst>
        <ext xmlns:x15="http://schemas.microsoft.com/office/spreadsheetml/2010/11/main" uri="{B97F6D7D-B522-45F9-BDA1-12C45D357490}">
          <x15:cacheHierarchy aggregatedColumn="7"/>
        </ext>
      </extLst>
    </cacheHierarchy>
    <cacheHierarchy uniqueName="[Measures].[Min of Unit price]" caption="Min of Unit price" measure="1" displayFolder="" measureGroup="Data" count="0" hidden="1">
      <extLst>
        <ext xmlns:x15="http://schemas.microsoft.com/office/spreadsheetml/2010/11/main" uri="{B97F6D7D-B522-45F9-BDA1-12C45D357490}">
          <x15:cacheHierarchy aggregatedColumn="7"/>
        </ext>
      </extLst>
    </cacheHierarchy>
  </cacheHierarchies>
  <kpis count="0"/>
  <dimensions count="4">
    <dimension name="Data" uniqueName="[Data]" caption="Data"/>
    <dimension measure="1" name="Measures" uniqueName="[Measures]" caption="Measures"/>
    <dimension name="REP" uniqueName="[REP]" caption="REP"/>
    <dimension name="Returns" uniqueName="[Returns]" caption="Returns"/>
  </dimensions>
  <measureGroups count="3">
    <measureGroup name="Data" caption="Data"/>
    <measureGroup name="REP" caption="REP"/>
    <measureGroup name="Returns" caption="Returns"/>
  </measureGroups>
  <maps count="5">
    <map measureGroup="0" dimension="0"/>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saveData="0" refreshedBy="Amira" refreshedDate="46139.489655555553" backgroundQuery="1" createdVersion="6" refreshedVersion="6" minRefreshableVersion="3" recordCount="0" supportSubquery="1" supportAdvancedDrill="1">
  <cacheSource type="external" connectionId="1"/>
  <cacheFields count="3">
    <cacheField name="[Data].[Year].[Year]" caption="Year" numFmtId="0" hierarchy="14" level="1">
      <sharedItems containsSemiMixedTypes="0" containsNonDate="0" containsString="0"/>
    </cacheField>
    <cacheField name="[Data].[Gender].[Gender]" caption="Gender" numFmtId="0" hierarchy="5" level="1">
      <sharedItems count="2">
        <s v="Female"/>
        <s v="Male"/>
      </sharedItems>
    </cacheField>
    <cacheField name="[Measures].[Sum of Total]" caption="Sum of Total" numFmtId="0" hierarchy="30" level="32767"/>
  </cacheFields>
  <cacheHierarchies count="55">
    <cacheHierarchy uniqueName="[Data].[Invoice ID]" caption="Invoice ID" attribute="1" defaultMemberUniqueName="[Data].[Invoice ID].[All]" allUniqueName="[Data].[Invoice ID].[All]" dimensionUniqueName="[Data]" displayFolder="" count="0" memberValueDatatype="130" unbalanced="0"/>
    <cacheHierarchy uniqueName="[Data].[Branch]" caption="Branch" attribute="1" defaultMemberUniqueName="[Data].[Branch].[All]" allUniqueName="[Data].[Branch].[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Branch City]" caption="Branch City" attribute="1" defaultMemberUniqueName="[Data].[Branch City].[All]" allUniqueName="[Data].[Branch City].[All]" dimensionUniqueName="[Data]" displayFolder="" count="2" memberValueDatatype="130" unbalanced="0"/>
    <cacheHierarchy uniqueName="[Data].[Customer type]" caption="Customer type" attribute="1" defaultMemberUniqueName="[Data].[Customer type].[All]" allUniqueName="[Data].[Customer type].[All]" dimensionUniqueName="[Data]" displayFolder="" count="0" memberValueDatatype="130" unbalanced="0"/>
    <cacheHierarchy uniqueName="[Data].[Gender]" caption="Gender" attribute="1" defaultMemberUniqueName="[Data].[Gender].[All]" allUniqueName="[Data].[Gender].[All]" dimensionUniqueName="[Data]" displayFolder="" count="2" memberValueDatatype="130" unbalanced="0">
      <fieldsUsage count="2">
        <fieldUsage x="-1"/>
        <fieldUsage x="1"/>
      </fieldsUsage>
    </cacheHierarchy>
    <cacheHierarchy uniqueName="[Data].[Product line]" caption="Product line" attribute="1" defaultMemberUniqueName="[Data].[Product line].[All]" allUniqueName="[Data].[Product line].[All]" dimensionUniqueName="[Data]" displayFolder="" count="2" memberValueDatatype="130" unbalanced="0"/>
    <cacheHierarchy uniqueName="[Data].[Unit price]" caption="Unit price" attribute="1" defaultMemberUniqueName="[Data].[Unit price].[All]" allUniqueName="[Data].[Unit price].[All]" dimensionUniqueName="[Data]" displayFolder="" count="0" memberValueDatatype="5" unbalanced="0"/>
    <cacheHierarchy uniqueName="[Data].[Quantity]" caption="Quantity" attribute="1" defaultMemberUniqueName="[Data].[Quantity].[All]" allUniqueName="[Data].[Quantity].[All]" dimensionUniqueName="[Data]" displayFolder="" count="0" memberValueDatatype="20" unbalanced="0"/>
    <cacheHierarchy uniqueName="[Data].[Tax 5%]" caption="Tax 5%" attribute="1" defaultMemberUniqueName="[Data].[Tax 5%].[All]" allUniqueName="[Data].[Tax 5%].[All]" dimensionUniqueName="[Data]" displayFolder="" count="0" memberValueDatatype="5" unbalanced="0"/>
    <cacheHierarchy uniqueName="[Data].[Total]" caption="Total" attribute="1" defaultMemberUniqueName="[Data].[Total].[All]" allUniqueName="[Data].[Total].[All]" dimensionUniqueName="[Data]" displayFolder="" count="0" memberValueDatatype="5" unbalanced="0"/>
    <cacheHierarchy uniqueName="[Data].[Date]" caption="Date" attribute="1" time="1" defaultMemberUniqueName="[Data].[Date].[All]" allUniqueName="[Data].[Date].[All]" dimensionUniqueName="[Data]" displayFolder="" count="0" memberValueDatatype="7" unbalanced="0"/>
    <cacheHierarchy uniqueName="[Data].[Day]" caption="Day" attribute="1" defaultMemberUniqueName="[Data].[Day].[All]" allUniqueName="[Data].[Day].[All]" dimensionUniqueName="[Data]" displayFolder="" count="0" memberValueDatatype="20" unbalanced="0"/>
    <cacheHierarchy uniqueName="[Data].[Month]" caption="Month" attribute="1" defaultMemberUniqueName="[Data].[Month].[All]" allUniqueName="[Data].[Month].[All]" dimensionUniqueName="[Data]" displayFolder="" count="0" memberValueDatatype="20" unbalanced="0"/>
    <cacheHierarchy uniqueName="[Data].[Year]" caption="Year" attribute="1" defaultMemberUniqueName="[Data].[Year].[All]" allUniqueName="[Data].[Year].[All]" dimensionUniqueName="[Data]" displayFolder="" count="2" memberValueDatatype="20" unbalanced="0">
      <fieldsUsage count="2">
        <fieldUsage x="-1"/>
        <fieldUsage x="0"/>
      </fieldsUsage>
    </cacheHierarchy>
    <cacheHierarchy uniqueName="[Data].[Time]" caption="Time" attribute="1" time="1" defaultMemberUniqueName="[Data].[Time].[All]" allUniqueName="[Data].[Time].[All]" dimensionUniqueName="[Data]" displayFolder="" count="0" memberValueDatatype="7" unbalanced="0"/>
    <cacheHierarchy uniqueName="[Data].[Payment]" caption="Payment" attribute="1" defaultMemberUniqueName="[Data].[Payment].[All]" allUniqueName="[Data].[Payment].[All]" dimensionUniqueName="[Data]" displayFolder="" count="0" memberValueDatatype="130" unbalanced="0"/>
    <cacheHierarchy uniqueName="[Data].[cogs]" caption="cogs" attribute="1" defaultMemberUniqueName="[Data].[cogs].[All]" allUniqueName="[Data].[cogs].[All]" dimensionUniqueName="[Data]" displayFolder="" count="0" memberValueDatatype="5" unbalanced="0"/>
    <cacheHierarchy uniqueName="[Data].[Net Profit]" caption="Net Profit" attribute="1" defaultMemberUniqueName="[Data].[Net Profit].[All]" allUniqueName="[Data].[Net Profit].[All]" dimensionUniqueName="[Data]" displayFolder="" count="0" memberValueDatatype="5" unbalanced="0"/>
    <cacheHierarchy uniqueName="[Data].[Rating]" caption="Rating" attribute="1" defaultMemberUniqueName="[Data].[Rating].[All]" allUniqueName="[Data].[Rating].[All]" dimensionUniqueName="[Data]" displayFolder="" count="0" memberValueDatatype="5" unbalanced="0"/>
    <cacheHierarchy uniqueName="[Data].[Time (Hour)]" caption="Time (Hour)" attribute="1" defaultMemberUniqueName="[Data].[Time (Hour)].[All]" allUniqueName="[Data].[Time (Hour)].[All]" dimensionUniqueName="[Data]" displayFolder="" count="0" memberValueDatatype="130" unbalanced="0"/>
    <cacheHierarchy uniqueName="[Data].[Time (Minute)]" caption="Time (Minute)" attribute="1" defaultMemberUniqueName="[Data].[Time (Minute)].[All]" allUniqueName="[Data].[Time (Minute)].[All]" dimensionUniqueName="[Data]" displayFolder="" count="0" memberValueDatatype="130" unbalanced="0"/>
    <cacheHierarchy uniqueName="[REP].[city]" caption="city" attribute="1" defaultMemberUniqueName="[REP].[city].[All]" allUniqueName="[REP].[city].[All]" dimensionUniqueName="[REP]" displayFolder="" count="0" memberValueDatatype="130" unbalanced="0"/>
    <cacheHierarchy uniqueName="[REP].[Rep]" caption="Rep" attribute="1" defaultMemberUniqueName="[REP].[Rep].[All]" allUniqueName="[REP].[Rep].[All]" dimensionUniqueName="[REP]" displayFolder="" count="0" memberValueDatatype="130" unbalanced="0"/>
    <cacheHierarchy uniqueName="[Returns].[returns]" caption="returns" attribute="1" defaultMemberUniqueName="[Returns].[returns].[All]" allUniqueName="[Returns].[returns].[All]" dimensionUniqueName="[Returns]" displayFolder="" count="0" memberValueDatatype="130" unbalanced="0"/>
    <cacheHierarchy uniqueName="[Returns].[Invoice ID]" caption="Invoice ID" attribute="1" defaultMemberUniqueName="[Returns].[Invoice ID].[All]" allUniqueName="[Returns].[Invoice ID].[All]" dimensionUniqueName="[Returns]" displayFolder="" count="0" memberValueDatatype="130" unbalanced="0"/>
    <cacheHierarchy uniqueName="[Measures].[__XL_Count REP]" caption="__XL_Count REP" measure="1" displayFolder="" measureGroup="REP" count="0" hidden="1"/>
    <cacheHierarchy uniqueName="[Measures].[__XL_Count Returns]" caption="__XL_Count Returns" measure="1" displayFolder="" measureGroup="Returns" count="0" hidden="1"/>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Total]" caption="Sum of Total" measure="1" displayFolder="" measureGroup="Data"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returns]" caption="Count of returns" measure="1" displayFolder="" measureGroup="Returns" count="0" hidden="1">
      <extLst>
        <ext xmlns:x15="http://schemas.microsoft.com/office/spreadsheetml/2010/11/main" uri="{B97F6D7D-B522-45F9-BDA1-12C45D357490}">
          <x15:cacheHierarchy aggregatedColumn="24"/>
        </ext>
      </extLst>
    </cacheHierarchy>
    <cacheHierarchy uniqueName="[Measures].[Sum of Net Profit]" caption="Sum of Net Profit" measure="1" displayFolder="" measureGroup="Data" count="0" hidden="1">
      <extLst>
        <ext xmlns:x15="http://schemas.microsoft.com/office/spreadsheetml/2010/11/main" uri="{B97F6D7D-B522-45F9-BDA1-12C45D357490}">
          <x15:cacheHierarchy aggregatedColumn="18"/>
        </ext>
      </extLst>
    </cacheHierarchy>
    <cacheHierarchy uniqueName="[Measures].[Sum of cogs]" caption="Sum of cogs" measure="1" displayFolder="" measureGroup="Data" count="0" hidden="1">
      <extLst>
        <ext xmlns:x15="http://schemas.microsoft.com/office/spreadsheetml/2010/11/main" uri="{B97F6D7D-B522-45F9-BDA1-12C45D357490}">
          <x15:cacheHierarchy aggregatedColumn="17"/>
        </ext>
      </extLst>
    </cacheHierarchy>
    <cacheHierarchy uniqueName="[Measures].[Sum of Tax 5%]" caption="Sum of Tax 5%" measure="1" displayFolder="" measureGroup="Data" count="0" hidden="1">
      <extLst>
        <ext xmlns:x15="http://schemas.microsoft.com/office/spreadsheetml/2010/11/main" uri="{B97F6D7D-B522-45F9-BDA1-12C45D357490}">
          <x15:cacheHierarchy aggregatedColumn="9"/>
        </ext>
      </extLst>
    </cacheHierarchy>
    <cacheHierarchy uniqueName="[Measures].[Average of Net Profit]" caption="Average of Net Profit" measure="1" displayFolder="" measureGroup="Data"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8"/>
        </ext>
      </extLst>
    </cacheHierarchy>
    <cacheHierarchy uniqueName="[Measures].[Count of Invoice ID]" caption="Count of Invoice ID" measure="1" displayFolder="" measureGroup="Data" count="0" hidden="1">
      <extLst>
        <ext xmlns:x15="http://schemas.microsoft.com/office/spreadsheetml/2010/11/main" uri="{B97F6D7D-B522-45F9-BDA1-12C45D357490}">
          <x15:cacheHierarchy aggregatedColumn="0"/>
        </ext>
      </extLst>
    </cacheHierarchy>
    <cacheHierarchy uniqueName="[Measures].[Count of Quantity]" caption="Count of Quantity" measure="1" displayFolder="" measureGroup="Data" count="0" hidden="1">
      <extLst>
        <ext xmlns:x15="http://schemas.microsoft.com/office/spreadsheetml/2010/11/main" uri="{B97F6D7D-B522-45F9-BDA1-12C45D357490}">
          <x15:cacheHierarchy aggregatedColumn="8"/>
        </ext>
      </extLst>
    </cacheHierarchy>
    <cacheHierarchy uniqueName="[Measures].[Count of Product line]" caption="Count of Product line" measure="1" displayFolder="" measureGroup="Data" count="0" hidden="1">
      <extLst>
        <ext xmlns:x15="http://schemas.microsoft.com/office/spreadsheetml/2010/11/main" uri="{B97F6D7D-B522-45F9-BDA1-12C45D357490}">
          <x15:cacheHierarchy aggregatedColumn="6"/>
        </ext>
      </extLst>
    </cacheHierarchy>
    <cacheHierarchy uniqueName="[Measures].[Count of Invoice ID 2]" caption="Count of Invoice ID 2" measure="1" displayFolder="" measureGroup="Returns" count="0" hidden="1">
      <extLst>
        <ext xmlns:x15="http://schemas.microsoft.com/office/spreadsheetml/2010/11/main" uri="{B97F6D7D-B522-45F9-BDA1-12C45D357490}">
          <x15:cacheHierarchy aggregatedColumn="25"/>
        </ext>
      </extLst>
    </cacheHierarchy>
    <cacheHierarchy uniqueName="[Measures].[Sum of Rating]" caption="Sum of Rating" measure="1" displayFolder="" measureGroup="Data" count="0" hidden="1">
      <extLst>
        <ext xmlns:x15="http://schemas.microsoft.com/office/spreadsheetml/2010/11/main" uri="{B97F6D7D-B522-45F9-BDA1-12C45D357490}">
          <x15:cacheHierarchy aggregatedColumn="19"/>
        </ext>
      </extLst>
    </cacheHierarchy>
    <cacheHierarchy uniqueName="[Measures].[Average of Rating]" caption="Average of Rating" measure="1" displayFolder="" measureGroup="Data" count="0" hidden="1">
      <extLst>
        <ext xmlns:x15="http://schemas.microsoft.com/office/spreadsheetml/2010/11/main" uri="{B97F6D7D-B522-45F9-BDA1-12C45D357490}">
          <x15:cacheHierarchy aggregatedColumn="19"/>
        </ext>
      </extLst>
    </cacheHierarchy>
    <cacheHierarchy uniqueName="[Measures].[Min of Rating]" caption="Min of Rating" measure="1" displayFolder="" measureGroup="Data" count="0" hidden="1">
      <extLst>
        <ext xmlns:x15="http://schemas.microsoft.com/office/spreadsheetml/2010/11/main" uri="{B97F6D7D-B522-45F9-BDA1-12C45D357490}">
          <x15:cacheHierarchy aggregatedColumn="19"/>
        </ext>
      </extLst>
    </cacheHierarchy>
    <cacheHierarchy uniqueName="[Measures].[Max of Rating]" caption="Max of Rating" measure="1" displayFolder="" measureGroup="Data" count="0" hidden="1">
      <extLst>
        <ext xmlns:x15="http://schemas.microsoft.com/office/spreadsheetml/2010/11/main" uri="{B97F6D7D-B522-45F9-BDA1-12C45D357490}">
          <x15:cacheHierarchy aggregatedColumn="19"/>
        </ext>
      </extLst>
    </cacheHierarchy>
    <cacheHierarchy uniqueName="[Measures].[Count of Rating]" caption="Count of Rating" measure="1" displayFolder="" measureGroup="Data" count="0" hidden="1">
      <extLst>
        <ext xmlns:x15="http://schemas.microsoft.com/office/spreadsheetml/2010/11/main" uri="{B97F6D7D-B522-45F9-BDA1-12C45D357490}">
          <x15:cacheHierarchy aggregatedColumn="19"/>
        </ext>
      </extLst>
    </cacheHierarchy>
    <cacheHierarchy uniqueName="[Measures].[Distinct Count of Rating]" caption="Distinct Count of Rating" measure="1" displayFolder="" measureGroup="Data" count="0" hidden="1">
      <extLst>
        <ext xmlns:x15="http://schemas.microsoft.com/office/spreadsheetml/2010/11/main" uri="{B97F6D7D-B522-45F9-BDA1-12C45D357490}">
          <x15:cacheHierarchy aggregatedColumn="19"/>
        </ext>
      </extLst>
    </cacheHierarchy>
    <cacheHierarchy uniqueName="[Measures].[Distinct Count of Invoice ID]" caption="Distinct Count of Invoice ID" measure="1" displayFolder="" measureGroup="Data" count="0" hidden="1">
      <extLst>
        <ext xmlns:x15="http://schemas.microsoft.com/office/spreadsheetml/2010/11/main" uri="{B97F6D7D-B522-45F9-BDA1-12C45D357490}">
          <x15:cacheHierarchy aggregatedColumn="0"/>
        </ext>
      </extLst>
    </cacheHierarchy>
    <cacheHierarchy uniqueName="[Measures].[Count of Customer type]" caption="Count of Customer type" measure="1" displayFolder="" measureGroup="Data" count="0" hidden="1">
      <extLst>
        <ext xmlns:x15="http://schemas.microsoft.com/office/spreadsheetml/2010/11/main" uri="{B97F6D7D-B522-45F9-BDA1-12C45D357490}">
          <x15:cacheHierarchy aggregatedColumn="4"/>
        </ext>
      </extLst>
    </cacheHierarchy>
    <cacheHierarchy uniqueName="[Measures].[Count of Payment]" caption="Count of Payment" measure="1" displayFolder="" measureGroup="Data" count="0" hidden="1">
      <extLst>
        <ext xmlns:x15="http://schemas.microsoft.com/office/spreadsheetml/2010/11/main" uri="{B97F6D7D-B522-45F9-BDA1-12C45D357490}">
          <x15:cacheHierarchy aggregatedColumn="16"/>
        </ext>
      </extLst>
    </cacheHierarchy>
    <cacheHierarchy uniqueName="[Measures].[Average of Total]" caption="Average of Total" measure="1" displayFolder="" measureGroup="Data" count="0" hidden="1">
      <extLst>
        <ext xmlns:x15="http://schemas.microsoft.com/office/spreadsheetml/2010/11/main" uri="{B97F6D7D-B522-45F9-BDA1-12C45D357490}">
          <x15:cacheHierarchy aggregatedColumn="10"/>
        </ext>
      </extLst>
    </cacheHierarchy>
    <cacheHierarchy uniqueName="[Measures].[Sum of Unit price]" caption="Sum of Unit price" measure="1" displayFolder="" measureGroup="Data" count="0" hidden="1">
      <extLst>
        <ext xmlns:x15="http://schemas.microsoft.com/office/spreadsheetml/2010/11/main" uri="{B97F6D7D-B522-45F9-BDA1-12C45D357490}">
          <x15:cacheHierarchy aggregatedColumn="7"/>
        </ext>
      </extLst>
    </cacheHierarchy>
    <cacheHierarchy uniqueName="[Measures].[Average of Unit price]" caption="Average of Unit price" measure="1" displayFolder="" measureGroup="Data" count="0" hidden="1">
      <extLst>
        <ext xmlns:x15="http://schemas.microsoft.com/office/spreadsheetml/2010/11/main" uri="{B97F6D7D-B522-45F9-BDA1-12C45D357490}">
          <x15:cacheHierarchy aggregatedColumn="7"/>
        </ext>
      </extLst>
    </cacheHierarchy>
    <cacheHierarchy uniqueName="[Measures].[Max of Unit price]" caption="Max of Unit price" measure="1" displayFolder="" measureGroup="Data" count="0" hidden="1">
      <extLst>
        <ext xmlns:x15="http://schemas.microsoft.com/office/spreadsheetml/2010/11/main" uri="{B97F6D7D-B522-45F9-BDA1-12C45D357490}">
          <x15:cacheHierarchy aggregatedColumn="7"/>
        </ext>
      </extLst>
    </cacheHierarchy>
    <cacheHierarchy uniqueName="[Measures].[Min of Unit price]" caption="Min of Unit price" measure="1" displayFolder="" measureGroup="Data" count="0" hidden="1">
      <extLst>
        <ext xmlns:x15="http://schemas.microsoft.com/office/spreadsheetml/2010/11/main" uri="{B97F6D7D-B522-45F9-BDA1-12C45D357490}">
          <x15:cacheHierarchy aggregatedColumn="7"/>
        </ext>
      </extLst>
    </cacheHierarchy>
  </cacheHierarchies>
  <kpis count="0"/>
  <dimensions count="4">
    <dimension name="Data" uniqueName="[Data]" caption="Data"/>
    <dimension measure="1" name="Measures" uniqueName="[Measures]" caption="Measures"/>
    <dimension name="REP" uniqueName="[REP]" caption="REP"/>
    <dimension name="Returns" uniqueName="[Returns]" caption="Returns"/>
  </dimensions>
  <measureGroups count="3">
    <measureGroup name="Data" caption="Data"/>
    <measureGroup name="REP" caption="REP"/>
    <measureGroup name="Returns" caption="Returns"/>
  </measureGroups>
  <maps count="5">
    <map measureGroup="0" dimension="0"/>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saveData="0" refreshedBy="Amira" refreshedDate="46139.48965625" backgroundQuery="1" createdVersion="6" refreshedVersion="6" minRefreshableVersion="3" recordCount="0" supportSubquery="1" supportAdvancedDrill="1">
  <cacheSource type="external" connectionId="1"/>
  <cacheFields count="3">
    <cacheField name="[Data].[Year].[Year]" caption="Year" numFmtId="0" hierarchy="14" level="1">
      <sharedItems containsSemiMixedTypes="0" containsNonDate="0" containsString="0"/>
    </cacheField>
    <cacheField name="[Measures].[Count of Invoice ID]" caption="Count of Invoice ID" numFmtId="0" hierarchy="37" level="32767"/>
    <cacheField name="[Returns].[returns].[returns]" caption="returns" numFmtId="0" hierarchy="24" level="1">
      <sharedItems containsBlank="1" count="2">
        <s v="yes"/>
        <m/>
      </sharedItems>
    </cacheField>
  </cacheFields>
  <cacheHierarchies count="55">
    <cacheHierarchy uniqueName="[Data].[Invoice ID]" caption="Invoice ID" attribute="1" defaultMemberUniqueName="[Data].[Invoice ID].[All]" allUniqueName="[Data].[Invoice ID].[All]" dimensionUniqueName="[Data]" displayFolder="" count="0" memberValueDatatype="130" unbalanced="0"/>
    <cacheHierarchy uniqueName="[Data].[Branch]" caption="Branch" attribute="1" defaultMemberUniqueName="[Data].[Branch].[All]" allUniqueName="[Data].[Branch].[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Branch City]" caption="Branch City" attribute="1" defaultMemberUniqueName="[Data].[Branch City].[All]" allUniqueName="[Data].[Branch City].[All]" dimensionUniqueName="[Data]" displayFolder="" count="2" memberValueDatatype="130" unbalanced="0"/>
    <cacheHierarchy uniqueName="[Data].[Customer type]" caption="Customer type" attribute="1" defaultMemberUniqueName="[Data].[Customer type].[All]" allUniqueName="[Data].[Customer type].[All]" dimensionUniqueName="[Data]" displayFolder="" count="0" memberValueDatatype="130" unbalanced="0"/>
    <cacheHierarchy uniqueName="[Data].[Gender]" caption="Gender" attribute="1" defaultMemberUniqueName="[Data].[Gender].[All]" allUniqueName="[Data].[Gender].[All]" dimensionUniqueName="[Data]" displayFolder="" count="0" memberValueDatatype="130" unbalanced="0"/>
    <cacheHierarchy uniqueName="[Data].[Product line]" caption="Product line" attribute="1" defaultMemberUniqueName="[Data].[Product line].[All]" allUniqueName="[Data].[Product line].[All]" dimensionUniqueName="[Data]" displayFolder="" count="2" memberValueDatatype="130" unbalanced="0"/>
    <cacheHierarchy uniqueName="[Data].[Unit price]" caption="Unit price" attribute="1" defaultMemberUniqueName="[Data].[Unit price].[All]" allUniqueName="[Data].[Unit price].[All]" dimensionUniqueName="[Data]" displayFolder="" count="0" memberValueDatatype="5" unbalanced="0"/>
    <cacheHierarchy uniqueName="[Data].[Quantity]" caption="Quantity" attribute="1" defaultMemberUniqueName="[Data].[Quantity].[All]" allUniqueName="[Data].[Quantity].[All]" dimensionUniqueName="[Data]" displayFolder="" count="0" memberValueDatatype="20" unbalanced="0"/>
    <cacheHierarchy uniqueName="[Data].[Tax 5%]" caption="Tax 5%" attribute="1" defaultMemberUniqueName="[Data].[Tax 5%].[All]" allUniqueName="[Data].[Tax 5%].[All]" dimensionUniqueName="[Data]" displayFolder="" count="0" memberValueDatatype="5" unbalanced="0"/>
    <cacheHierarchy uniqueName="[Data].[Total]" caption="Total" attribute="1" defaultMemberUniqueName="[Data].[Total].[All]" allUniqueName="[Data].[Total].[All]" dimensionUniqueName="[Data]" displayFolder="" count="0" memberValueDatatype="5" unbalanced="0"/>
    <cacheHierarchy uniqueName="[Data].[Date]" caption="Date" attribute="1" time="1" defaultMemberUniqueName="[Data].[Date].[All]" allUniqueName="[Data].[Date].[All]" dimensionUniqueName="[Data]" displayFolder="" count="0" memberValueDatatype="7" unbalanced="0"/>
    <cacheHierarchy uniqueName="[Data].[Day]" caption="Day" attribute="1" defaultMemberUniqueName="[Data].[Day].[All]" allUniqueName="[Data].[Day].[All]" dimensionUniqueName="[Data]" displayFolder="" count="0" memberValueDatatype="20" unbalanced="0"/>
    <cacheHierarchy uniqueName="[Data].[Month]" caption="Month" attribute="1" defaultMemberUniqueName="[Data].[Month].[All]" allUniqueName="[Data].[Month].[All]" dimensionUniqueName="[Data]" displayFolder="" count="0" memberValueDatatype="20" unbalanced="0"/>
    <cacheHierarchy uniqueName="[Data].[Year]" caption="Year" attribute="1" defaultMemberUniqueName="[Data].[Year].[All]" allUniqueName="[Data].[Year].[All]" dimensionUniqueName="[Data]" displayFolder="" count="2" memberValueDatatype="20" unbalanced="0">
      <fieldsUsage count="2">
        <fieldUsage x="-1"/>
        <fieldUsage x="0"/>
      </fieldsUsage>
    </cacheHierarchy>
    <cacheHierarchy uniqueName="[Data].[Time]" caption="Time" attribute="1" time="1" defaultMemberUniqueName="[Data].[Time].[All]" allUniqueName="[Data].[Time].[All]" dimensionUniqueName="[Data]" displayFolder="" count="0" memberValueDatatype="7" unbalanced="0"/>
    <cacheHierarchy uniqueName="[Data].[Payment]" caption="Payment" attribute="1" defaultMemberUniqueName="[Data].[Payment].[All]" allUniqueName="[Data].[Payment].[All]" dimensionUniqueName="[Data]" displayFolder="" count="0" memberValueDatatype="130" unbalanced="0"/>
    <cacheHierarchy uniqueName="[Data].[cogs]" caption="cogs" attribute="1" defaultMemberUniqueName="[Data].[cogs].[All]" allUniqueName="[Data].[cogs].[All]" dimensionUniqueName="[Data]" displayFolder="" count="0" memberValueDatatype="5" unbalanced="0"/>
    <cacheHierarchy uniqueName="[Data].[Net Profit]" caption="Net Profit" attribute="1" defaultMemberUniqueName="[Data].[Net Profit].[All]" allUniqueName="[Data].[Net Profit].[All]" dimensionUniqueName="[Data]" displayFolder="" count="0" memberValueDatatype="5" unbalanced="0"/>
    <cacheHierarchy uniqueName="[Data].[Rating]" caption="Rating" attribute="1" defaultMemberUniqueName="[Data].[Rating].[All]" allUniqueName="[Data].[Rating].[All]" dimensionUniqueName="[Data]" displayFolder="" count="0" memberValueDatatype="5" unbalanced="0"/>
    <cacheHierarchy uniqueName="[Data].[Time (Hour)]" caption="Time (Hour)" attribute="1" defaultMemberUniqueName="[Data].[Time (Hour)].[All]" allUniqueName="[Data].[Time (Hour)].[All]" dimensionUniqueName="[Data]" displayFolder="" count="0" memberValueDatatype="130" unbalanced="0"/>
    <cacheHierarchy uniqueName="[Data].[Time (Minute)]" caption="Time (Minute)" attribute="1" defaultMemberUniqueName="[Data].[Time (Minute)].[All]" allUniqueName="[Data].[Time (Minute)].[All]" dimensionUniqueName="[Data]" displayFolder="" count="0" memberValueDatatype="130" unbalanced="0"/>
    <cacheHierarchy uniqueName="[REP].[city]" caption="city" attribute="1" defaultMemberUniqueName="[REP].[city].[All]" allUniqueName="[REP].[city].[All]" dimensionUniqueName="[REP]" displayFolder="" count="0" memberValueDatatype="130" unbalanced="0"/>
    <cacheHierarchy uniqueName="[REP].[Rep]" caption="Rep" attribute="1" defaultMemberUniqueName="[REP].[Rep].[All]" allUniqueName="[REP].[Rep].[All]" dimensionUniqueName="[REP]" displayFolder="" count="0" memberValueDatatype="130" unbalanced="0"/>
    <cacheHierarchy uniqueName="[Returns].[returns]" caption="returns" attribute="1" defaultMemberUniqueName="[Returns].[returns].[All]" allUniqueName="[Returns].[returns].[All]" dimensionUniqueName="[Returns]" displayFolder="" count="2" memberValueDatatype="130" unbalanced="0">
      <fieldsUsage count="2">
        <fieldUsage x="-1"/>
        <fieldUsage x="2"/>
      </fieldsUsage>
    </cacheHierarchy>
    <cacheHierarchy uniqueName="[Returns].[Invoice ID]" caption="Invoice ID" attribute="1" defaultMemberUniqueName="[Returns].[Invoice ID].[All]" allUniqueName="[Returns].[Invoice ID].[All]" dimensionUniqueName="[Returns]" displayFolder="" count="0" memberValueDatatype="130" unbalanced="0"/>
    <cacheHierarchy uniqueName="[Measures].[__XL_Count REP]" caption="__XL_Count REP" measure="1" displayFolder="" measureGroup="REP" count="0" hidden="1"/>
    <cacheHierarchy uniqueName="[Measures].[__XL_Count Returns]" caption="__XL_Count Returns" measure="1" displayFolder="" measureGroup="Returns" count="0" hidden="1"/>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Total]" caption="Sum of Total" measure="1" displayFolder="" measureGroup="Data" count="0" hidden="1">
      <extLst>
        <ext xmlns:x15="http://schemas.microsoft.com/office/spreadsheetml/2010/11/main" uri="{B97F6D7D-B522-45F9-BDA1-12C45D357490}">
          <x15:cacheHierarchy aggregatedColumn="10"/>
        </ext>
      </extLst>
    </cacheHierarchy>
    <cacheHierarchy uniqueName="[Measures].[Count of returns]" caption="Count of returns" measure="1" displayFolder="" measureGroup="Returns" count="0" hidden="1">
      <extLst>
        <ext xmlns:x15="http://schemas.microsoft.com/office/spreadsheetml/2010/11/main" uri="{B97F6D7D-B522-45F9-BDA1-12C45D357490}">
          <x15:cacheHierarchy aggregatedColumn="24"/>
        </ext>
      </extLst>
    </cacheHierarchy>
    <cacheHierarchy uniqueName="[Measures].[Sum of Net Profit]" caption="Sum of Net Profit" measure="1" displayFolder="" measureGroup="Data" count="0" hidden="1">
      <extLst>
        <ext xmlns:x15="http://schemas.microsoft.com/office/spreadsheetml/2010/11/main" uri="{B97F6D7D-B522-45F9-BDA1-12C45D357490}">
          <x15:cacheHierarchy aggregatedColumn="18"/>
        </ext>
      </extLst>
    </cacheHierarchy>
    <cacheHierarchy uniqueName="[Measures].[Sum of cogs]" caption="Sum of cogs" measure="1" displayFolder="" measureGroup="Data" count="0" hidden="1">
      <extLst>
        <ext xmlns:x15="http://schemas.microsoft.com/office/spreadsheetml/2010/11/main" uri="{B97F6D7D-B522-45F9-BDA1-12C45D357490}">
          <x15:cacheHierarchy aggregatedColumn="17"/>
        </ext>
      </extLst>
    </cacheHierarchy>
    <cacheHierarchy uniqueName="[Measures].[Sum of Tax 5%]" caption="Sum of Tax 5%" measure="1" displayFolder="" measureGroup="Data" count="0" hidden="1">
      <extLst>
        <ext xmlns:x15="http://schemas.microsoft.com/office/spreadsheetml/2010/11/main" uri="{B97F6D7D-B522-45F9-BDA1-12C45D357490}">
          <x15:cacheHierarchy aggregatedColumn="9"/>
        </ext>
      </extLst>
    </cacheHierarchy>
    <cacheHierarchy uniqueName="[Measures].[Average of Net Profit]" caption="Average of Net Profit" measure="1" displayFolder="" measureGroup="Data"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8"/>
        </ext>
      </extLst>
    </cacheHierarchy>
    <cacheHierarchy uniqueName="[Measures].[Count of Invoice ID]" caption="Count of Invoice ID" measure="1" displayFolder="" measureGroup="Data"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Quantity]" caption="Count of Quantity" measure="1" displayFolder="" measureGroup="Data" count="0" hidden="1">
      <extLst>
        <ext xmlns:x15="http://schemas.microsoft.com/office/spreadsheetml/2010/11/main" uri="{B97F6D7D-B522-45F9-BDA1-12C45D357490}">
          <x15:cacheHierarchy aggregatedColumn="8"/>
        </ext>
      </extLst>
    </cacheHierarchy>
    <cacheHierarchy uniqueName="[Measures].[Count of Product line]" caption="Count of Product line" measure="1" displayFolder="" measureGroup="Data" count="0" hidden="1">
      <extLst>
        <ext xmlns:x15="http://schemas.microsoft.com/office/spreadsheetml/2010/11/main" uri="{B97F6D7D-B522-45F9-BDA1-12C45D357490}">
          <x15:cacheHierarchy aggregatedColumn="6"/>
        </ext>
      </extLst>
    </cacheHierarchy>
    <cacheHierarchy uniqueName="[Measures].[Count of Invoice ID 2]" caption="Count of Invoice ID 2" measure="1" displayFolder="" measureGroup="Returns" count="0" hidden="1">
      <extLst>
        <ext xmlns:x15="http://schemas.microsoft.com/office/spreadsheetml/2010/11/main" uri="{B97F6D7D-B522-45F9-BDA1-12C45D357490}">
          <x15:cacheHierarchy aggregatedColumn="25"/>
        </ext>
      </extLst>
    </cacheHierarchy>
    <cacheHierarchy uniqueName="[Measures].[Sum of Rating]" caption="Sum of Rating" measure="1" displayFolder="" measureGroup="Data" count="0" hidden="1">
      <extLst>
        <ext xmlns:x15="http://schemas.microsoft.com/office/spreadsheetml/2010/11/main" uri="{B97F6D7D-B522-45F9-BDA1-12C45D357490}">
          <x15:cacheHierarchy aggregatedColumn="19"/>
        </ext>
      </extLst>
    </cacheHierarchy>
    <cacheHierarchy uniqueName="[Measures].[Average of Rating]" caption="Average of Rating" measure="1" displayFolder="" measureGroup="Data" count="0" hidden="1">
      <extLst>
        <ext xmlns:x15="http://schemas.microsoft.com/office/spreadsheetml/2010/11/main" uri="{B97F6D7D-B522-45F9-BDA1-12C45D357490}">
          <x15:cacheHierarchy aggregatedColumn="19"/>
        </ext>
      </extLst>
    </cacheHierarchy>
    <cacheHierarchy uniqueName="[Measures].[Min of Rating]" caption="Min of Rating" measure="1" displayFolder="" measureGroup="Data" count="0" hidden="1">
      <extLst>
        <ext xmlns:x15="http://schemas.microsoft.com/office/spreadsheetml/2010/11/main" uri="{B97F6D7D-B522-45F9-BDA1-12C45D357490}">
          <x15:cacheHierarchy aggregatedColumn="19"/>
        </ext>
      </extLst>
    </cacheHierarchy>
    <cacheHierarchy uniqueName="[Measures].[Max of Rating]" caption="Max of Rating" measure="1" displayFolder="" measureGroup="Data" count="0" hidden="1">
      <extLst>
        <ext xmlns:x15="http://schemas.microsoft.com/office/spreadsheetml/2010/11/main" uri="{B97F6D7D-B522-45F9-BDA1-12C45D357490}">
          <x15:cacheHierarchy aggregatedColumn="19"/>
        </ext>
      </extLst>
    </cacheHierarchy>
    <cacheHierarchy uniqueName="[Measures].[Count of Rating]" caption="Count of Rating" measure="1" displayFolder="" measureGroup="Data" count="0" hidden="1">
      <extLst>
        <ext xmlns:x15="http://schemas.microsoft.com/office/spreadsheetml/2010/11/main" uri="{B97F6D7D-B522-45F9-BDA1-12C45D357490}">
          <x15:cacheHierarchy aggregatedColumn="19"/>
        </ext>
      </extLst>
    </cacheHierarchy>
    <cacheHierarchy uniqueName="[Measures].[Distinct Count of Rating]" caption="Distinct Count of Rating" measure="1" displayFolder="" measureGroup="Data" count="0" hidden="1">
      <extLst>
        <ext xmlns:x15="http://schemas.microsoft.com/office/spreadsheetml/2010/11/main" uri="{B97F6D7D-B522-45F9-BDA1-12C45D357490}">
          <x15:cacheHierarchy aggregatedColumn="19"/>
        </ext>
      </extLst>
    </cacheHierarchy>
    <cacheHierarchy uniqueName="[Measures].[Distinct Count of Invoice ID]" caption="Distinct Count of Invoice ID" measure="1" displayFolder="" measureGroup="Data" count="0" hidden="1">
      <extLst>
        <ext xmlns:x15="http://schemas.microsoft.com/office/spreadsheetml/2010/11/main" uri="{B97F6D7D-B522-45F9-BDA1-12C45D357490}">
          <x15:cacheHierarchy aggregatedColumn="0"/>
        </ext>
      </extLst>
    </cacheHierarchy>
    <cacheHierarchy uniqueName="[Measures].[Count of Customer type]" caption="Count of Customer type" measure="1" displayFolder="" measureGroup="Data" count="0" hidden="1">
      <extLst>
        <ext xmlns:x15="http://schemas.microsoft.com/office/spreadsheetml/2010/11/main" uri="{B97F6D7D-B522-45F9-BDA1-12C45D357490}">
          <x15:cacheHierarchy aggregatedColumn="4"/>
        </ext>
      </extLst>
    </cacheHierarchy>
    <cacheHierarchy uniqueName="[Measures].[Count of Payment]" caption="Count of Payment" measure="1" displayFolder="" measureGroup="Data" count="0" hidden="1">
      <extLst>
        <ext xmlns:x15="http://schemas.microsoft.com/office/spreadsheetml/2010/11/main" uri="{B97F6D7D-B522-45F9-BDA1-12C45D357490}">
          <x15:cacheHierarchy aggregatedColumn="16"/>
        </ext>
      </extLst>
    </cacheHierarchy>
    <cacheHierarchy uniqueName="[Measures].[Average of Total]" caption="Average of Total" measure="1" displayFolder="" measureGroup="Data" count="0" hidden="1">
      <extLst>
        <ext xmlns:x15="http://schemas.microsoft.com/office/spreadsheetml/2010/11/main" uri="{B97F6D7D-B522-45F9-BDA1-12C45D357490}">
          <x15:cacheHierarchy aggregatedColumn="10"/>
        </ext>
      </extLst>
    </cacheHierarchy>
    <cacheHierarchy uniqueName="[Measures].[Sum of Unit price]" caption="Sum of Unit price" measure="1" displayFolder="" measureGroup="Data" count="0" hidden="1">
      <extLst>
        <ext xmlns:x15="http://schemas.microsoft.com/office/spreadsheetml/2010/11/main" uri="{B97F6D7D-B522-45F9-BDA1-12C45D357490}">
          <x15:cacheHierarchy aggregatedColumn="7"/>
        </ext>
      </extLst>
    </cacheHierarchy>
    <cacheHierarchy uniqueName="[Measures].[Average of Unit price]" caption="Average of Unit price" measure="1" displayFolder="" measureGroup="Data" count="0" hidden="1">
      <extLst>
        <ext xmlns:x15="http://schemas.microsoft.com/office/spreadsheetml/2010/11/main" uri="{B97F6D7D-B522-45F9-BDA1-12C45D357490}">
          <x15:cacheHierarchy aggregatedColumn="7"/>
        </ext>
      </extLst>
    </cacheHierarchy>
    <cacheHierarchy uniqueName="[Measures].[Max of Unit price]" caption="Max of Unit price" measure="1" displayFolder="" measureGroup="Data" count="0" hidden="1">
      <extLst>
        <ext xmlns:x15="http://schemas.microsoft.com/office/spreadsheetml/2010/11/main" uri="{B97F6D7D-B522-45F9-BDA1-12C45D357490}">
          <x15:cacheHierarchy aggregatedColumn="7"/>
        </ext>
      </extLst>
    </cacheHierarchy>
    <cacheHierarchy uniqueName="[Measures].[Min of Unit price]" caption="Min of Unit price" measure="1" displayFolder="" measureGroup="Data" count="0" hidden="1">
      <extLst>
        <ext xmlns:x15="http://schemas.microsoft.com/office/spreadsheetml/2010/11/main" uri="{B97F6D7D-B522-45F9-BDA1-12C45D357490}">
          <x15:cacheHierarchy aggregatedColumn="7"/>
        </ext>
      </extLst>
    </cacheHierarchy>
  </cacheHierarchies>
  <kpis count="0"/>
  <dimensions count="4">
    <dimension name="Data" uniqueName="[Data]" caption="Data"/>
    <dimension measure="1" name="Measures" uniqueName="[Measures]" caption="Measures"/>
    <dimension name="REP" uniqueName="[REP]" caption="REP"/>
    <dimension name="Returns" uniqueName="[Returns]" caption="Returns"/>
  </dimensions>
  <measureGroups count="3">
    <measureGroup name="Data" caption="Data"/>
    <measureGroup name="REP" caption="REP"/>
    <measureGroup name="Returns" caption="Returns"/>
  </measureGroups>
  <maps count="5">
    <map measureGroup="0" dimension="0"/>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saveData="0" refreshedBy="Amira" refreshedDate="46139.489656944446" backgroundQuery="1" createdVersion="6" refreshedVersion="6" minRefreshableVersion="3" recordCount="0" supportSubquery="1" supportAdvancedDrill="1">
  <cacheSource type="external" connectionId="1"/>
  <cacheFields count="3">
    <cacheField name="[Data].[Year].[Year]" caption="Year" numFmtId="0" hierarchy="14" level="1">
      <sharedItems containsSemiMixedTypes="0" containsNonDate="0" containsString="0"/>
    </cacheField>
    <cacheField name="[Returns].[returns].[returns]" caption="returns" numFmtId="0" hierarchy="24" level="1">
      <sharedItems containsBlank="1" count="2">
        <s v="yes"/>
        <m/>
      </sharedItems>
    </cacheField>
    <cacheField name="[Measures].[Sum of Quantity]" caption="Sum of Quantity" numFmtId="0" hierarchy="36" level="32767"/>
  </cacheFields>
  <cacheHierarchies count="55">
    <cacheHierarchy uniqueName="[Data].[Invoice ID]" caption="Invoice ID" attribute="1" defaultMemberUniqueName="[Data].[Invoice ID].[All]" allUniqueName="[Data].[Invoice ID].[All]" dimensionUniqueName="[Data]" displayFolder="" count="0" memberValueDatatype="130" unbalanced="0"/>
    <cacheHierarchy uniqueName="[Data].[Branch]" caption="Branch" attribute="1" defaultMemberUniqueName="[Data].[Branch].[All]" allUniqueName="[Data].[Branch].[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Branch City]" caption="Branch City" attribute="1" defaultMemberUniqueName="[Data].[Branch City].[All]" allUniqueName="[Data].[Branch City].[All]" dimensionUniqueName="[Data]" displayFolder="" count="2" memberValueDatatype="130" unbalanced="0"/>
    <cacheHierarchy uniqueName="[Data].[Customer type]" caption="Customer type" attribute="1" defaultMemberUniqueName="[Data].[Customer type].[All]" allUniqueName="[Data].[Customer type].[All]" dimensionUniqueName="[Data]" displayFolder="" count="0" memberValueDatatype="130" unbalanced="0"/>
    <cacheHierarchy uniqueName="[Data].[Gender]" caption="Gender" attribute="1" defaultMemberUniqueName="[Data].[Gender].[All]" allUniqueName="[Data].[Gender].[All]" dimensionUniqueName="[Data]" displayFolder="" count="0" memberValueDatatype="130" unbalanced="0"/>
    <cacheHierarchy uniqueName="[Data].[Product line]" caption="Product line" attribute="1" defaultMemberUniqueName="[Data].[Product line].[All]" allUniqueName="[Data].[Product line].[All]" dimensionUniqueName="[Data]" displayFolder="" count="2" memberValueDatatype="130" unbalanced="0"/>
    <cacheHierarchy uniqueName="[Data].[Unit price]" caption="Unit price" attribute="1" defaultMemberUniqueName="[Data].[Unit price].[All]" allUniqueName="[Data].[Unit price].[All]" dimensionUniqueName="[Data]" displayFolder="" count="0" memberValueDatatype="5" unbalanced="0"/>
    <cacheHierarchy uniqueName="[Data].[Quantity]" caption="Quantity" attribute="1" defaultMemberUniqueName="[Data].[Quantity].[All]" allUniqueName="[Data].[Quantity].[All]" dimensionUniqueName="[Data]" displayFolder="" count="0" memberValueDatatype="20" unbalanced="0"/>
    <cacheHierarchy uniqueName="[Data].[Tax 5%]" caption="Tax 5%" attribute="1" defaultMemberUniqueName="[Data].[Tax 5%].[All]" allUniqueName="[Data].[Tax 5%].[All]" dimensionUniqueName="[Data]" displayFolder="" count="0" memberValueDatatype="5" unbalanced="0"/>
    <cacheHierarchy uniqueName="[Data].[Total]" caption="Total" attribute="1" defaultMemberUniqueName="[Data].[Total].[All]" allUniqueName="[Data].[Total].[All]" dimensionUniqueName="[Data]" displayFolder="" count="0" memberValueDatatype="5" unbalanced="0"/>
    <cacheHierarchy uniqueName="[Data].[Date]" caption="Date" attribute="1" time="1" defaultMemberUniqueName="[Data].[Date].[All]" allUniqueName="[Data].[Date].[All]" dimensionUniqueName="[Data]" displayFolder="" count="0" memberValueDatatype="7" unbalanced="0"/>
    <cacheHierarchy uniqueName="[Data].[Day]" caption="Day" attribute="1" defaultMemberUniqueName="[Data].[Day].[All]" allUniqueName="[Data].[Day].[All]" dimensionUniqueName="[Data]" displayFolder="" count="0" memberValueDatatype="20" unbalanced="0"/>
    <cacheHierarchy uniqueName="[Data].[Month]" caption="Month" attribute="1" defaultMemberUniqueName="[Data].[Month].[All]" allUniqueName="[Data].[Month].[All]" dimensionUniqueName="[Data]" displayFolder="" count="0" memberValueDatatype="20" unbalanced="0"/>
    <cacheHierarchy uniqueName="[Data].[Year]" caption="Year" attribute="1" defaultMemberUniqueName="[Data].[Year].[All]" allUniqueName="[Data].[Year].[All]" dimensionUniqueName="[Data]" displayFolder="" count="2" memberValueDatatype="20" unbalanced="0">
      <fieldsUsage count="2">
        <fieldUsage x="-1"/>
        <fieldUsage x="0"/>
      </fieldsUsage>
    </cacheHierarchy>
    <cacheHierarchy uniqueName="[Data].[Time]" caption="Time" attribute="1" time="1" defaultMemberUniqueName="[Data].[Time].[All]" allUniqueName="[Data].[Time].[All]" dimensionUniqueName="[Data]" displayFolder="" count="0" memberValueDatatype="7" unbalanced="0"/>
    <cacheHierarchy uniqueName="[Data].[Payment]" caption="Payment" attribute="1" defaultMemberUniqueName="[Data].[Payment].[All]" allUniqueName="[Data].[Payment].[All]" dimensionUniqueName="[Data]" displayFolder="" count="0" memberValueDatatype="130" unbalanced="0"/>
    <cacheHierarchy uniqueName="[Data].[cogs]" caption="cogs" attribute="1" defaultMemberUniqueName="[Data].[cogs].[All]" allUniqueName="[Data].[cogs].[All]" dimensionUniqueName="[Data]" displayFolder="" count="0" memberValueDatatype="5" unbalanced="0"/>
    <cacheHierarchy uniqueName="[Data].[Net Profit]" caption="Net Profit" attribute="1" defaultMemberUniqueName="[Data].[Net Profit].[All]" allUniqueName="[Data].[Net Profit].[All]" dimensionUniqueName="[Data]" displayFolder="" count="0" memberValueDatatype="5" unbalanced="0"/>
    <cacheHierarchy uniqueName="[Data].[Rating]" caption="Rating" attribute="1" defaultMemberUniqueName="[Data].[Rating].[All]" allUniqueName="[Data].[Rating].[All]" dimensionUniqueName="[Data]" displayFolder="" count="0" memberValueDatatype="5" unbalanced="0"/>
    <cacheHierarchy uniqueName="[Data].[Time (Hour)]" caption="Time (Hour)" attribute="1" defaultMemberUniqueName="[Data].[Time (Hour)].[All]" allUniqueName="[Data].[Time (Hour)].[All]" dimensionUniqueName="[Data]" displayFolder="" count="0" memberValueDatatype="130" unbalanced="0"/>
    <cacheHierarchy uniqueName="[Data].[Time (Minute)]" caption="Time (Minute)" attribute="1" defaultMemberUniqueName="[Data].[Time (Minute)].[All]" allUniqueName="[Data].[Time (Minute)].[All]" dimensionUniqueName="[Data]" displayFolder="" count="0" memberValueDatatype="130" unbalanced="0"/>
    <cacheHierarchy uniqueName="[REP].[city]" caption="city" attribute="1" defaultMemberUniqueName="[REP].[city].[All]" allUniqueName="[REP].[city].[All]" dimensionUniqueName="[REP]" displayFolder="" count="0" memberValueDatatype="130" unbalanced="0"/>
    <cacheHierarchy uniqueName="[REP].[Rep]" caption="Rep" attribute="1" defaultMemberUniqueName="[REP].[Rep].[All]" allUniqueName="[REP].[Rep].[All]" dimensionUniqueName="[REP]" displayFolder="" count="0" memberValueDatatype="130" unbalanced="0"/>
    <cacheHierarchy uniqueName="[Returns].[returns]" caption="returns" attribute="1" defaultMemberUniqueName="[Returns].[returns].[All]" allUniqueName="[Returns].[returns].[All]" dimensionUniqueName="[Returns]" displayFolder="" count="2" memberValueDatatype="130" unbalanced="0">
      <fieldsUsage count="2">
        <fieldUsage x="-1"/>
        <fieldUsage x="1"/>
      </fieldsUsage>
    </cacheHierarchy>
    <cacheHierarchy uniqueName="[Returns].[Invoice ID]" caption="Invoice ID" attribute="1" defaultMemberUniqueName="[Returns].[Invoice ID].[All]" allUniqueName="[Returns].[Invoice ID].[All]" dimensionUniqueName="[Returns]" displayFolder="" count="0" memberValueDatatype="130" unbalanced="0"/>
    <cacheHierarchy uniqueName="[Measures].[__XL_Count REP]" caption="__XL_Count REP" measure="1" displayFolder="" measureGroup="REP" count="0" hidden="1"/>
    <cacheHierarchy uniqueName="[Measures].[__XL_Count Returns]" caption="__XL_Count Returns" measure="1" displayFolder="" measureGroup="Returns" count="0" hidden="1"/>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Total]" caption="Sum of Total" measure="1" displayFolder="" measureGroup="Data" count="0" hidden="1">
      <extLst>
        <ext xmlns:x15="http://schemas.microsoft.com/office/spreadsheetml/2010/11/main" uri="{B97F6D7D-B522-45F9-BDA1-12C45D357490}">
          <x15:cacheHierarchy aggregatedColumn="10"/>
        </ext>
      </extLst>
    </cacheHierarchy>
    <cacheHierarchy uniqueName="[Measures].[Count of returns]" caption="Count of returns" measure="1" displayFolder="" measureGroup="Returns" count="0" hidden="1">
      <extLst>
        <ext xmlns:x15="http://schemas.microsoft.com/office/spreadsheetml/2010/11/main" uri="{B97F6D7D-B522-45F9-BDA1-12C45D357490}">
          <x15:cacheHierarchy aggregatedColumn="24"/>
        </ext>
      </extLst>
    </cacheHierarchy>
    <cacheHierarchy uniqueName="[Measures].[Sum of Net Profit]" caption="Sum of Net Profit" measure="1" displayFolder="" measureGroup="Data" count="0" hidden="1">
      <extLst>
        <ext xmlns:x15="http://schemas.microsoft.com/office/spreadsheetml/2010/11/main" uri="{B97F6D7D-B522-45F9-BDA1-12C45D357490}">
          <x15:cacheHierarchy aggregatedColumn="18"/>
        </ext>
      </extLst>
    </cacheHierarchy>
    <cacheHierarchy uniqueName="[Measures].[Sum of cogs]" caption="Sum of cogs" measure="1" displayFolder="" measureGroup="Data" count="0" hidden="1">
      <extLst>
        <ext xmlns:x15="http://schemas.microsoft.com/office/spreadsheetml/2010/11/main" uri="{B97F6D7D-B522-45F9-BDA1-12C45D357490}">
          <x15:cacheHierarchy aggregatedColumn="17"/>
        </ext>
      </extLst>
    </cacheHierarchy>
    <cacheHierarchy uniqueName="[Measures].[Sum of Tax 5%]" caption="Sum of Tax 5%" measure="1" displayFolder="" measureGroup="Data" count="0" hidden="1">
      <extLst>
        <ext xmlns:x15="http://schemas.microsoft.com/office/spreadsheetml/2010/11/main" uri="{B97F6D7D-B522-45F9-BDA1-12C45D357490}">
          <x15:cacheHierarchy aggregatedColumn="9"/>
        </ext>
      </extLst>
    </cacheHierarchy>
    <cacheHierarchy uniqueName="[Measures].[Average of Net Profit]" caption="Average of Net Profit" measure="1" displayFolder="" measureGroup="Data"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Data" count="0" oneField="1" hidden="1">
      <fieldsUsage count="1">
        <fieldUsage x="2"/>
      </fieldsUsage>
      <extLst>
        <ext xmlns:x15="http://schemas.microsoft.com/office/spreadsheetml/2010/11/main" uri="{B97F6D7D-B522-45F9-BDA1-12C45D357490}">
          <x15:cacheHierarchy aggregatedColumn="8"/>
        </ext>
      </extLst>
    </cacheHierarchy>
    <cacheHierarchy uniqueName="[Measures].[Count of Invoice ID]" caption="Count of Invoice ID" measure="1" displayFolder="" measureGroup="Data" count="0" hidden="1">
      <extLst>
        <ext xmlns:x15="http://schemas.microsoft.com/office/spreadsheetml/2010/11/main" uri="{B97F6D7D-B522-45F9-BDA1-12C45D357490}">
          <x15:cacheHierarchy aggregatedColumn="0"/>
        </ext>
      </extLst>
    </cacheHierarchy>
    <cacheHierarchy uniqueName="[Measures].[Count of Quantity]" caption="Count of Quantity" measure="1" displayFolder="" measureGroup="Data" count="0" hidden="1">
      <extLst>
        <ext xmlns:x15="http://schemas.microsoft.com/office/spreadsheetml/2010/11/main" uri="{B97F6D7D-B522-45F9-BDA1-12C45D357490}">
          <x15:cacheHierarchy aggregatedColumn="8"/>
        </ext>
      </extLst>
    </cacheHierarchy>
    <cacheHierarchy uniqueName="[Measures].[Count of Product line]" caption="Count of Product line" measure="1" displayFolder="" measureGroup="Data" count="0" hidden="1">
      <extLst>
        <ext xmlns:x15="http://schemas.microsoft.com/office/spreadsheetml/2010/11/main" uri="{B97F6D7D-B522-45F9-BDA1-12C45D357490}">
          <x15:cacheHierarchy aggregatedColumn="6"/>
        </ext>
      </extLst>
    </cacheHierarchy>
    <cacheHierarchy uniqueName="[Measures].[Count of Invoice ID 2]" caption="Count of Invoice ID 2" measure="1" displayFolder="" measureGroup="Returns" count="0" hidden="1">
      <extLst>
        <ext xmlns:x15="http://schemas.microsoft.com/office/spreadsheetml/2010/11/main" uri="{B97F6D7D-B522-45F9-BDA1-12C45D357490}">
          <x15:cacheHierarchy aggregatedColumn="25"/>
        </ext>
      </extLst>
    </cacheHierarchy>
    <cacheHierarchy uniqueName="[Measures].[Sum of Rating]" caption="Sum of Rating" measure="1" displayFolder="" measureGroup="Data" count="0" hidden="1">
      <extLst>
        <ext xmlns:x15="http://schemas.microsoft.com/office/spreadsheetml/2010/11/main" uri="{B97F6D7D-B522-45F9-BDA1-12C45D357490}">
          <x15:cacheHierarchy aggregatedColumn="19"/>
        </ext>
      </extLst>
    </cacheHierarchy>
    <cacheHierarchy uniqueName="[Measures].[Average of Rating]" caption="Average of Rating" measure="1" displayFolder="" measureGroup="Data" count="0" hidden="1">
      <extLst>
        <ext xmlns:x15="http://schemas.microsoft.com/office/spreadsheetml/2010/11/main" uri="{B97F6D7D-B522-45F9-BDA1-12C45D357490}">
          <x15:cacheHierarchy aggregatedColumn="19"/>
        </ext>
      </extLst>
    </cacheHierarchy>
    <cacheHierarchy uniqueName="[Measures].[Min of Rating]" caption="Min of Rating" measure="1" displayFolder="" measureGroup="Data" count="0" hidden="1">
      <extLst>
        <ext xmlns:x15="http://schemas.microsoft.com/office/spreadsheetml/2010/11/main" uri="{B97F6D7D-B522-45F9-BDA1-12C45D357490}">
          <x15:cacheHierarchy aggregatedColumn="19"/>
        </ext>
      </extLst>
    </cacheHierarchy>
    <cacheHierarchy uniqueName="[Measures].[Max of Rating]" caption="Max of Rating" measure="1" displayFolder="" measureGroup="Data" count="0" hidden="1">
      <extLst>
        <ext xmlns:x15="http://schemas.microsoft.com/office/spreadsheetml/2010/11/main" uri="{B97F6D7D-B522-45F9-BDA1-12C45D357490}">
          <x15:cacheHierarchy aggregatedColumn="19"/>
        </ext>
      </extLst>
    </cacheHierarchy>
    <cacheHierarchy uniqueName="[Measures].[Count of Rating]" caption="Count of Rating" measure="1" displayFolder="" measureGroup="Data" count="0" hidden="1">
      <extLst>
        <ext xmlns:x15="http://schemas.microsoft.com/office/spreadsheetml/2010/11/main" uri="{B97F6D7D-B522-45F9-BDA1-12C45D357490}">
          <x15:cacheHierarchy aggregatedColumn="19"/>
        </ext>
      </extLst>
    </cacheHierarchy>
    <cacheHierarchy uniqueName="[Measures].[Distinct Count of Rating]" caption="Distinct Count of Rating" measure="1" displayFolder="" measureGroup="Data" count="0" hidden="1">
      <extLst>
        <ext xmlns:x15="http://schemas.microsoft.com/office/spreadsheetml/2010/11/main" uri="{B97F6D7D-B522-45F9-BDA1-12C45D357490}">
          <x15:cacheHierarchy aggregatedColumn="19"/>
        </ext>
      </extLst>
    </cacheHierarchy>
    <cacheHierarchy uniqueName="[Measures].[Distinct Count of Invoice ID]" caption="Distinct Count of Invoice ID" measure="1" displayFolder="" measureGroup="Data" count="0" hidden="1">
      <extLst>
        <ext xmlns:x15="http://schemas.microsoft.com/office/spreadsheetml/2010/11/main" uri="{B97F6D7D-B522-45F9-BDA1-12C45D357490}">
          <x15:cacheHierarchy aggregatedColumn="0"/>
        </ext>
      </extLst>
    </cacheHierarchy>
    <cacheHierarchy uniqueName="[Measures].[Count of Customer type]" caption="Count of Customer type" measure="1" displayFolder="" measureGroup="Data" count="0" hidden="1">
      <extLst>
        <ext xmlns:x15="http://schemas.microsoft.com/office/spreadsheetml/2010/11/main" uri="{B97F6D7D-B522-45F9-BDA1-12C45D357490}">
          <x15:cacheHierarchy aggregatedColumn="4"/>
        </ext>
      </extLst>
    </cacheHierarchy>
    <cacheHierarchy uniqueName="[Measures].[Count of Payment]" caption="Count of Payment" measure="1" displayFolder="" measureGroup="Data" count="0" hidden="1">
      <extLst>
        <ext xmlns:x15="http://schemas.microsoft.com/office/spreadsheetml/2010/11/main" uri="{B97F6D7D-B522-45F9-BDA1-12C45D357490}">
          <x15:cacheHierarchy aggregatedColumn="16"/>
        </ext>
      </extLst>
    </cacheHierarchy>
    <cacheHierarchy uniqueName="[Measures].[Average of Total]" caption="Average of Total" measure="1" displayFolder="" measureGroup="Data" count="0" hidden="1">
      <extLst>
        <ext xmlns:x15="http://schemas.microsoft.com/office/spreadsheetml/2010/11/main" uri="{B97F6D7D-B522-45F9-BDA1-12C45D357490}">
          <x15:cacheHierarchy aggregatedColumn="10"/>
        </ext>
      </extLst>
    </cacheHierarchy>
    <cacheHierarchy uniqueName="[Measures].[Sum of Unit price]" caption="Sum of Unit price" measure="1" displayFolder="" measureGroup="Data" count="0" hidden="1">
      <extLst>
        <ext xmlns:x15="http://schemas.microsoft.com/office/spreadsheetml/2010/11/main" uri="{B97F6D7D-B522-45F9-BDA1-12C45D357490}">
          <x15:cacheHierarchy aggregatedColumn="7"/>
        </ext>
      </extLst>
    </cacheHierarchy>
    <cacheHierarchy uniqueName="[Measures].[Average of Unit price]" caption="Average of Unit price" measure="1" displayFolder="" measureGroup="Data" count="0" hidden="1">
      <extLst>
        <ext xmlns:x15="http://schemas.microsoft.com/office/spreadsheetml/2010/11/main" uri="{B97F6D7D-B522-45F9-BDA1-12C45D357490}">
          <x15:cacheHierarchy aggregatedColumn="7"/>
        </ext>
      </extLst>
    </cacheHierarchy>
    <cacheHierarchy uniqueName="[Measures].[Max of Unit price]" caption="Max of Unit price" measure="1" displayFolder="" measureGroup="Data" count="0" hidden="1">
      <extLst>
        <ext xmlns:x15="http://schemas.microsoft.com/office/spreadsheetml/2010/11/main" uri="{B97F6D7D-B522-45F9-BDA1-12C45D357490}">
          <x15:cacheHierarchy aggregatedColumn="7"/>
        </ext>
      </extLst>
    </cacheHierarchy>
    <cacheHierarchy uniqueName="[Measures].[Min of Unit price]" caption="Min of Unit price" measure="1" displayFolder="" measureGroup="Data" count="0" hidden="1">
      <extLst>
        <ext xmlns:x15="http://schemas.microsoft.com/office/spreadsheetml/2010/11/main" uri="{B97F6D7D-B522-45F9-BDA1-12C45D357490}">
          <x15:cacheHierarchy aggregatedColumn="7"/>
        </ext>
      </extLst>
    </cacheHierarchy>
  </cacheHierarchies>
  <kpis count="0"/>
  <dimensions count="4">
    <dimension name="Data" uniqueName="[Data]" caption="Data"/>
    <dimension measure="1" name="Measures" uniqueName="[Measures]" caption="Measures"/>
    <dimension name="REP" uniqueName="[REP]" caption="REP"/>
    <dimension name="Returns" uniqueName="[Returns]" caption="Returns"/>
  </dimensions>
  <measureGroups count="3">
    <measureGroup name="Data" caption="Data"/>
    <measureGroup name="REP" caption="REP"/>
    <measureGroup name="Returns" caption="Returns"/>
  </measureGroups>
  <maps count="5">
    <map measureGroup="0" dimension="0"/>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saveData="0" refreshedBy="Amira" refreshedDate="46139.489657407408" backgroundQuery="1" createdVersion="6" refreshedVersion="6" minRefreshableVersion="3" recordCount="0" supportSubquery="1" supportAdvancedDrill="1">
  <cacheSource type="external" connectionId="1"/>
  <cacheFields count="4">
    <cacheField name="[Data].[Product line].[Product line]" caption="Product line" numFmtId="0" hierarchy="6" level="1">
      <sharedItems count="6">
        <s v="Electronic accessories"/>
        <s v="Fashion accessories"/>
        <s v="Food and beverages"/>
        <s v="Health and beauty"/>
        <s v="Home and lifestyle"/>
        <s v="Sports and travel"/>
      </sharedItems>
    </cacheField>
    <cacheField name="[Measures].[Sum of Quantity]" caption="Sum of Quantity" numFmtId="0" hierarchy="36" level="32767"/>
    <cacheField name="[Returns].[returns].[returns]" caption="returns" numFmtId="0" hierarchy="24" level="1">
      <sharedItems containsBlank="1" count="2">
        <s v="yes"/>
        <m/>
      </sharedItems>
    </cacheField>
    <cacheField name="[Data].[Year].[Year]" caption="Year" numFmtId="0" hierarchy="14" level="1">
      <sharedItems containsSemiMixedTypes="0" containsNonDate="0" containsString="0"/>
    </cacheField>
  </cacheFields>
  <cacheHierarchies count="55">
    <cacheHierarchy uniqueName="[Data].[Invoice ID]" caption="Invoice ID" attribute="1" defaultMemberUniqueName="[Data].[Invoice ID].[All]" allUniqueName="[Data].[Invoice ID].[All]" dimensionUniqueName="[Data]" displayFolder="" count="0" memberValueDatatype="130" unbalanced="0"/>
    <cacheHierarchy uniqueName="[Data].[Branch]" caption="Branch" attribute="1" defaultMemberUniqueName="[Data].[Branch].[All]" allUniqueName="[Data].[Branch].[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Branch City]" caption="Branch City" attribute="1" defaultMemberUniqueName="[Data].[Branch City].[All]" allUniqueName="[Data].[Branch City].[All]" dimensionUniqueName="[Data]" displayFolder="" count="2" memberValueDatatype="130" unbalanced="0"/>
    <cacheHierarchy uniqueName="[Data].[Customer type]" caption="Customer type" attribute="1" defaultMemberUniqueName="[Data].[Customer type].[All]" allUniqueName="[Data].[Customer type].[All]" dimensionUniqueName="[Data]" displayFolder="" count="0" memberValueDatatype="130" unbalanced="0"/>
    <cacheHierarchy uniqueName="[Data].[Gender]" caption="Gender" attribute="1" defaultMemberUniqueName="[Data].[Gender].[All]" allUniqueName="[Data].[Gender].[All]" dimensionUniqueName="[Data]" displayFolder="" count="0" memberValueDatatype="130" unbalanced="0"/>
    <cacheHierarchy uniqueName="[Data].[Product line]" caption="Product line" attribute="1" defaultMemberUniqueName="[Data].[Product line].[All]" allUniqueName="[Data].[Product line].[All]" dimensionUniqueName="[Data]" displayFolder="" count="2" memberValueDatatype="130" unbalanced="0">
      <fieldsUsage count="2">
        <fieldUsage x="-1"/>
        <fieldUsage x="0"/>
      </fieldsUsage>
    </cacheHierarchy>
    <cacheHierarchy uniqueName="[Data].[Unit price]" caption="Unit price" attribute="1" defaultMemberUniqueName="[Data].[Unit price].[All]" allUniqueName="[Data].[Unit price].[All]" dimensionUniqueName="[Data]" displayFolder="" count="0" memberValueDatatype="5" unbalanced="0"/>
    <cacheHierarchy uniqueName="[Data].[Quantity]" caption="Quantity" attribute="1" defaultMemberUniqueName="[Data].[Quantity].[All]" allUniqueName="[Data].[Quantity].[All]" dimensionUniqueName="[Data]" displayFolder="" count="0" memberValueDatatype="20" unbalanced="0"/>
    <cacheHierarchy uniqueName="[Data].[Tax 5%]" caption="Tax 5%" attribute="1" defaultMemberUniqueName="[Data].[Tax 5%].[All]" allUniqueName="[Data].[Tax 5%].[All]" dimensionUniqueName="[Data]" displayFolder="" count="0" memberValueDatatype="5" unbalanced="0"/>
    <cacheHierarchy uniqueName="[Data].[Total]" caption="Total" attribute="1" defaultMemberUniqueName="[Data].[Total].[All]" allUniqueName="[Data].[Total].[All]" dimensionUniqueName="[Data]" displayFolder="" count="0" memberValueDatatype="5" unbalanced="0"/>
    <cacheHierarchy uniqueName="[Data].[Date]" caption="Date" attribute="1" time="1" defaultMemberUniqueName="[Data].[Date].[All]" allUniqueName="[Data].[Date].[All]" dimensionUniqueName="[Data]" displayFolder="" count="0" memberValueDatatype="7" unbalanced="0"/>
    <cacheHierarchy uniqueName="[Data].[Day]" caption="Day" attribute="1" defaultMemberUniqueName="[Data].[Day].[All]" allUniqueName="[Data].[Day].[All]" dimensionUniqueName="[Data]" displayFolder="" count="0" memberValueDatatype="20" unbalanced="0"/>
    <cacheHierarchy uniqueName="[Data].[Month]" caption="Month" attribute="1" defaultMemberUniqueName="[Data].[Month].[All]" allUniqueName="[Data].[Month].[All]" dimensionUniqueName="[Data]" displayFolder="" count="0" memberValueDatatype="20" unbalanced="0"/>
    <cacheHierarchy uniqueName="[Data].[Year]" caption="Year" attribute="1" defaultMemberUniqueName="[Data].[Year].[All]" allUniqueName="[Data].[Year].[All]" dimensionUniqueName="[Data]" displayFolder="" count="2" memberValueDatatype="20" unbalanced="0">
      <fieldsUsage count="2">
        <fieldUsage x="-1"/>
        <fieldUsage x="3"/>
      </fieldsUsage>
    </cacheHierarchy>
    <cacheHierarchy uniqueName="[Data].[Time]" caption="Time" attribute="1" time="1" defaultMemberUniqueName="[Data].[Time].[All]" allUniqueName="[Data].[Time].[All]" dimensionUniqueName="[Data]" displayFolder="" count="0" memberValueDatatype="7" unbalanced="0"/>
    <cacheHierarchy uniqueName="[Data].[Payment]" caption="Payment" attribute="1" defaultMemberUniqueName="[Data].[Payment].[All]" allUniqueName="[Data].[Payment].[All]" dimensionUniqueName="[Data]" displayFolder="" count="0" memberValueDatatype="130" unbalanced="0"/>
    <cacheHierarchy uniqueName="[Data].[cogs]" caption="cogs" attribute="1" defaultMemberUniqueName="[Data].[cogs].[All]" allUniqueName="[Data].[cogs].[All]" dimensionUniqueName="[Data]" displayFolder="" count="0" memberValueDatatype="5" unbalanced="0"/>
    <cacheHierarchy uniqueName="[Data].[Net Profit]" caption="Net Profit" attribute="1" defaultMemberUniqueName="[Data].[Net Profit].[All]" allUniqueName="[Data].[Net Profit].[All]" dimensionUniqueName="[Data]" displayFolder="" count="0" memberValueDatatype="5" unbalanced="0"/>
    <cacheHierarchy uniqueName="[Data].[Rating]" caption="Rating" attribute="1" defaultMemberUniqueName="[Data].[Rating].[All]" allUniqueName="[Data].[Rating].[All]" dimensionUniqueName="[Data]" displayFolder="" count="0" memberValueDatatype="5" unbalanced="0"/>
    <cacheHierarchy uniqueName="[Data].[Time (Hour)]" caption="Time (Hour)" attribute="1" defaultMemberUniqueName="[Data].[Time (Hour)].[All]" allUniqueName="[Data].[Time (Hour)].[All]" dimensionUniqueName="[Data]" displayFolder="" count="0" memberValueDatatype="130" unbalanced="0"/>
    <cacheHierarchy uniqueName="[Data].[Time (Minute)]" caption="Time (Minute)" attribute="1" defaultMemberUniqueName="[Data].[Time (Minute)].[All]" allUniqueName="[Data].[Time (Minute)].[All]" dimensionUniqueName="[Data]" displayFolder="" count="0" memberValueDatatype="130" unbalanced="0"/>
    <cacheHierarchy uniqueName="[REP].[city]" caption="city" attribute="1" defaultMemberUniqueName="[REP].[city].[All]" allUniqueName="[REP].[city].[All]" dimensionUniqueName="[REP]" displayFolder="" count="0" memberValueDatatype="130" unbalanced="0"/>
    <cacheHierarchy uniqueName="[REP].[Rep]" caption="Rep" attribute="1" defaultMemberUniqueName="[REP].[Rep].[All]" allUniqueName="[REP].[Rep].[All]" dimensionUniqueName="[REP]" displayFolder="" count="0" memberValueDatatype="130" unbalanced="0"/>
    <cacheHierarchy uniqueName="[Returns].[returns]" caption="returns" attribute="1" defaultMemberUniqueName="[Returns].[returns].[All]" allUniqueName="[Returns].[returns].[All]" dimensionUniqueName="[Returns]" displayFolder="" count="2" memberValueDatatype="130" unbalanced="0">
      <fieldsUsage count="2">
        <fieldUsage x="-1"/>
        <fieldUsage x="2"/>
      </fieldsUsage>
    </cacheHierarchy>
    <cacheHierarchy uniqueName="[Returns].[Invoice ID]" caption="Invoice ID" attribute="1" defaultMemberUniqueName="[Returns].[Invoice ID].[All]" allUniqueName="[Returns].[Invoice ID].[All]" dimensionUniqueName="[Returns]" displayFolder="" count="0" memberValueDatatype="130" unbalanced="0"/>
    <cacheHierarchy uniqueName="[Measures].[__XL_Count REP]" caption="__XL_Count REP" measure="1" displayFolder="" measureGroup="REP" count="0" hidden="1"/>
    <cacheHierarchy uniqueName="[Measures].[__XL_Count Returns]" caption="__XL_Count Returns" measure="1" displayFolder="" measureGroup="Returns" count="0" hidden="1"/>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Total]" caption="Sum of Total" measure="1" displayFolder="" measureGroup="Data" count="0" hidden="1">
      <extLst>
        <ext xmlns:x15="http://schemas.microsoft.com/office/spreadsheetml/2010/11/main" uri="{B97F6D7D-B522-45F9-BDA1-12C45D357490}">
          <x15:cacheHierarchy aggregatedColumn="10"/>
        </ext>
      </extLst>
    </cacheHierarchy>
    <cacheHierarchy uniqueName="[Measures].[Count of returns]" caption="Count of returns" measure="1" displayFolder="" measureGroup="Returns" count="0" hidden="1">
      <extLst>
        <ext xmlns:x15="http://schemas.microsoft.com/office/spreadsheetml/2010/11/main" uri="{B97F6D7D-B522-45F9-BDA1-12C45D357490}">
          <x15:cacheHierarchy aggregatedColumn="24"/>
        </ext>
      </extLst>
    </cacheHierarchy>
    <cacheHierarchy uniqueName="[Measures].[Sum of Net Profit]" caption="Sum of Net Profit" measure="1" displayFolder="" measureGroup="Data" count="0" hidden="1">
      <extLst>
        <ext xmlns:x15="http://schemas.microsoft.com/office/spreadsheetml/2010/11/main" uri="{B97F6D7D-B522-45F9-BDA1-12C45D357490}">
          <x15:cacheHierarchy aggregatedColumn="18"/>
        </ext>
      </extLst>
    </cacheHierarchy>
    <cacheHierarchy uniqueName="[Measures].[Sum of cogs]" caption="Sum of cogs" measure="1" displayFolder="" measureGroup="Data" count="0" hidden="1">
      <extLst>
        <ext xmlns:x15="http://schemas.microsoft.com/office/spreadsheetml/2010/11/main" uri="{B97F6D7D-B522-45F9-BDA1-12C45D357490}">
          <x15:cacheHierarchy aggregatedColumn="17"/>
        </ext>
      </extLst>
    </cacheHierarchy>
    <cacheHierarchy uniqueName="[Measures].[Sum of Tax 5%]" caption="Sum of Tax 5%" measure="1" displayFolder="" measureGroup="Data" count="0" hidden="1">
      <extLst>
        <ext xmlns:x15="http://schemas.microsoft.com/office/spreadsheetml/2010/11/main" uri="{B97F6D7D-B522-45F9-BDA1-12C45D357490}">
          <x15:cacheHierarchy aggregatedColumn="9"/>
        </ext>
      </extLst>
    </cacheHierarchy>
    <cacheHierarchy uniqueName="[Measures].[Average of Net Profit]" caption="Average of Net Profit" measure="1" displayFolder="" measureGroup="Data"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Data" count="0" oneField="1" hidden="1">
      <fieldsUsage count="1">
        <fieldUsage x="1"/>
      </fieldsUsage>
      <extLst>
        <ext xmlns:x15="http://schemas.microsoft.com/office/spreadsheetml/2010/11/main" uri="{B97F6D7D-B522-45F9-BDA1-12C45D357490}">
          <x15:cacheHierarchy aggregatedColumn="8"/>
        </ext>
      </extLst>
    </cacheHierarchy>
    <cacheHierarchy uniqueName="[Measures].[Count of Invoice ID]" caption="Count of Invoice ID" measure="1" displayFolder="" measureGroup="Data" count="0" hidden="1">
      <extLst>
        <ext xmlns:x15="http://schemas.microsoft.com/office/spreadsheetml/2010/11/main" uri="{B97F6D7D-B522-45F9-BDA1-12C45D357490}">
          <x15:cacheHierarchy aggregatedColumn="0"/>
        </ext>
      </extLst>
    </cacheHierarchy>
    <cacheHierarchy uniqueName="[Measures].[Count of Quantity]" caption="Count of Quantity" measure="1" displayFolder="" measureGroup="Data" count="0" hidden="1">
      <extLst>
        <ext xmlns:x15="http://schemas.microsoft.com/office/spreadsheetml/2010/11/main" uri="{B97F6D7D-B522-45F9-BDA1-12C45D357490}">
          <x15:cacheHierarchy aggregatedColumn="8"/>
        </ext>
      </extLst>
    </cacheHierarchy>
    <cacheHierarchy uniqueName="[Measures].[Count of Product line]" caption="Count of Product line" measure="1" displayFolder="" measureGroup="Data" count="0" hidden="1">
      <extLst>
        <ext xmlns:x15="http://schemas.microsoft.com/office/spreadsheetml/2010/11/main" uri="{B97F6D7D-B522-45F9-BDA1-12C45D357490}">
          <x15:cacheHierarchy aggregatedColumn="6"/>
        </ext>
      </extLst>
    </cacheHierarchy>
    <cacheHierarchy uniqueName="[Measures].[Count of Invoice ID 2]" caption="Count of Invoice ID 2" measure="1" displayFolder="" measureGroup="Returns" count="0" hidden="1">
      <extLst>
        <ext xmlns:x15="http://schemas.microsoft.com/office/spreadsheetml/2010/11/main" uri="{B97F6D7D-B522-45F9-BDA1-12C45D357490}">
          <x15:cacheHierarchy aggregatedColumn="25"/>
        </ext>
      </extLst>
    </cacheHierarchy>
    <cacheHierarchy uniqueName="[Measures].[Sum of Rating]" caption="Sum of Rating" measure="1" displayFolder="" measureGroup="Data" count="0" hidden="1">
      <extLst>
        <ext xmlns:x15="http://schemas.microsoft.com/office/spreadsheetml/2010/11/main" uri="{B97F6D7D-B522-45F9-BDA1-12C45D357490}">
          <x15:cacheHierarchy aggregatedColumn="19"/>
        </ext>
      </extLst>
    </cacheHierarchy>
    <cacheHierarchy uniqueName="[Measures].[Average of Rating]" caption="Average of Rating" measure="1" displayFolder="" measureGroup="Data" count="0" hidden="1">
      <extLst>
        <ext xmlns:x15="http://schemas.microsoft.com/office/spreadsheetml/2010/11/main" uri="{B97F6D7D-B522-45F9-BDA1-12C45D357490}">
          <x15:cacheHierarchy aggregatedColumn="19"/>
        </ext>
      </extLst>
    </cacheHierarchy>
    <cacheHierarchy uniqueName="[Measures].[Min of Rating]" caption="Min of Rating" measure="1" displayFolder="" measureGroup="Data" count="0" hidden="1">
      <extLst>
        <ext xmlns:x15="http://schemas.microsoft.com/office/spreadsheetml/2010/11/main" uri="{B97F6D7D-B522-45F9-BDA1-12C45D357490}">
          <x15:cacheHierarchy aggregatedColumn="19"/>
        </ext>
      </extLst>
    </cacheHierarchy>
    <cacheHierarchy uniqueName="[Measures].[Max of Rating]" caption="Max of Rating" measure="1" displayFolder="" measureGroup="Data" count="0" hidden="1">
      <extLst>
        <ext xmlns:x15="http://schemas.microsoft.com/office/spreadsheetml/2010/11/main" uri="{B97F6D7D-B522-45F9-BDA1-12C45D357490}">
          <x15:cacheHierarchy aggregatedColumn="19"/>
        </ext>
      </extLst>
    </cacheHierarchy>
    <cacheHierarchy uniqueName="[Measures].[Count of Rating]" caption="Count of Rating" measure="1" displayFolder="" measureGroup="Data" count="0" hidden="1">
      <extLst>
        <ext xmlns:x15="http://schemas.microsoft.com/office/spreadsheetml/2010/11/main" uri="{B97F6D7D-B522-45F9-BDA1-12C45D357490}">
          <x15:cacheHierarchy aggregatedColumn="19"/>
        </ext>
      </extLst>
    </cacheHierarchy>
    <cacheHierarchy uniqueName="[Measures].[Distinct Count of Rating]" caption="Distinct Count of Rating" measure="1" displayFolder="" measureGroup="Data" count="0" hidden="1">
      <extLst>
        <ext xmlns:x15="http://schemas.microsoft.com/office/spreadsheetml/2010/11/main" uri="{B97F6D7D-B522-45F9-BDA1-12C45D357490}">
          <x15:cacheHierarchy aggregatedColumn="19"/>
        </ext>
      </extLst>
    </cacheHierarchy>
    <cacheHierarchy uniqueName="[Measures].[Distinct Count of Invoice ID]" caption="Distinct Count of Invoice ID" measure="1" displayFolder="" measureGroup="Data" count="0" hidden="1">
      <extLst>
        <ext xmlns:x15="http://schemas.microsoft.com/office/spreadsheetml/2010/11/main" uri="{B97F6D7D-B522-45F9-BDA1-12C45D357490}">
          <x15:cacheHierarchy aggregatedColumn="0"/>
        </ext>
      </extLst>
    </cacheHierarchy>
    <cacheHierarchy uniqueName="[Measures].[Count of Customer type]" caption="Count of Customer type" measure="1" displayFolder="" measureGroup="Data" count="0" hidden="1">
      <extLst>
        <ext xmlns:x15="http://schemas.microsoft.com/office/spreadsheetml/2010/11/main" uri="{B97F6D7D-B522-45F9-BDA1-12C45D357490}">
          <x15:cacheHierarchy aggregatedColumn="4"/>
        </ext>
      </extLst>
    </cacheHierarchy>
    <cacheHierarchy uniqueName="[Measures].[Count of Payment]" caption="Count of Payment" measure="1" displayFolder="" measureGroup="Data" count="0" hidden="1">
      <extLst>
        <ext xmlns:x15="http://schemas.microsoft.com/office/spreadsheetml/2010/11/main" uri="{B97F6D7D-B522-45F9-BDA1-12C45D357490}">
          <x15:cacheHierarchy aggregatedColumn="16"/>
        </ext>
      </extLst>
    </cacheHierarchy>
    <cacheHierarchy uniqueName="[Measures].[Average of Total]" caption="Average of Total" measure="1" displayFolder="" measureGroup="Data" count="0" hidden="1">
      <extLst>
        <ext xmlns:x15="http://schemas.microsoft.com/office/spreadsheetml/2010/11/main" uri="{B97F6D7D-B522-45F9-BDA1-12C45D357490}">
          <x15:cacheHierarchy aggregatedColumn="10"/>
        </ext>
      </extLst>
    </cacheHierarchy>
    <cacheHierarchy uniqueName="[Measures].[Sum of Unit price]" caption="Sum of Unit price" measure="1" displayFolder="" measureGroup="Data" count="0" hidden="1">
      <extLst>
        <ext xmlns:x15="http://schemas.microsoft.com/office/spreadsheetml/2010/11/main" uri="{B97F6D7D-B522-45F9-BDA1-12C45D357490}">
          <x15:cacheHierarchy aggregatedColumn="7"/>
        </ext>
      </extLst>
    </cacheHierarchy>
    <cacheHierarchy uniqueName="[Measures].[Average of Unit price]" caption="Average of Unit price" measure="1" displayFolder="" measureGroup="Data" count="0" hidden="1">
      <extLst>
        <ext xmlns:x15="http://schemas.microsoft.com/office/spreadsheetml/2010/11/main" uri="{B97F6D7D-B522-45F9-BDA1-12C45D357490}">
          <x15:cacheHierarchy aggregatedColumn="7"/>
        </ext>
      </extLst>
    </cacheHierarchy>
    <cacheHierarchy uniqueName="[Measures].[Max of Unit price]" caption="Max of Unit price" measure="1" displayFolder="" measureGroup="Data" count="0" hidden="1">
      <extLst>
        <ext xmlns:x15="http://schemas.microsoft.com/office/spreadsheetml/2010/11/main" uri="{B97F6D7D-B522-45F9-BDA1-12C45D357490}">
          <x15:cacheHierarchy aggregatedColumn="7"/>
        </ext>
      </extLst>
    </cacheHierarchy>
    <cacheHierarchy uniqueName="[Measures].[Min of Unit price]" caption="Min of Unit price" measure="1" displayFolder="" measureGroup="Data" count="0" hidden="1">
      <extLst>
        <ext xmlns:x15="http://schemas.microsoft.com/office/spreadsheetml/2010/11/main" uri="{B97F6D7D-B522-45F9-BDA1-12C45D357490}">
          <x15:cacheHierarchy aggregatedColumn="7"/>
        </ext>
      </extLst>
    </cacheHierarchy>
  </cacheHierarchies>
  <kpis count="0"/>
  <dimensions count="4">
    <dimension name="Data" uniqueName="[Data]" caption="Data"/>
    <dimension measure="1" name="Measures" uniqueName="[Measures]" caption="Measures"/>
    <dimension name="REP" uniqueName="[REP]" caption="REP"/>
    <dimension name="Returns" uniqueName="[Returns]" caption="Returns"/>
  </dimensions>
  <measureGroups count="3">
    <measureGroup name="Data" caption="Data"/>
    <measureGroup name="REP" caption="REP"/>
    <measureGroup name="Returns" caption="Returns"/>
  </measureGroups>
  <maps count="5">
    <map measureGroup="0" dimension="0"/>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saveData="0" refreshedBy="Amira" refreshedDate="46139.489657986109" backgroundQuery="1" createdVersion="6" refreshedVersion="6" minRefreshableVersion="3" recordCount="0" supportSubquery="1" supportAdvancedDrill="1">
  <cacheSource type="external" connectionId="1"/>
  <cacheFields count="3">
    <cacheField name="[Data].[Year].[Year]" caption="Year" numFmtId="0" hierarchy="14" level="1">
      <sharedItems containsSemiMixedTypes="0" containsNonDate="0" containsString="0"/>
    </cacheField>
    <cacheField name="[Measures].[Average of Rating]" caption="Average of Rating" numFmtId="0" hierarchy="42" level="32767"/>
    <cacheField name="[REP].[Rep].[Rep]" caption="Rep" numFmtId="0" hierarchy="23" level="1">
      <sharedItems count="3">
        <s v="Ahmed Elminofy"/>
        <s v="Mohamed Elbanhawy"/>
        <s v="Mostafa Eltantawy"/>
      </sharedItems>
    </cacheField>
  </cacheFields>
  <cacheHierarchies count="55">
    <cacheHierarchy uniqueName="[Data].[Invoice ID]" caption="Invoice ID" attribute="1" defaultMemberUniqueName="[Data].[Invoice ID].[All]" allUniqueName="[Data].[Invoice ID].[All]" dimensionUniqueName="[Data]" displayFolder="" count="0" memberValueDatatype="130" unbalanced="0"/>
    <cacheHierarchy uniqueName="[Data].[Branch]" caption="Branch" attribute="1" defaultMemberUniqueName="[Data].[Branch].[All]" allUniqueName="[Data].[Branch].[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Branch City]" caption="Branch City" attribute="1" defaultMemberUniqueName="[Data].[Branch City].[All]" allUniqueName="[Data].[Branch City].[All]" dimensionUniqueName="[Data]" displayFolder="" count="2" memberValueDatatype="130" unbalanced="0"/>
    <cacheHierarchy uniqueName="[Data].[Customer type]" caption="Customer type" attribute="1" defaultMemberUniqueName="[Data].[Customer type].[All]" allUniqueName="[Data].[Customer type].[All]" dimensionUniqueName="[Data]" displayFolder="" count="0" memberValueDatatype="130" unbalanced="0"/>
    <cacheHierarchy uniqueName="[Data].[Gender]" caption="Gender" attribute="1" defaultMemberUniqueName="[Data].[Gender].[All]" allUniqueName="[Data].[Gender].[All]" dimensionUniqueName="[Data]" displayFolder="" count="0" memberValueDatatype="130" unbalanced="0"/>
    <cacheHierarchy uniqueName="[Data].[Product line]" caption="Product line" attribute="1" defaultMemberUniqueName="[Data].[Product line].[All]" allUniqueName="[Data].[Product line].[All]" dimensionUniqueName="[Data]" displayFolder="" count="2" memberValueDatatype="130" unbalanced="0"/>
    <cacheHierarchy uniqueName="[Data].[Unit price]" caption="Unit price" attribute="1" defaultMemberUniqueName="[Data].[Unit price].[All]" allUniqueName="[Data].[Unit price].[All]" dimensionUniqueName="[Data]" displayFolder="" count="0" memberValueDatatype="5" unbalanced="0"/>
    <cacheHierarchy uniqueName="[Data].[Quantity]" caption="Quantity" attribute="1" defaultMemberUniqueName="[Data].[Quantity].[All]" allUniqueName="[Data].[Quantity].[All]" dimensionUniqueName="[Data]" displayFolder="" count="0" memberValueDatatype="20" unbalanced="0"/>
    <cacheHierarchy uniqueName="[Data].[Tax 5%]" caption="Tax 5%" attribute="1" defaultMemberUniqueName="[Data].[Tax 5%].[All]" allUniqueName="[Data].[Tax 5%].[All]" dimensionUniqueName="[Data]" displayFolder="" count="0" memberValueDatatype="5" unbalanced="0"/>
    <cacheHierarchy uniqueName="[Data].[Total]" caption="Total" attribute="1" defaultMemberUniqueName="[Data].[Total].[All]" allUniqueName="[Data].[Total].[All]" dimensionUniqueName="[Data]" displayFolder="" count="0" memberValueDatatype="5" unbalanced="0"/>
    <cacheHierarchy uniqueName="[Data].[Date]" caption="Date" attribute="1" time="1" defaultMemberUniqueName="[Data].[Date].[All]" allUniqueName="[Data].[Date].[All]" dimensionUniqueName="[Data]" displayFolder="" count="0" memberValueDatatype="7" unbalanced="0"/>
    <cacheHierarchy uniqueName="[Data].[Day]" caption="Day" attribute="1" defaultMemberUniqueName="[Data].[Day].[All]" allUniqueName="[Data].[Day].[All]" dimensionUniqueName="[Data]" displayFolder="" count="0" memberValueDatatype="20" unbalanced="0"/>
    <cacheHierarchy uniqueName="[Data].[Month]" caption="Month" attribute="1" defaultMemberUniqueName="[Data].[Month].[All]" allUniqueName="[Data].[Month].[All]" dimensionUniqueName="[Data]" displayFolder="" count="0" memberValueDatatype="20" unbalanced="0"/>
    <cacheHierarchy uniqueName="[Data].[Year]" caption="Year" attribute="1" defaultMemberUniqueName="[Data].[Year].[All]" allUniqueName="[Data].[Year].[All]" dimensionUniqueName="[Data]" displayFolder="" count="2" memberValueDatatype="20" unbalanced="0">
      <fieldsUsage count="2">
        <fieldUsage x="-1"/>
        <fieldUsage x="0"/>
      </fieldsUsage>
    </cacheHierarchy>
    <cacheHierarchy uniqueName="[Data].[Time]" caption="Time" attribute="1" time="1" defaultMemberUniqueName="[Data].[Time].[All]" allUniqueName="[Data].[Time].[All]" dimensionUniqueName="[Data]" displayFolder="" count="0" memberValueDatatype="7" unbalanced="0"/>
    <cacheHierarchy uniqueName="[Data].[Payment]" caption="Payment" attribute="1" defaultMemberUniqueName="[Data].[Payment].[All]" allUniqueName="[Data].[Payment].[All]" dimensionUniqueName="[Data]" displayFolder="" count="0" memberValueDatatype="130" unbalanced="0"/>
    <cacheHierarchy uniqueName="[Data].[cogs]" caption="cogs" attribute="1" defaultMemberUniqueName="[Data].[cogs].[All]" allUniqueName="[Data].[cogs].[All]" dimensionUniqueName="[Data]" displayFolder="" count="0" memberValueDatatype="5" unbalanced="0"/>
    <cacheHierarchy uniqueName="[Data].[Net Profit]" caption="Net Profit" attribute="1" defaultMemberUniqueName="[Data].[Net Profit].[All]" allUniqueName="[Data].[Net Profit].[All]" dimensionUniqueName="[Data]" displayFolder="" count="0" memberValueDatatype="5" unbalanced="0"/>
    <cacheHierarchy uniqueName="[Data].[Rating]" caption="Rating" attribute="1" defaultMemberUniqueName="[Data].[Rating].[All]" allUniqueName="[Data].[Rating].[All]" dimensionUniqueName="[Data]" displayFolder="" count="0" memberValueDatatype="5" unbalanced="0"/>
    <cacheHierarchy uniqueName="[Data].[Time (Hour)]" caption="Time (Hour)" attribute="1" defaultMemberUniqueName="[Data].[Time (Hour)].[All]" allUniqueName="[Data].[Time (Hour)].[All]" dimensionUniqueName="[Data]" displayFolder="" count="0" memberValueDatatype="130" unbalanced="0"/>
    <cacheHierarchy uniqueName="[Data].[Time (Minute)]" caption="Time (Minute)" attribute="1" defaultMemberUniqueName="[Data].[Time (Minute)].[All]" allUniqueName="[Data].[Time (Minute)].[All]" dimensionUniqueName="[Data]" displayFolder="" count="0" memberValueDatatype="130" unbalanced="0"/>
    <cacheHierarchy uniqueName="[REP].[city]" caption="city" attribute="1" defaultMemberUniqueName="[REP].[city].[All]" allUniqueName="[REP].[city].[All]" dimensionUniqueName="[REP]" displayFolder="" count="0" memberValueDatatype="130" unbalanced="0"/>
    <cacheHierarchy uniqueName="[REP].[Rep]" caption="Rep" attribute="1" defaultMemberUniqueName="[REP].[Rep].[All]" allUniqueName="[REP].[Rep].[All]" dimensionUniqueName="[REP]" displayFolder="" count="2" memberValueDatatype="130" unbalanced="0">
      <fieldsUsage count="2">
        <fieldUsage x="-1"/>
        <fieldUsage x="2"/>
      </fieldsUsage>
    </cacheHierarchy>
    <cacheHierarchy uniqueName="[Returns].[returns]" caption="returns" attribute="1" defaultMemberUniqueName="[Returns].[returns].[All]" allUniqueName="[Returns].[returns].[All]" dimensionUniqueName="[Returns]" displayFolder="" count="0" memberValueDatatype="130" unbalanced="0"/>
    <cacheHierarchy uniqueName="[Returns].[Invoice ID]" caption="Invoice ID" attribute="1" defaultMemberUniqueName="[Returns].[Invoice ID].[All]" allUniqueName="[Returns].[Invoice ID].[All]" dimensionUniqueName="[Returns]" displayFolder="" count="0" memberValueDatatype="130" unbalanced="0"/>
    <cacheHierarchy uniqueName="[Measures].[__XL_Count REP]" caption="__XL_Count REP" measure="1" displayFolder="" measureGroup="REP" count="0" hidden="1"/>
    <cacheHierarchy uniqueName="[Measures].[__XL_Count Returns]" caption="__XL_Count Returns" measure="1" displayFolder="" measureGroup="Returns" count="0" hidden="1"/>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Total]" caption="Sum of Total" measure="1" displayFolder="" measureGroup="Data" count="0" hidden="1">
      <extLst>
        <ext xmlns:x15="http://schemas.microsoft.com/office/spreadsheetml/2010/11/main" uri="{B97F6D7D-B522-45F9-BDA1-12C45D357490}">
          <x15:cacheHierarchy aggregatedColumn="10"/>
        </ext>
      </extLst>
    </cacheHierarchy>
    <cacheHierarchy uniqueName="[Measures].[Count of returns]" caption="Count of returns" measure="1" displayFolder="" measureGroup="Returns" count="0" hidden="1">
      <extLst>
        <ext xmlns:x15="http://schemas.microsoft.com/office/spreadsheetml/2010/11/main" uri="{B97F6D7D-B522-45F9-BDA1-12C45D357490}">
          <x15:cacheHierarchy aggregatedColumn="24"/>
        </ext>
      </extLst>
    </cacheHierarchy>
    <cacheHierarchy uniqueName="[Measures].[Sum of Net Profit]" caption="Sum of Net Profit" measure="1" displayFolder="" measureGroup="Data" count="0" hidden="1">
      <extLst>
        <ext xmlns:x15="http://schemas.microsoft.com/office/spreadsheetml/2010/11/main" uri="{B97F6D7D-B522-45F9-BDA1-12C45D357490}">
          <x15:cacheHierarchy aggregatedColumn="18"/>
        </ext>
      </extLst>
    </cacheHierarchy>
    <cacheHierarchy uniqueName="[Measures].[Sum of cogs]" caption="Sum of cogs" measure="1" displayFolder="" measureGroup="Data" count="0" hidden="1">
      <extLst>
        <ext xmlns:x15="http://schemas.microsoft.com/office/spreadsheetml/2010/11/main" uri="{B97F6D7D-B522-45F9-BDA1-12C45D357490}">
          <x15:cacheHierarchy aggregatedColumn="17"/>
        </ext>
      </extLst>
    </cacheHierarchy>
    <cacheHierarchy uniqueName="[Measures].[Sum of Tax 5%]" caption="Sum of Tax 5%" measure="1" displayFolder="" measureGroup="Data" count="0" hidden="1">
      <extLst>
        <ext xmlns:x15="http://schemas.microsoft.com/office/spreadsheetml/2010/11/main" uri="{B97F6D7D-B522-45F9-BDA1-12C45D357490}">
          <x15:cacheHierarchy aggregatedColumn="9"/>
        </ext>
      </extLst>
    </cacheHierarchy>
    <cacheHierarchy uniqueName="[Measures].[Average of Net Profit]" caption="Average of Net Profit" measure="1" displayFolder="" measureGroup="Data"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8"/>
        </ext>
      </extLst>
    </cacheHierarchy>
    <cacheHierarchy uniqueName="[Measures].[Count of Invoice ID]" caption="Count of Invoice ID" measure="1" displayFolder="" measureGroup="Data" count="0" hidden="1">
      <extLst>
        <ext xmlns:x15="http://schemas.microsoft.com/office/spreadsheetml/2010/11/main" uri="{B97F6D7D-B522-45F9-BDA1-12C45D357490}">
          <x15:cacheHierarchy aggregatedColumn="0"/>
        </ext>
      </extLst>
    </cacheHierarchy>
    <cacheHierarchy uniqueName="[Measures].[Count of Quantity]" caption="Count of Quantity" measure="1" displayFolder="" measureGroup="Data" count="0" hidden="1">
      <extLst>
        <ext xmlns:x15="http://schemas.microsoft.com/office/spreadsheetml/2010/11/main" uri="{B97F6D7D-B522-45F9-BDA1-12C45D357490}">
          <x15:cacheHierarchy aggregatedColumn="8"/>
        </ext>
      </extLst>
    </cacheHierarchy>
    <cacheHierarchy uniqueName="[Measures].[Count of Product line]" caption="Count of Product line" measure="1" displayFolder="" measureGroup="Data" count="0" hidden="1">
      <extLst>
        <ext xmlns:x15="http://schemas.microsoft.com/office/spreadsheetml/2010/11/main" uri="{B97F6D7D-B522-45F9-BDA1-12C45D357490}">
          <x15:cacheHierarchy aggregatedColumn="6"/>
        </ext>
      </extLst>
    </cacheHierarchy>
    <cacheHierarchy uniqueName="[Measures].[Count of Invoice ID 2]" caption="Count of Invoice ID 2" measure="1" displayFolder="" measureGroup="Returns" count="0" hidden="1">
      <extLst>
        <ext xmlns:x15="http://schemas.microsoft.com/office/spreadsheetml/2010/11/main" uri="{B97F6D7D-B522-45F9-BDA1-12C45D357490}">
          <x15:cacheHierarchy aggregatedColumn="25"/>
        </ext>
      </extLst>
    </cacheHierarchy>
    <cacheHierarchy uniqueName="[Measures].[Sum of Rating]" caption="Sum of Rating" measure="1" displayFolder="" measureGroup="Data" count="0" hidden="1">
      <extLst>
        <ext xmlns:x15="http://schemas.microsoft.com/office/spreadsheetml/2010/11/main" uri="{B97F6D7D-B522-45F9-BDA1-12C45D357490}">
          <x15:cacheHierarchy aggregatedColumn="19"/>
        </ext>
      </extLst>
    </cacheHierarchy>
    <cacheHierarchy uniqueName="[Measures].[Average of Rating]" caption="Average of Rating" measure="1" displayFolder="" measureGroup="Data" count="0" oneField="1" hidden="1">
      <fieldsUsage count="1">
        <fieldUsage x="1"/>
      </fieldsUsage>
      <extLst>
        <ext xmlns:x15="http://schemas.microsoft.com/office/spreadsheetml/2010/11/main" uri="{B97F6D7D-B522-45F9-BDA1-12C45D357490}">
          <x15:cacheHierarchy aggregatedColumn="19"/>
        </ext>
      </extLst>
    </cacheHierarchy>
    <cacheHierarchy uniqueName="[Measures].[Min of Rating]" caption="Min of Rating" measure="1" displayFolder="" measureGroup="Data" count="0" hidden="1">
      <extLst>
        <ext xmlns:x15="http://schemas.microsoft.com/office/spreadsheetml/2010/11/main" uri="{B97F6D7D-B522-45F9-BDA1-12C45D357490}">
          <x15:cacheHierarchy aggregatedColumn="19"/>
        </ext>
      </extLst>
    </cacheHierarchy>
    <cacheHierarchy uniqueName="[Measures].[Max of Rating]" caption="Max of Rating" measure="1" displayFolder="" measureGroup="Data" count="0" hidden="1">
      <extLst>
        <ext xmlns:x15="http://schemas.microsoft.com/office/spreadsheetml/2010/11/main" uri="{B97F6D7D-B522-45F9-BDA1-12C45D357490}">
          <x15:cacheHierarchy aggregatedColumn="19"/>
        </ext>
      </extLst>
    </cacheHierarchy>
    <cacheHierarchy uniqueName="[Measures].[Count of Rating]" caption="Count of Rating" measure="1" displayFolder="" measureGroup="Data" count="0" hidden="1">
      <extLst>
        <ext xmlns:x15="http://schemas.microsoft.com/office/spreadsheetml/2010/11/main" uri="{B97F6D7D-B522-45F9-BDA1-12C45D357490}">
          <x15:cacheHierarchy aggregatedColumn="19"/>
        </ext>
      </extLst>
    </cacheHierarchy>
    <cacheHierarchy uniqueName="[Measures].[Distinct Count of Rating]" caption="Distinct Count of Rating" measure="1" displayFolder="" measureGroup="Data" count="0" hidden="1">
      <extLst>
        <ext xmlns:x15="http://schemas.microsoft.com/office/spreadsheetml/2010/11/main" uri="{B97F6D7D-B522-45F9-BDA1-12C45D357490}">
          <x15:cacheHierarchy aggregatedColumn="19"/>
        </ext>
      </extLst>
    </cacheHierarchy>
    <cacheHierarchy uniqueName="[Measures].[Distinct Count of Invoice ID]" caption="Distinct Count of Invoice ID" measure="1" displayFolder="" measureGroup="Data" count="0" hidden="1">
      <extLst>
        <ext xmlns:x15="http://schemas.microsoft.com/office/spreadsheetml/2010/11/main" uri="{B97F6D7D-B522-45F9-BDA1-12C45D357490}">
          <x15:cacheHierarchy aggregatedColumn="0"/>
        </ext>
      </extLst>
    </cacheHierarchy>
    <cacheHierarchy uniqueName="[Measures].[Count of Customer type]" caption="Count of Customer type" measure="1" displayFolder="" measureGroup="Data" count="0" hidden="1">
      <extLst>
        <ext xmlns:x15="http://schemas.microsoft.com/office/spreadsheetml/2010/11/main" uri="{B97F6D7D-B522-45F9-BDA1-12C45D357490}">
          <x15:cacheHierarchy aggregatedColumn="4"/>
        </ext>
      </extLst>
    </cacheHierarchy>
    <cacheHierarchy uniqueName="[Measures].[Count of Payment]" caption="Count of Payment" measure="1" displayFolder="" measureGroup="Data" count="0" hidden="1">
      <extLst>
        <ext xmlns:x15="http://schemas.microsoft.com/office/spreadsheetml/2010/11/main" uri="{B97F6D7D-B522-45F9-BDA1-12C45D357490}">
          <x15:cacheHierarchy aggregatedColumn="16"/>
        </ext>
      </extLst>
    </cacheHierarchy>
    <cacheHierarchy uniqueName="[Measures].[Average of Total]" caption="Average of Total" measure="1" displayFolder="" measureGroup="Data" count="0" hidden="1">
      <extLst>
        <ext xmlns:x15="http://schemas.microsoft.com/office/spreadsheetml/2010/11/main" uri="{B97F6D7D-B522-45F9-BDA1-12C45D357490}">
          <x15:cacheHierarchy aggregatedColumn="10"/>
        </ext>
      </extLst>
    </cacheHierarchy>
    <cacheHierarchy uniqueName="[Measures].[Sum of Unit price]" caption="Sum of Unit price" measure="1" displayFolder="" measureGroup="Data" count="0" hidden="1">
      <extLst>
        <ext xmlns:x15="http://schemas.microsoft.com/office/spreadsheetml/2010/11/main" uri="{B97F6D7D-B522-45F9-BDA1-12C45D357490}">
          <x15:cacheHierarchy aggregatedColumn="7"/>
        </ext>
      </extLst>
    </cacheHierarchy>
    <cacheHierarchy uniqueName="[Measures].[Average of Unit price]" caption="Average of Unit price" measure="1" displayFolder="" measureGroup="Data" count="0" hidden="1">
      <extLst>
        <ext xmlns:x15="http://schemas.microsoft.com/office/spreadsheetml/2010/11/main" uri="{B97F6D7D-B522-45F9-BDA1-12C45D357490}">
          <x15:cacheHierarchy aggregatedColumn="7"/>
        </ext>
      </extLst>
    </cacheHierarchy>
    <cacheHierarchy uniqueName="[Measures].[Max of Unit price]" caption="Max of Unit price" measure="1" displayFolder="" measureGroup="Data" count="0" hidden="1">
      <extLst>
        <ext xmlns:x15="http://schemas.microsoft.com/office/spreadsheetml/2010/11/main" uri="{B97F6D7D-B522-45F9-BDA1-12C45D357490}">
          <x15:cacheHierarchy aggregatedColumn="7"/>
        </ext>
      </extLst>
    </cacheHierarchy>
    <cacheHierarchy uniqueName="[Measures].[Min of Unit price]" caption="Min of Unit price" measure="1" displayFolder="" measureGroup="Data" count="0" hidden="1">
      <extLst>
        <ext xmlns:x15="http://schemas.microsoft.com/office/spreadsheetml/2010/11/main" uri="{B97F6D7D-B522-45F9-BDA1-12C45D357490}">
          <x15:cacheHierarchy aggregatedColumn="7"/>
        </ext>
      </extLst>
    </cacheHierarchy>
  </cacheHierarchies>
  <kpis count="0"/>
  <dimensions count="4">
    <dimension name="Data" uniqueName="[Data]" caption="Data"/>
    <dimension measure="1" name="Measures" uniqueName="[Measures]" caption="Measures"/>
    <dimension name="REP" uniqueName="[REP]" caption="REP"/>
    <dimension name="Returns" uniqueName="[Returns]" caption="Returns"/>
  </dimensions>
  <measureGroups count="3">
    <measureGroup name="Data" caption="Data"/>
    <measureGroup name="REP" caption="REP"/>
    <measureGroup name="Returns" caption="Returns"/>
  </measureGroups>
  <maps count="5">
    <map measureGroup="0" dimension="0"/>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saveData="0" refreshedBy="Amira" refreshedDate="46139.489658564817" backgroundQuery="1" createdVersion="6" refreshedVersion="6" minRefreshableVersion="3" recordCount="0" supportSubquery="1" supportAdvancedDrill="1">
  <cacheSource type="external" connectionId="1"/>
  <cacheFields count="3">
    <cacheField name="[Data].[Year].[Year]" caption="Year" numFmtId="0" hierarchy="14" level="1">
      <sharedItems containsSemiMixedTypes="0" containsNonDate="0" containsString="0"/>
    </cacheField>
    <cacheField name="[Measures].[Sum of Total]" caption="Sum of Total" numFmtId="0" hierarchy="30" level="32767"/>
    <cacheField name="[Data].[Customer type].[Customer type]" caption="Customer type" numFmtId="0" hierarchy="4" level="1">
      <sharedItems count="2">
        <s v="Member"/>
        <s v="Normal"/>
      </sharedItems>
    </cacheField>
  </cacheFields>
  <cacheHierarchies count="55">
    <cacheHierarchy uniqueName="[Data].[Invoice ID]" caption="Invoice ID" attribute="1" defaultMemberUniqueName="[Data].[Invoice ID].[All]" allUniqueName="[Data].[Invoice ID].[All]" dimensionUniqueName="[Data]" displayFolder="" count="0" memberValueDatatype="130" unbalanced="0"/>
    <cacheHierarchy uniqueName="[Data].[Branch]" caption="Branch" attribute="1" defaultMemberUniqueName="[Data].[Branch].[All]" allUniqueName="[Data].[Branch].[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Branch City]" caption="Branch City" attribute="1" defaultMemberUniqueName="[Data].[Branch City].[All]" allUniqueName="[Data].[Branch City].[All]" dimensionUniqueName="[Data]" displayFolder="" count="2" memberValueDatatype="130" unbalanced="0"/>
    <cacheHierarchy uniqueName="[Data].[Customer type]" caption="Customer type" attribute="1" defaultMemberUniqueName="[Data].[Customer type].[All]" allUniqueName="[Data].[Customer type].[All]" dimensionUniqueName="[Data]" displayFolder="" count="2" memberValueDatatype="130" unbalanced="0">
      <fieldsUsage count="2">
        <fieldUsage x="-1"/>
        <fieldUsage x="2"/>
      </fieldsUsage>
    </cacheHierarchy>
    <cacheHierarchy uniqueName="[Data].[Gender]" caption="Gender" attribute="1" defaultMemberUniqueName="[Data].[Gender].[All]" allUniqueName="[Data].[Gender].[All]" dimensionUniqueName="[Data]" displayFolder="" count="0" memberValueDatatype="130" unbalanced="0"/>
    <cacheHierarchy uniqueName="[Data].[Product line]" caption="Product line" attribute="1" defaultMemberUniqueName="[Data].[Product line].[All]" allUniqueName="[Data].[Product line].[All]" dimensionUniqueName="[Data]" displayFolder="" count="2" memberValueDatatype="130" unbalanced="0"/>
    <cacheHierarchy uniqueName="[Data].[Unit price]" caption="Unit price" attribute="1" defaultMemberUniqueName="[Data].[Unit price].[All]" allUniqueName="[Data].[Unit price].[All]" dimensionUniqueName="[Data]" displayFolder="" count="0" memberValueDatatype="5" unbalanced="0"/>
    <cacheHierarchy uniqueName="[Data].[Quantity]" caption="Quantity" attribute="1" defaultMemberUniqueName="[Data].[Quantity].[All]" allUniqueName="[Data].[Quantity].[All]" dimensionUniqueName="[Data]" displayFolder="" count="0" memberValueDatatype="20" unbalanced="0"/>
    <cacheHierarchy uniqueName="[Data].[Tax 5%]" caption="Tax 5%" attribute="1" defaultMemberUniqueName="[Data].[Tax 5%].[All]" allUniqueName="[Data].[Tax 5%].[All]" dimensionUniqueName="[Data]" displayFolder="" count="0" memberValueDatatype="5" unbalanced="0"/>
    <cacheHierarchy uniqueName="[Data].[Total]" caption="Total" attribute="1" defaultMemberUniqueName="[Data].[Total].[All]" allUniqueName="[Data].[Total].[All]" dimensionUniqueName="[Data]" displayFolder="" count="0" memberValueDatatype="5" unbalanced="0"/>
    <cacheHierarchy uniqueName="[Data].[Date]" caption="Date" attribute="1" time="1" defaultMemberUniqueName="[Data].[Date].[All]" allUniqueName="[Data].[Date].[All]" dimensionUniqueName="[Data]" displayFolder="" count="0" memberValueDatatype="7" unbalanced="0"/>
    <cacheHierarchy uniqueName="[Data].[Day]" caption="Day" attribute="1" defaultMemberUniqueName="[Data].[Day].[All]" allUniqueName="[Data].[Day].[All]" dimensionUniqueName="[Data]" displayFolder="" count="0" memberValueDatatype="20" unbalanced="0"/>
    <cacheHierarchy uniqueName="[Data].[Month]" caption="Month" attribute="1" defaultMemberUniqueName="[Data].[Month].[All]" allUniqueName="[Data].[Month].[All]" dimensionUniqueName="[Data]" displayFolder="" count="0" memberValueDatatype="20" unbalanced="0"/>
    <cacheHierarchy uniqueName="[Data].[Year]" caption="Year" attribute="1" defaultMemberUniqueName="[Data].[Year].[All]" allUniqueName="[Data].[Year].[All]" dimensionUniqueName="[Data]" displayFolder="" count="2" memberValueDatatype="20" unbalanced="0">
      <fieldsUsage count="2">
        <fieldUsage x="-1"/>
        <fieldUsage x="0"/>
      </fieldsUsage>
    </cacheHierarchy>
    <cacheHierarchy uniqueName="[Data].[Time]" caption="Time" attribute="1" time="1" defaultMemberUniqueName="[Data].[Time].[All]" allUniqueName="[Data].[Time].[All]" dimensionUniqueName="[Data]" displayFolder="" count="0" memberValueDatatype="7" unbalanced="0"/>
    <cacheHierarchy uniqueName="[Data].[Payment]" caption="Payment" attribute="1" defaultMemberUniqueName="[Data].[Payment].[All]" allUniqueName="[Data].[Payment].[All]" dimensionUniqueName="[Data]" displayFolder="" count="0" memberValueDatatype="130" unbalanced="0"/>
    <cacheHierarchy uniqueName="[Data].[cogs]" caption="cogs" attribute="1" defaultMemberUniqueName="[Data].[cogs].[All]" allUniqueName="[Data].[cogs].[All]" dimensionUniqueName="[Data]" displayFolder="" count="0" memberValueDatatype="5" unbalanced="0"/>
    <cacheHierarchy uniqueName="[Data].[Net Profit]" caption="Net Profit" attribute="1" defaultMemberUniqueName="[Data].[Net Profit].[All]" allUniqueName="[Data].[Net Profit].[All]" dimensionUniqueName="[Data]" displayFolder="" count="0" memberValueDatatype="5" unbalanced="0"/>
    <cacheHierarchy uniqueName="[Data].[Rating]" caption="Rating" attribute="1" defaultMemberUniqueName="[Data].[Rating].[All]" allUniqueName="[Data].[Rating].[All]" dimensionUniqueName="[Data]" displayFolder="" count="0" memberValueDatatype="5" unbalanced="0"/>
    <cacheHierarchy uniqueName="[Data].[Time (Hour)]" caption="Time (Hour)" attribute="1" defaultMemberUniqueName="[Data].[Time (Hour)].[All]" allUniqueName="[Data].[Time (Hour)].[All]" dimensionUniqueName="[Data]" displayFolder="" count="0" memberValueDatatype="130" unbalanced="0"/>
    <cacheHierarchy uniqueName="[Data].[Time (Minute)]" caption="Time (Minute)" attribute="1" defaultMemberUniqueName="[Data].[Time (Minute)].[All]" allUniqueName="[Data].[Time (Minute)].[All]" dimensionUniqueName="[Data]" displayFolder="" count="0" memberValueDatatype="130" unbalanced="0"/>
    <cacheHierarchy uniqueName="[REP].[city]" caption="city" attribute="1" defaultMemberUniqueName="[REP].[city].[All]" allUniqueName="[REP].[city].[All]" dimensionUniqueName="[REP]" displayFolder="" count="0" memberValueDatatype="130" unbalanced="0"/>
    <cacheHierarchy uniqueName="[REP].[Rep]" caption="Rep" attribute="1" defaultMemberUniqueName="[REP].[Rep].[All]" allUniqueName="[REP].[Rep].[All]" dimensionUniqueName="[REP]" displayFolder="" count="0" memberValueDatatype="130" unbalanced="0"/>
    <cacheHierarchy uniqueName="[Returns].[returns]" caption="returns" attribute="1" defaultMemberUniqueName="[Returns].[returns].[All]" allUniqueName="[Returns].[returns].[All]" dimensionUniqueName="[Returns]" displayFolder="" count="0" memberValueDatatype="130" unbalanced="0"/>
    <cacheHierarchy uniqueName="[Returns].[Invoice ID]" caption="Invoice ID" attribute="1" defaultMemberUniqueName="[Returns].[Invoice ID].[All]" allUniqueName="[Returns].[Invoice ID].[All]" dimensionUniqueName="[Returns]" displayFolder="" count="0" memberValueDatatype="130" unbalanced="0"/>
    <cacheHierarchy uniqueName="[Measures].[__XL_Count REP]" caption="__XL_Count REP" measure="1" displayFolder="" measureGroup="REP" count="0" hidden="1"/>
    <cacheHierarchy uniqueName="[Measures].[__XL_Count Returns]" caption="__XL_Count Returns" measure="1" displayFolder="" measureGroup="Returns" count="0" hidden="1"/>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Total]" caption="Sum of Total" measure="1" displayFolder="" measureGroup="Data"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returns]" caption="Count of returns" measure="1" displayFolder="" measureGroup="Returns" count="0" hidden="1">
      <extLst>
        <ext xmlns:x15="http://schemas.microsoft.com/office/spreadsheetml/2010/11/main" uri="{B97F6D7D-B522-45F9-BDA1-12C45D357490}">
          <x15:cacheHierarchy aggregatedColumn="24"/>
        </ext>
      </extLst>
    </cacheHierarchy>
    <cacheHierarchy uniqueName="[Measures].[Sum of Net Profit]" caption="Sum of Net Profit" measure="1" displayFolder="" measureGroup="Data" count="0" hidden="1">
      <extLst>
        <ext xmlns:x15="http://schemas.microsoft.com/office/spreadsheetml/2010/11/main" uri="{B97F6D7D-B522-45F9-BDA1-12C45D357490}">
          <x15:cacheHierarchy aggregatedColumn="18"/>
        </ext>
      </extLst>
    </cacheHierarchy>
    <cacheHierarchy uniqueName="[Measures].[Sum of cogs]" caption="Sum of cogs" measure="1" displayFolder="" measureGroup="Data" count="0" hidden="1">
      <extLst>
        <ext xmlns:x15="http://schemas.microsoft.com/office/spreadsheetml/2010/11/main" uri="{B97F6D7D-B522-45F9-BDA1-12C45D357490}">
          <x15:cacheHierarchy aggregatedColumn="17"/>
        </ext>
      </extLst>
    </cacheHierarchy>
    <cacheHierarchy uniqueName="[Measures].[Sum of Tax 5%]" caption="Sum of Tax 5%" measure="1" displayFolder="" measureGroup="Data" count="0" hidden="1">
      <extLst>
        <ext xmlns:x15="http://schemas.microsoft.com/office/spreadsheetml/2010/11/main" uri="{B97F6D7D-B522-45F9-BDA1-12C45D357490}">
          <x15:cacheHierarchy aggregatedColumn="9"/>
        </ext>
      </extLst>
    </cacheHierarchy>
    <cacheHierarchy uniqueName="[Measures].[Average of Net Profit]" caption="Average of Net Profit" measure="1" displayFolder="" measureGroup="Data"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8"/>
        </ext>
      </extLst>
    </cacheHierarchy>
    <cacheHierarchy uniqueName="[Measures].[Count of Invoice ID]" caption="Count of Invoice ID" measure="1" displayFolder="" measureGroup="Data" count="0" hidden="1">
      <extLst>
        <ext xmlns:x15="http://schemas.microsoft.com/office/spreadsheetml/2010/11/main" uri="{B97F6D7D-B522-45F9-BDA1-12C45D357490}">
          <x15:cacheHierarchy aggregatedColumn="0"/>
        </ext>
      </extLst>
    </cacheHierarchy>
    <cacheHierarchy uniqueName="[Measures].[Count of Quantity]" caption="Count of Quantity" measure="1" displayFolder="" measureGroup="Data" count="0" hidden="1">
      <extLst>
        <ext xmlns:x15="http://schemas.microsoft.com/office/spreadsheetml/2010/11/main" uri="{B97F6D7D-B522-45F9-BDA1-12C45D357490}">
          <x15:cacheHierarchy aggregatedColumn="8"/>
        </ext>
      </extLst>
    </cacheHierarchy>
    <cacheHierarchy uniqueName="[Measures].[Count of Product line]" caption="Count of Product line" measure="1" displayFolder="" measureGroup="Data" count="0" hidden="1">
      <extLst>
        <ext xmlns:x15="http://schemas.microsoft.com/office/spreadsheetml/2010/11/main" uri="{B97F6D7D-B522-45F9-BDA1-12C45D357490}">
          <x15:cacheHierarchy aggregatedColumn="6"/>
        </ext>
      </extLst>
    </cacheHierarchy>
    <cacheHierarchy uniqueName="[Measures].[Count of Invoice ID 2]" caption="Count of Invoice ID 2" measure="1" displayFolder="" measureGroup="Returns" count="0" hidden="1">
      <extLst>
        <ext xmlns:x15="http://schemas.microsoft.com/office/spreadsheetml/2010/11/main" uri="{B97F6D7D-B522-45F9-BDA1-12C45D357490}">
          <x15:cacheHierarchy aggregatedColumn="25"/>
        </ext>
      </extLst>
    </cacheHierarchy>
    <cacheHierarchy uniqueName="[Measures].[Sum of Rating]" caption="Sum of Rating" measure="1" displayFolder="" measureGroup="Data" count="0" hidden="1">
      <extLst>
        <ext xmlns:x15="http://schemas.microsoft.com/office/spreadsheetml/2010/11/main" uri="{B97F6D7D-B522-45F9-BDA1-12C45D357490}">
          <x15:cacheHierarchy aggregatedColumn="19"/>
        </ext>
      </extLst>
    </cacheHierarchy>
    <cacheHierarchy uniqueName="[Measures].[Average of Rating]" caption="Average of Rating" measure="1" displayFolder="" measureGroup="Data" count="0" hidden="1">
      <extLst>
        <ext xmlns:x15="http://schemas.microsoft.com/office/spreadsheetml/2010/11/main" uri="{B97F6D7D-B522-45F9-BDA1-12C45D357490}">
          <x15:cacheHierarchy aggregatedColumn="19"/>
        </ext>
      </extLst>
    </cacheHierarchy>
    <cacheHierarchy uniqueName="[Measures].[Min of Rating]" caption="Min of Rating" measure="1" displayFolder="" measureGroup="Data" count="0" hidden="1">
      <extLst>
        <ext xmlns:x15="http://schemas.microsoft.com/office/spreadsheetml/2010/11/main" uri="{B97F6D7D-B522-45F9-BDA1-12C45D357490}">
          <x15:cacheHierarchy aggregatedColumn="19"/>
        </ext>
      </extLst>
    </cacheHierarchy>
    <cacheHierarchy uniqueName="[Measures].[Max of Rating]" caption="Max of Rating" measure="1" displayFolder="" measureGroup="Data" count="0" hidden="1">
      <extLst>
        <ext xmlns:x15="http://schemas.microsoft.com/office/spreadsheetml/2010/11/main" uri="{B97F6D7D-B522-45F9-BDA1-12C45D357490}">
          <x15:cacheHierarchy aggregatedColumn="19"/>
        </ext>
      </extLst>
    </cacheHierarchy>
    <cacheHierarchy uniqueName="[Measures].[Count of Rating]" caption="Count of Rating" measure="1" displayFolder="" measureGroup="Data" count="0" hidden="1">
      <extLst>
        <ext xmlns:x15="http://schemas.microsoft.com/office/spreadsheetml/2010/11/main" uri="{B97F6D7D-B522-45F9-BDA1-12C45D357490}">
          <x15:cacheHierarchy aggregatedColumn="19"/>
        </ext>
      </extLst>
    </cacheHierarchy>
    <cacheHierarchy uniqueName="[Measures].[Distinct Count of Rating]" caption="Distinct Count of Rating" measure="1" displayFolder="" measureGroup="Data" count="0" hidden="1">
      <extLst>
        <ext xmlns:x15="http://schemas.microsoft.com/office/spreadsheetml/2010/11/main" uri="{B97F6D7D-B522-45F9-BDA1-12C45D357490}">
          <x15:cacheHierarchy aggregatedColumn="19"/>
        </ext>
      </extLst>
    </cacheHierarchy>
    <cacheHierarchy uniqueName="[Measures].[Distinct Count of Invoice ID]" caption="Distinct Count of Invoice ID" measure="1" displayFolder="" measureGroup="Data" count="0" hidden="1">
      <extLst>
        <ext xmlns:x15="http://schemas.microsoft.com/office/spreadsheetml/2010/11/main" uri="{B97F6D7D-B522-45F9-BDA1-12C45D357490}">
          <x15:cacheHierarchy aggregatedColumn="0"/>
        </ext>
      </extLst>
    </cacheHierarchy>
    <cacheHierarchy uniqueName="[Measures].[Count of Customer type]" caption="Count of Customer type" measure="1" displayFolder="" measureGroup="Data" count="0" hidden="1">
      <extLst>
        <ext xmlns:x15="http://schemas.microsoft.com/office/spreadsheetml/2010/11/main" uri="{B97F6D7D-B522-45F9-BDA1-12C45D357490}">
          <x15:cacheHierarchy aggregatedColumn="4"/>
        </ext>
      </extLst>
    </cacheHierarchy>
    <cacheHierarchy uniqueName="[Measures].[Count of Payment]" caption="Count of Payment" measure="1" displayFolder="" measureGroup="Data" count="0" hidden="1">
      <extLst>
        <ext xmlns:x15="http://schemas.microsoft.com/office/spreadsheetml/2010/11/main" uri="{B97F6D7D-B522-45F9-BDA1-12C45D357490}">
          <x15:cacheHierarchy aggregatedColumn="16"/>
        </ext>
      </extLst>
    </cacheHierarchy>
    <cacheHierarchy uniqueName="[Measures].[Average of Total]" caption="Average of Total" measure="1" displayFolder="" measureGroup="Data" count="0" hidden="1">
      <extLst>
        <ext xmlns:x15="http://schemas.microsoft.com/office/spreadsheetml/2010/11/main" uri="{B97F6D7D-B522-45F9-BDA1-12C45D357490}">
          <x15:cacheHierarchy aggregatedColumn="10"/>
        </ext>
      </extLst>
    </cacheHierarchy>
    <cacheHierarchy uniqueName="[Measures].[Sum of Unit price]" caption="Sum of Unit price" measure="1" displayFolder="" measureGroup="Data" count="0" hidden="1">
      <extLst>
        <ext xmlns:x15="http://schemas.microsoft.com/office/spreadsheetml/2010/11/main" uri="{B97F6D7D-B522-45F9-BDA1-12C45D357490}">
          <x15:cacheHierarchy aggregatedColumn="7"/>
        </ext>
      </extLst>
    </cacheHierarchy>
    <cacheHierarchy uniqueName="[Measures].[Average of Unit price]" caption="Average of Unit price" measure="1" displayFolder="" measureGroup="Data" count="0" hidden="1">
      <extLst>
        <ext xmlns:x15="http://schemas.microsoft.com/office/spreadsheetml/2010/11/main" uri="{B97F6D7D-B522-45F9-BDA1-12C45D357490}">
          <x15:cacheHierarchy aggregatedColumn="7"/>
        </ext>
      </extLst>
    </cacheHierarchy>
    <cacheHierarchy uniqueName="[Measures].[Max of Unit price]" caption="Max of Unit price" measure="1" displayFolder="" measureGroup="Data" count="0" hidden="1">
      <extLst>
        <ext xmlns:x15="http://schemas.microsoft.com/office/spreadsheetml/2010/11/main" uri="{B97F6D7D-B522-45F9-BDA1-12C45D357490}">
          <x15:cacheHierarchy aggregatedColumn="7"/>
        </ext>
      </extLst>
    </cacheHierarchy>
    <cacheHierarchy uniqueName="[Measures].[Min of Unit price]" caption="Min of Unit price" measure="1" displayFolder="" measureGroup="Data" count="0" hidden="1">
      <extLst>
        <ext xmlns:x15="http://schemas.microsoft.com/office/spreadsheetml/2010/11/main" uri="{B97F6D7D-B522-45F9-BDA1-12C45D357490}">
          <x15:cacheHierarchy aggregatedColumn="7"/>
        </ext>
      </extLst>
    </cacheHierarchy>
  </cacheHierarchies>
  <kpis count="0"/>
  <dimensions count="4">
    <dimension name="Data" uniqueName="[Data]" caption="Data"/>
    <dimension measure="1" name="Measures" uniqueName="[Measures]" caption="Measures"/>
    <dimension name="REP" uniqueName="[REP]" caption="REP"/>
    <dimension name="Returns" uniqueName="[Returns]" caption="Returns"/>
  </dimensions>
  <measureGroups count="3">
    <measureGroup name="Data" caption="Data"/>
    <measureGroup name="REP" caption="REP"/>
    <measureGroup name="Returns" caption="Returns"/>
  </measureGroups>
  <maps count="5">
    <map measureGroup="0" dimension="0"/>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saveData="0" refreshedBy="Amira" refreshedDate="46139.489659027779" backgroundQuery="1" createdVersion="6" refreshedVersion="6" minRefreshableVersion="3" recordCount="0" supportSubquery="1" supportAdvancedDrill="1">
  <cacheSource type="external" connectionId="1"/>
  <cacheFields count="3">
    <cacheField name="[Data].[Year].[Year]" caption="Year" numFmtId="0" hierarchy="14" level="1">
      <sharedItems containsSemiMixedTypes="0" containsNonDate="0" containsString="0"/>
    </cacheField>
    <cacheField name="[Data].[Payment].[Payment]" caption="Payment" numFmtId="0" hierarchy="16" level="1">
      <sharedItems count="3">
        <s v="Cash"/>
        <s v="Credit card"/>
        <s v="Ewallet"/>
      </sharedItems>
    </cacheField>
    <cacheField name="[Measures].[Count of Payment]" caption="Count of Payment" numFmtId="0" hierarchy="49" level="32767"/>
  </cacheFields>
  <cacheHierarchies count="55">
    <cacheHierarchy uniqueName="[Data].[Invoice ID]" caption="Invoice ID" attribute="1" defaultMemberUniqueName="[Data].[Invoice ID].[All]" allUniqueName="[Data].[Invoice ID].[All]" dimensionUniqueName="[Data]" displayFolder="" count="0" memberValueDatatype="130" unbalanced="0"/>
    <cacheHierarchy uniqueName="[Data].[Branch]" caption="Branch" attribute="1" defaultMemberUniqueName="[Data].[Branch].[All]" allUniqueName="[Data].[Branch].[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Branch City]" caption="Branch City" attribute="1" defaultMemberUniqueName="[Data].[Branch City].[All]" allUniqueName="[Data].[Branch City].[All]" dimensionUniqueName="[Data]" displayFolder="" count="2" memberValueDatatype="130" unbalanced="0"/>
    <cacheHierarchy uniqueName="[Data].[Customer type]" caption="Customer type" attribute="1" defaultMemberUniqueName="[Data].[Customer type].[All]" allUniqueName="[Data].[Customer type].[All]" dimensionUniqueName="[Data]" displayFolder="" count="0" memberValueDatatype="130" unbalanced="0"/>
    <cacheHierarchy uniqueName="[Data].[Gender]" caption="Gender" attribute="1" defaultMemberUniqueName="[Data].[Gender].[All]" allUniqueName="[Data].[Gender].[All]" dimensionUniqueName="[Data]" displayFolder="" count="0" memberValueDatatype="130" unbalanced="0"/>
    <cacheHierarchy uniqueName="[Data].[Product line]" caption="Product line" attribute="1" defaultMemberUniqueName="[Data].[Product line].[All]" allUniqueName="[Data].[Product line].[All]" dimensionUniqueName="[Data]" displayFolder="" count="2" memberValueDatatype="130" unbalanced="0"/>
    <cacheHierarchy uniqueName="[Data].[Unit price]" caption="Unit price" attribute="1" defaultMemberUniqueName="[Data].[Unit price].[All]" allUniqueName="[Data].[Unit price].[All]" dimensionUniqueName="[Data]" displayFolder="" count="0" memberValueDatatype="5" unbalanced="0"/>
    <cacheHierarchy uniqueName="[Data].[Quantity]" caption="Quantity" attribute="1" defaultMemberUniqueName="[Data].[Quantity].[All]" allUniqueName="[Data].[Quantity].[All]" dimensionUniqueName="[Data]" displayFolder="" count="0" memberValueDatatype="20" unbalanced="0"/>
    <cacheHierarchy uniqueName="[Data].[Tax 5%]" caption="Tax 5%" attribute="1" defaultMemberUniqueName="[Data].[Tax 5%].[All]" allUniqueName="[Data].[Tax 5%].[All]" dimensionUniqueName="[Data]" displayFolder="" count="0" memberValueDatatype="5" unbalanced="0"/>
    <cacheHierarchy uniqueName="[Data].[Total]" caption="Total" attribute="1" defaultMemberUniqueName="[Data].[Total].[All]" allUniqueName="[Data].[Total].[All]" dimensionUniqueName="[Data]" displayFolder="" count="0" memberValueDatatype="5" unbalanced="0"/>
    <cacheHierarchy uniqueName="[Data].[Date]" caption="Date" attribute="1" time="1" defaultMemberUniqueName="[Data].[Date].[All]" allUniqueName="[Data].[Date].[All]" dimensionUniqueName="[Data]" displayFolder="" count="0" memberValueDatatype="7" unbalanced="0"/>
    <cacheHierarchy uniqueName="[Data].[Day]" caption="Day" attribute="1" defaultMemberUniqueName="[Data].[Day].[All]" allUniqueName="[Data].[Day].[All]" dimensionUniqueName="[Data]" displayFolder="" count="0" memberValueDatatype="20" unbalanced="0"/>
    <cacheHierarchy uniqueName="[Data].[Month]" caption="Month" attribute="1" defaultMemberUniqueName="[Data].[Month].[All]" allUniqueName="[Data].[Month].[All]" dimensionUniqueName="[Data]" displayFolder="" count="0" memberValueDatatype="20" unbalanced="0"/>
    <cacheHierarchy uniqueName="[Data].[Year]" caption="Year" attribute="1" defaultMemberUniqueName="[Data].[Year].[All]" allUniqueName="[Data].[Year].[All]" dimensionUniqueName="[Data]" displayFolder="" count="2" memberValueDatatype="20" unbalanced="0">
      <fieldsUsage count="2">
        <fieldUsage x="-1"/>
        <fieldUsage x="0"/>
      </fieldsUsage>
    </cacheHierarchy>
    <cacheHierarchy uniqueName="[Data].[Time]" caption="Time" attribute="1" time="1" defaultMemberUniqueName="[Data].[Time].[All]" allUniqueName="[Data].[Time].[All]" dimensionUniqueName="[Data]" displayFolder="" count="0" memberValueDatatype="7" unbalanced="0"/>
    <cacheHierarchy uniqueName="[Data].[Payment]" caption="Payment" attribute="1" defaultMemberUniqueName="[Data].[Payment].[All]" allUniqueName="[Data].[Payment].[All]" dimensionUniqueName="[Data]" displayFolder="" count="2" memberValueDatatype="130" unbalanced="0">
      <fieldsUsage count="2">
        <fieldUsage x="-1"/>
        <fieldUsage x="1"/>
      </fieldsUsage>
    </cacheHierarchy>
    <cacheHierarchy uniqueName="[Data].[cogs]" caption="cogs" attribute="1" defaultMemberUniqueName="[Data].[cogs].[All]" allUniqueName="[Data].[cogs].[All]" dimensionUniqueName="[Data]" displayFolder="" count="0" memberValueDatatype="5" unbalanced="0"/>
    <cacheHierarchy uniqueName="[Data].[Net Profit]" caption="Net Profit" attribute="1" defaultMemberUniqueName="[Data].[Net Profit].[All]" allUniqueName="[Data].[Net Profit].[All]" dimensionUniqueName="[Data]" displayFolder="" count="0" memberValueDatatype="5" unbalanced="0"/>
    <cacheHierarchy uniqueName="[Data].[Rating]" caption="Rating" attribute="1" defaultMemberUniqueName="[Data].[Rating].[All]" allUniqueName="[Data].[Rating].[All]" dimensionUniqueName="[Data]" displayFolder="" count="0" memberValueDatatype="5" unbalanced="0"/>
    <cacheHierarchy uniqueName="[Data].[Time (Hour)]" caption="Time (Hour)" attribute="1" defaultMemberUniqueName="[Data].[Time (Hour)].[All]" allUniqueName="[Data].[Time (Hour)].[All]" dimensionUniqueName="[Data]" displayFolder="" count="0" memberValueDatatype="130" unbalanced="0"/>
    <cacheHierarchy uniqueName="[Data].[Time (Minute)]" caption="Time (Minute)" attribute="1" defaultMemberUniqueName="[Data].[Time (Minute)].[All]" allUniqueName="[Data].[Time (Minute)].[All]" dimensionUniqueName="[Data]" displayFolder="" count="0" memberValueDatatype="130" unbalanced="0"/>
    <cacheHierarchy uniqueName="[REP].[city]" caption="city" attribute="1" defaultMemberUniqueName="[REP].[city].[All]" allUniqueName="[REP].[city].[All]" dimensionUniqueName="[REP]" displayFolder="" count="0" memberValueDatatype="130" unbalanced="0"/>
    <cacheHierarchy uniqueName="[REP].[Rep]" caption="Rep" attribute="1" defaultMemberUniqueName="[REP].[Rep].[All]" allUniqueName="[REP].[Rep].[All]" dimensionUniqueName="[REP]" displayFolder="" count="0" memberValueDatatype="130" unbalanced="0"/>
    <cacheHierarchy uniqueName="[Returns].[returns]" caption="returns" attribute="1" defaultMemberUniqueName="[Returns].[returns].[All]" allUniqueName="[Returns].[returns].[All]" dimensionUniqueName="[Returns]" displayFolder="" count="0" memberValueDatatype="130" unbalanced="0"/>
    <cacheHierarchy uniqueName="[Returns].[Invoice ID]" caption="Invoice ID" attribute="1" defaultMemberUniqueName="[Returns].[Invoice ID].[All]" allUniqueName="[Returns].[Invoice ID].[All]" dimensionUniqueName="[Returns]" displayFolder="" count="0" memberValueDatatype="130" unbalanced="0"/>
    <cacheHierarchy uniqueName="[Measures].[__XL_Count REP]" caption="__XL_Count REP" measure="1" displayFolder="" measureGroup="REP" count="0" hidden="1"/>
    <cacheHierarchy uniqueName="[Measures].[__XL_Count Returns]" caption="__XL_Count Returns" measure="1" displayFolder="" measureGroup="Returns" count="0" hidden="1"/>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Total]" caption="Sum of Total" measure="1" displayFolder="" measureGroup="Data" count="0" hidden="1">
      <extLst>
        <ext xmlns:x15="http://schemas.microsoft.com/office/spreadsheetml/2010/11/main" uri="{B97F6D7D-B522-45F9-BDA1-12C45D357490}">
          <x15:cacheHierarchy aggregatedColumn="10"/>
        </ext>
      </extLst>
    </cacheHierarchy>
    <cacheHierarchy uniqueName="[Measures].[Count of returns]" caption="Count of returns" measure="1" displayFolder="" measureGroup="Returns" count="0" hidden="1">
      <extLst>
        <ext xmlns:x15="http://schemas.microsoft.com/office/spreadsheetml/2010/11/main" uri="{B97F6D7D-B522-45F9-BDA1-12C45D357490}">
          <x15:cacheHierarchy aggregatedColumn="24"/>
        </ext>
      </extLst>
    </cacheHierarchy>
    <cacheHierarchy uniqueName="[Measures].[Sum of Net Profit]" caption="Sum of Net Profit" measure="1" displayFolder="" measureGroup="Data" count="0" hidden="1">
      <extLst>
        <ext xmlns:x15="http://schemas.microsoft.com/office/spreadsheetml/2010/11/main" uri="{B97F6D7D-B522-45F9-BDA1-12C45D357490}">
          <x15:cacheHierarchy aggregatedColumn="18"/>
        </ext>
      </extLst>
    </cacheHierarchy>
    <cacheHierarchy uniqueName="[Measures].[Sum of cogs]" caption="Sum of cogs" measure="1" displayFolder="" measureGroup="Data" count="0" hidden="1">
      <extLst>
        <ext xmlns:x15="http://schemas.microsoft.com/office/spreadsheetml/2010/11/main" uri="{B97F6D7D-B522-45F9-BDA1-12C45D357490}">
          <x15:cacheHierarchy aggregatedColumn="17"/>
        </ext>
      </extLst>
    </cacheHierarchy>
    <cacheHierarchy uniqueName="[Measures].[Sum of Tax 5%]" caption="Sum of Tax 5%" measure="1" displayFolder="" measureGroup="Data" count="0" hidden="1">
      <extLst>
        <ext xmlns:x15="http://schemas.microsoft.com/office/spreadsheetml/2010/11/main" uri="{B97F6D7D-B522-45F9-BDA1-12C45D357490}">
          <x15:cacheHierarchy aggregatedColumn="9"/>
        </ext>
      </extLst>
    </cacheHierarchy>
    <cacheHierarchy uniqueName="[Measures].[Average of Net Profit]" caption="Average of Net Profit" measure="1" displayFolder="" measureGroup="Data"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8"/>
        </ext>
      </extLst>
    </cacheHierarchy>
    <cacheHierarchy uniqueName="[Measures].[Count of Invoice ID]" caption="Count of Invoice ID" measure="1" displayFolder="" measureGroup="Data" count="0" hidden="1">
      <extLst>
        <ext xmlns:x15="http://schemas.microsoft.com/office/spreadsheetml/2010/11/main" uri="{B97F6D7D-B522-45F9-BDA1-12C45D357490}">
          <x15:cacheHierarchy aggregatedColumn="0"/>
        </ext>
      </extLst>
    </cacheHierarchy>
    <cacheHierarchy uniqueName="[Measures].[Count of Quantity]" caption="Count of Quantity" measure="1" displayFolder="" measureGroup="Data" count="0" hidden="1">
      <extLst>
        <ext xmlns:x15="http://schemas.microsoft.com/office/spreadsheetml/2010/11/main" uri="{B97F6D7D-B522-45F9-BDA1-12C45D357490}">
          <x15:cacheHierarchy aggregatedColumn="8"/>
        </ext>
      </extLst>
    </cacheHierarchy>
    <cacheHierarchy uniqueName="[Measures].[Count of Product line]" caption="Count of Product line" measure="1" displayFolder="" measureGroup="Data" count="0" hidden="1">
      <extLst>
        <ext xmlns:x15="http://schemas.microsoft.com/office/spreadsheetml/2010/11/main" uri="{B97F6D7D-B522-45F9-BDA1-12C45D357490}">
          <x15:cacheHierarchy aggregatedColumn="6"/>
        </ext>
      </extLst>
    </cacheHierarchy>
    <cacheHierarchy uniqueName="[Measures].[Count of Invoice ID 2]" caption="Count of Invoice ID 2" measure="1" displayFolder="" measureGroup="Returns" count="0" hidden="1">
      <extLst>
        <ext xmlns:x15="http://schemas.microsoft.com/office/spreadsheetml/2010/11/main" uri="{B97F6D7D-B522-45F9-BDA1-12C45D357490}">
          <x15:cacheHierarchy aggregatedColumn="25"/>
        </ext>
      </extLst>
    </cacheHierarchy>
    <cacheHierarchy uniqueName="[Measures].[Sum of Rating]" caption="Sum of Rating" measure="1" displayFolder="" measureGroup="Data" count="0" hidden="1">
      <extLst>
        <ext xmlns:x15="http://schemas.microsoft.com/office/spreadsheetml/2010/11/main" uri="{B97F6D7D-B522-45F9-BDA1-12C45D357490}">
          <x15:cacheHierarchy aggregatedColumn="19"/>
        </ext>
      </extLst>
    </cacheHierarchy>
    <cacheHierarchy uniqueName="[Measures].[Average of Rating]" caption="Average of Rating" measure="1" displayFolder="" measureGroup="Data" count="0" hidden="1">
      <extLst>
        <ext xmlns:x15="http://schemas.microsoft.com/office/spreadsheetml/2010/11/main" uri="{B97F6D7D-B522-45F9-BDA1-12C45D357490}">
          <x15:cacheHierarchy aggregatedColumn="19"/>
        </ext>
      </extLst>
    </cacheHierarchy>
    <cacheHierarchy uniqueName="[Measures].[Min of Rating]" caption="Min of Rating" measure="1" displayFolder="" measureGroup="Data" count="0" hidden="1">
      <extLst>
        <ext xmlns:x15="http://schemas.microsoft.com/office/spreadsheetml/2010/11/main" uri="{B97F6D7D-B522-45F9-BDA1-12C45D357490}">
          <x15:cacheHierarchy aggregatedColumn="19"/>
        </ext>
      </extLst>
    </cacheHierarchy>
    <cacheHierarchy uniqueName="[Measures].[Max of Rating]" caption="Max of Rating" measure="1" displayFolder="" measureGroup="Data" count="0" hidden="1">
      <extLst>
        <ext xmlns:x15="http://schemas.microsoft.com/office/spreadsheetml/2010/11/main" uri="{B97F6D7D-B522-45F9-BDA1-12C45D357490}">
          <x15:cacheHierarchy aggregatedColumn="19"/>
        </ext>
      </extLst>
    </cacheHierarchy>
    <cacheHierarchy uniqueName="[Measures].[Count of Rating]" caption="Count of Rating" measure="1" displayFolder="" measureGroup="Data" count="0" hidden="1">
      <extLst>
        <ext xmlns:x15="http://schemas.microsoft.com/office/spreadsheetml/2010/11/main" uri="{B97F6D7D-B522-45F9-BDA1-12C45D357490}">
          <x15:cacheHierarchy aggregatedColumn="19"/>
        </ext>
      </extLst>
    </cacheHierarchy>
    <cacheHierarchy uniqueName="[Measures].[Distinct Count of Rating]" caption="Distinct Count of Rating" measure="1" displayFolder="" measureGroup="Data" count="0" hidden="1">
      <extLst>
        <ext xmlns:x15="http://schemas.microsoft.com/office/spreadsheetml/2010/11/main" uri="{B97F6D7D-B522-45F9-BDA1-12C45D357490}">
          <x15:cacheHierarchy aggregatedColumn="19"/>
        </ext>
      </extLst>
    </cacheHierarchy>
    <cacheHierarchy uniqueName="[Measures].[Distinct Count of Invoice ID]" caption="Distinct Count of Invoice ID" measure="1" displayFolder="" measureGroup="Data" count="0" hidden="1">
      <extLst>
        <ext xmlns:x15="http://schemas.microsoft.com/office/spreadsheetml/2010/11/main" uri="{B97F6D7D-B522-45F9-BDA1-12C45D357490}">
          <x15:cacheHierarchy aggregatedColumn="0"/>
        </ext>
      </extLst>
    </cacheHierarchy>
    <cacheHierarchy uniqueName="[Measures].[Count of Customer type]" caption="Count of Customer type" measure="1" displayFolder="" measureGroup="Data" count="0" hidden="1">
      <extLst>
        <ext xmlns:x15="http://schemas.microsoft.com/office/spreadsheetml/2010/11/main" uri="{B97F6D7D-B522-45F9-BDA1-12C45D357490}">
          <x15:cacheHierarchy aggregatedColumn="4"/>
        </ext>
      </extLst>
    </cacheHierarchy>
    <cacheHierarchy uniqueName="[Measures].[Count of Payment]" caption="Count of Payment" measure="1" displayFolder="" measureGroup="Data" count="0" oneField="1" hidden="1">
      <fieldsUsage count="1">
        <fieldUsage x="2"/>
      </fieldsUsage>
      <extLst>
        <ext xmlns:x15="http://schemas.microsoft.com/office/spreadsheetml/2010/11/main" uri="{B97F6D7D-B522-45F9-BDA1-12C45D357490}">
          <x15:cacheHierarchy aggregatedColumn="16"/>
        </ext>
      </extLst>
    </cacheHierarchy>
    <cacheHierarchy uniqueName="[Measures].[Average of Total]" caption="Average of Total" measure="1" displayFolder="" measureGroup="Data" count="0" hidden="1">
      <extLst>
        <ext xmlns:x15="http://schemas.microsoft.com/office/spreadsheetml/2010/11/main" uri="{B97F6D7D-B522-45F9-BDA1-12C45D357490}">
          <x15:cacheHierarchy aggregatedColumn="10"/>
        </ext>
      </extLst>
    </cacheHierarchy>
    <cacheHierarchy uniqueName="[Measures].[Sum of Unit price]" caption="Sum of Unit price" measure="1" displayFolder="" measureGroup="Data" count="0" hidden="1">
      <extLst>
        <ext xmlns:x15="http://schemas.microsoft.com/office/spreadsheetml/2010/11/main" uri="{B97F6D7D-B522-45F9-BDA1-12C45D357490}">
          <x15:cacheHierarchy aggregatedColumn="7"/>
        </ext>
      </extLst>
    </cacheHierarchy>
    <cacheHierarchy uniqueName="[Measures].[Average of Unit price]" caption="Average of Unit price" measure="1" displayFolder="" measureGroup="Data" count="0" hidden="1">
      <extLst>
        <ext xmlns:x15="http://schemas.microsoft.com/office/spreadsheetml/2010/11/main" uri="{B97F6D7D-B522-45F9-BDA1-12C45D357490}">
          <x15:cacheHierarchy aggregatedColumn="7"/>
        </ext>
      </extLst>
    </cacheHierarchy>
    <cacheHierarchy uniqueName="[Measures].[Max of Unit price]" caption="Max of Unit price" measure="1" displayFolder="" measureGroup="Data" count="0" hidden="1">
      <extLst>
        <ext xmlns:x15="http://schemas.microsoft.com/office/spreadsheetml/2010/11/main" uri="{B97F6D7D-B522-45F9-BDA1-12C45D357490}">
          <x15:cacheHierarchy aggregatedColumn="7"/>
        </ext>
      </extLst>
    </cacheHierarchy>
    <cacheHierarchy uniqueName="[Measures].[Min of Unit price]" caption="Min of Unit price" measure="1" displayFolder="" measureGroup="Data" count="0" hidden="1">
      <extLst>
        <ext xmlns:x15="http://schemas.microsoft.com/office/spreadsheetml/2010/11/main" uri="{B97F6D7D-B522-45F9-BDA1-12C45D357490}">
          <x15:cacheHierarchy aggregatedColumn="7"/>
        </ext>
      </extLst>
    </cacheHierarchy>
  </cacheHierarchies>
  <kpis count="0"/>
  <dimensions count="4">
    <dimension name="Data" uniqueName="[Data]" caption="Data"/>
    <dimension measure="1" name="Measures" uniqueName="[Measures]" caption="Measures"/>
    <dimension name="REP" uniqueName="[REP]" caption="REP"/>
    <dimension name="Returns" uniqueName="[Returns]" caption="Returns"/>
  </dimensions>
  <measureGroups count="3">
    <measureGroup name="Data" caption="Data"/>
    <measureGroup name="REP" caption="REP"/>
    <measureGroup name="Returns" caption="Returns"/>
  </measureGroups>
  <maps count="5">
    <map measureGroup="0" dimension="0"/>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saveData="0" refreshedBy="Amira" refreshedDate="46139.489659606479" backgroundQuery="1" createdVersion="6" refreshedVersion="6" minRefreshableVersion="3" recordCount="0" supportSubquery="1" supportAdvancedDrill="1">
  <cacheSource type="external" connectionId="1"/>
  <cacheFields count="4">
    <cacheField name="[Measures].[Average of Unit price]" caption="Average of Unit price" numFmtId="0" hierarchy="52" level="32767"/>
    <cacheField name="[Measures].[Max of Unit price]" caption="Max of Unit price" numFmtId="0" hierarchy="53" level="32767"/>
    <cacheField name="[Measures].[Min of Unit price]" caption="Min of Unit price" numFmtId="0" hierarchy="54" level="32767"/>
    <cacheField name="[Data].[Year].[Year]" caption="Year" numFmtId="0" hierarchy="14" level="1">
      <sharedItems containsSemiMixedTypes="0" containsNonDate="0" containsString="0"/>
    </cacheField>
  </cacheFields>
  <cacheHierarchies count="55">
    <cacheHierarchy uniqueName="[Data].[Invoice ID]" caption="Invoice ID" attribute="1" defaultMemberUniqueName="[Data].[Invoice ID].[All]" allUniqueName="[Data].[Invoice ID].[All]" dimensionUniqueName="[Data]" displayFolder="" count="0" memberValueDatatype="130" unbalanced="0"/>
    <cacheHierarchy uniqueName="[Data].[Branch]" caption="Branch" attribute="1" defaultMemberUniqueName="[Data].[Branch].[All]" allUniqueName="[Data].[Branch].[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Branch City]" caption="Branch City" attribute="1" defaultMemberUniqueName="[Data].[Branch City].[All]" allUniqueName="[Data].[Branch City].[All]" dimensionUniqueName="[Data]" displayFolder="" count="2" memberValueDatatype="130" unbalanced="0"/>
    <cacheHierarchy uniqueName="[Data].[Customer type]" caption="Customer type" attribute="1" defaultMemberUniqueName="[Data].[Customer type].[All]" allUniqueName="[Data].[Customer type].[All]" dimensionUniqueName="[Data]" displayFolder="" count="0" memberValueDatatype="130" unbalanced="0"/>
    <cacheHierarchy uniqueName="[Data].[Gender]" caption="Gender" attribute="1" defaultMemberUniqueName="[Data].[Gender].[All]" allUniqueName="[Data].[Gender].[All]" dimensionUniqueName="[Data]" displayFolder="" count="0" memberValueDatatype="130" unbalanced="0"/>
    <cacheHierarchy uniqueName="[Data].[Product line]" caption="Product line" attribute="1" defaultMemberUniqueName="[Data].[Product line].[All]" allUniqueName="[Data].[Product line].[All]" dimensionUniqueName="[Data]" displayFolder="" count="2" memberValueDatatype="130" unbalanced="0"/>
    <cacheHierarchy uniqueName="[Data].[Unit price]" caption="Unit price" attribute="1" defaultMemberUniqueName="[Data].[Unit price].[All]" allUniqueName="[Data].[Unit price].[All]" dimensionUniqueName="[Data]" displayFolder="" count="0" memberValueDatatype="5" unbalanced="0"/>
    <cacheHierarchy uniqueName="[Data].[Quantity]" caption="Quantity" attribute="1" defaultMemberUniqueName="[Data].[Quantity].[All]" allUniqueName="[Data].[Quantity].[All]" dimensionUniqueName="[Data]" displayFolder="" count="0" memberValueDatatype="20" unbalanced="0"/>
    <cacheHierarchy uniqueName="[Data].[Tax 5%]" caption="Tax 5%" attribute="1" defaultMemberUniqueName="[Data].[Tax 5%].[All]" allUniqueName="[Data].[Tax 5%].[All]" dimensionUniqueName="[Data]" displayFolder="" count="0" memberValueDatatype="5" unbalanced="0"/>
    <cacheHierarchy uniqueName="[Data].[Total]" caption="Total" attribute="1" defaultMemberUniqueName="[Data].[Total].[All]" allUniqueName="[Data].[Total].[All]" dimensionUniqueName="[Data]" displayFolder="" count="0" memberValueDatatype="5" unbalanced="0"/>
    <cacheHierarchy uniqueName="[Data].[Date]" caption="Date" attribute="1" time="1" defaultMemberUniqueName="[Data].[Date].[All]" allUniqueName="[Data].[Date].[All]" dimensionUniqueName="[Data]" displayFolder="" count="0" memberValueDatatype="7" unbalanced="0"/>
    <cacheHierarchy uniqueName="[Data].[Day]" caption="Day" attribute="1" defaultMemberUniqueName="[Data].[Day].[All]" allUniqueName="[Data].[Day].[All]" dimensionUniqueName="[Data]" displayFolder="" count="0" memberValueDatatype="20" unbalanced="0"/>
    <cacheHierarchy uniqueName="[Data].[Month]" caption="Month" attribute="1" defaultMemberUniqueName="[Data].[Month].[All]" allUniqueName="[Data].[Month].[All]" dimensionUniqueName="[Data]" displayFolder="" count="0" memberValueDatatype="20" unbalanced="0"/>
    <cacheHierarchy uniqueName="[Data].[Year]" caption="Year" attribute="1" defaultMemberUniqueName="[Data].[Year].[All]" allUniqueName="[Data].[Year].[All]" dimensionUniqueName="[Data]" displayFolder="" count="2" memberValueDatatype="20" unbalanced="0">
      <fieldsUsage count="2">
        <fieldUsage x="-1"/>
        <fieldUsage x="3"/>
      </fieldsUsage>
    </cacheHierarchy>
    <cacheHierarchy uniqueName="[Data].[Time]" caption="Time" attribute="1" time="1" defaultMemberUniqueName="[Data].[Time].[All]" allUniqueName="[Data].[Time].[All]" dimensionUniqueName="[Data]" displayFolder="" count="0" memberValueDatatype="7" unbalanced="0"/>
    <cacheHierarchy uniqueName="[Data].[Payment]" caption="Payment" attribute="1" defaultMemberUniqueName="[Data].[Payment].[All]" allUniqueName="[Data].[Payment].[All]" dimensionUniqueName="[Data]" displayFolder="" count="0" memberValueDatatype="130" unbalanced="0"/>
    <cacheHierarchy uniqueName="[Data].[cogs]" caption="cogs" attribute="1" defaultMemberUniqueName="[Data].[cogs].[All]" allUniqueName="[Data].[cogs].[All]" dimensionUniqueName="[Data]" displayFolder="" count="0" memberValueDatatype="5" unbalanced="0"/>
    <cacheHierarchy uniqueName="[Data].[Net Profit]" caption="Net Profit" attribute="1" defaultMemberUniqueName="[Data].[Net Profit].[All]" allUniqueName="[Data].[Net Profit].[All]" dimensionUniqueName="[Data]" displayFolder="" count="0" memberValueDatatype="5" unbalanced="0"/>
    <cacheHierarchy uniqueName="[Data].[Rating]" caption="Rating" attribute="1" defaultMemberUniqueName="[Data].[Rating].[All]" allUniqueName="[Data].[Rating].[All]" dimensionUniqueName="[Data]" displayFolder="" count="0" memberValueDatatype="5" unbalanced="0"/>
    <cacheHierarchy uniqueName="[Data].[Time (Hour)]" caption="Time (Hour)" attribute="1" defaultMemberUniqueName="[Data].[Time (Hour)].[All]" allUniqueName="[Data].[Time (Hour)].[All]" dimensionUniqueName="[Data]" displayFolder="" count="0" memberValueDatatype="130" unbalanced="0"/>
    <cacheHierarchy uniqueName="[Data].[Time (Minute)]" caption="Time (Minute)" attribute="1" defaultMemberUniqueName="[Data].[Time (Minute)].[All]" allUniqueName="[Data].[Time (Minute)].[All]" dimensionUniqueName="[Data]" displayFolder="" count="0" memberValueDatatype="130" unbalanced="0"/>
    <cacheHierarchy uniqueName="[REP].[city]" caption="city" attribute="1" defaultMemberUniqueName="[REP].[city].[All]" allUniqueName="[REP].[city].[All]" dimensionUniqueName="[REP]" displayFolder="" count="0" memberValueDatatype="130" unbalanced="0"/>
    <cacheHierarchy uniqueName="[REP].[Rep]" caption="Rep" attribute="1" defaultMemberUniqueName="[REP].[Rep].[All]" allUniqueName="[REP].[Rep].[All]" dimensionUniqueName="[REP]" displayFolder="" count="0" memberValueDatatype="130" unbalanced="0"/>
    <cacheHierarchy uniqueName="[Returns].[returns]" caption="returns" attribute="1" defaultMemberUniqueName="[Returns].[returns].[All]" allUniqueName="[Returns].[returns].[All]" dimensionUniqueName="[Returns]" displayFolder="" count="0" memberValueDatatype="130" unbalanced="0"/>
    <cacheHierarchy uniqueName="[Returns].[Invoice ID]" caption="Invoice ID" attribute="1" defaultMemberUniqueName="[Returns].[Invoice ID].[All]" allUniqueName="[Returns].[Invoice ID].[All]" dimensionUniqueName="[Returns]" displayFolder="" count="0" memberValueDatatype="130" unbalanced="0"/>
    <cacheHierarchy uniqueName="[Measures].[__XL_Count REP]" caption="__XL_Count REP" measure="1" displayFolder="" measureGroup="REP" count="0" hidden="1"/>
    <cacheHierarchy uniqueName="[Measures].[__XL_Count Returns]" caption="__XL_Count Returns" measure="1" displayFolder="" measureGroup="Returns" count="0" hidden="1"/>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Total]" caption="Sum of Total" measure="1" displayFolder="" measureGroup="Data" count="0" hidden="1">
      <extLst>
        <ext xmlns:x15="http://schemas.microsoft.com/office/spreadsheetml/2010/11/main" uri="{B97F6D7D-B522-45F9-BDA1-12C45D357490}">
          <x15:cacheHierarchy aggregatedColumn="10"/>
        </ext>
      </extLst>
    </cacheHierarchy>
    <cacheHierarchy uniqueName="[Measures].[Count of returns]" caption="Count of returns" measure="1" displayFolder="" measureGroup="Returns" count="0" hidden="1">
      <extLst>
        <ext xmlns:x15="http://schemas.microsoft.com/office/spreadsheetml/2010/11/main" uri="{B97F6D7D-B522-45F9-BDA1-12C45D357490}">
          <x15:cacheHierarchy aggregatedColumn="24"/>
        </ext>
      </extLst>
    </cacheHierarchy>
    <cacheHierarchy uniqueName="[Measures].[Sum of Net Profit]" caption="Sum of Net Profit" measure="1" displayFolder="" measureGroup="Data" count="0" hidden="1">
      <extLst>
        <ext xmlns:x15="http://schemas.microsoft.com/office/spreadsheetml/2010/11/main" uri="{B97F6D7D-B522-45F9-BDA1-12C45D357490}">
          <x15:cacheHierarchy aggregatedColumn="18"/>
        </ext>
      </extLst>
    </cacheHierarchy>
    <cacheHierarchy uniqueName="[Measures].[Sum of cogs]" caption="Sum of cogs" measure="1" displayFolder="" measureGroup="Data" count="0" hidden="1">
      <extLst>
        <ext xmlns:x15="http://schemas.microsoft.com/office/spreadsheetml/2010/11/main" uri="{B97F6D7D-B522-45F9-BDA1-12C45D357490}">
          <x15:cacheHierarchy aggregatedColumn="17"/>
        </ext>
      </extLst>
    </cacheHierarchy>
    <cacheHierarchy uniqueName="[Measures].[Sum of Tax 5%]" caption="Sum of Tax 5%" measure="1" displayFolder="" measureGroup="Data" count="0" hidden="1">
      <extLst>
        <ext xmlns:x15="http://schemas.microsoft.com/office/spreadsheetml/2010/11/main" uri="{B97F6D7D-B522-45F9-BDA1-12C45D357490}">
          <x15:cacheHierarchy aggregatedColumn="9"/>
        </ext>
      </extLst>
    </cacheHierarchy>
    <cacheHierarchy uniqueName="[Measures].[Average of Net Profit]" caption="Average of Net Profit" measure="1" displayFolder="" measureGroup="Data"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8"/>
        </ext>
      </extLst>
    </cacheHierarchy>
    <cacheHierarchy uniqueName="[Measures].[Count of Invoice ID]" caption="Count of Invoice ID" measure="1" displayFolder="" measureGroup="Data" count="0" hidden="1">
      <extLst>
        <ext xmlns:x15="http://schemas.microsoft.com/office/spreadsheetml/2010/11/main" uri="{B97F6D7D-B522-45F9-BDA1-12C45D357490}">
          <x15:cacheHierarchy aggregatedColumn="0"/>
        </ext>
      </extLst>
    </cacheHierarchy>
    <cacheHierarchy uniqueName="[Measures].[Count of Quantity]" caption="Count of Quantity" measure="1" displayFolder="" measureGroup="Data" count="0" hidden="1">
      <extLst>
        <ext xmlns:x15="http://schemas.microsoft.com/office/spreadsheetml/2010/11/main" uri="{B97F6D7D-B522-45F9-BDA1-12C45D357490}">
          <x15:cacheHierarchy aggregatedColumn="8"/>
        </ext>
      </extLst>
    </cacheHierarchy>
    <cacheHierarchy uniqueName="[Measures].[Count of Product line]" caption="Count of Product line" measure="1" displayFolder="" measureGroup="Data" count="0" hidden="1">
      <extLst>
        <ext xmlns:x15="http://schemas.microsoft.com/office/spreadsheetml/2010/11/main" uri="{B97F6D7D-B522-45F9-BDA1-12C45D357490}">
          <x15:cacheHierarchy aggregatedColumn="6"/>
        </ext>
      </extLst>
    </cacheHierarchy>
    <cacheHierarchy uniqueName="[Measures].[Count of Invoice ID 2]" caption="Count of Invoice ID 2" measure="1" displayFolder="" measureGroup="Returns" count="0" hidden="1">
      <extLst>
        <ext xmlns:x15="http://schemas.microsoft.com/office/spreadsheetml/2010/11/main" uri="{B97F6D7D-B522-45F9-BDA1-12C45D357490}">
          <x15:cacheHierarchy aggregatedColumn="25"/>
        </ext>
      </extLst>
    </cacheHierarchy>
    <cacheHierarchy uniqueName="[Measures].[Sum of Rating]" caption="Sum of Rating" measure="1" displayFolder="" measureGroup="Data" count="0" hidden="1">
      <extLst>
        <ext xmlns:x15="http://schemas.microsoft.com/office/spreadsheetml/2010/11/main" uri="{B97F6D7D-B522-45F9-BDA1-12C45D357490}">
          <x15:cacheHierarchy aggregatedColumn="19"/>
        </ext>
      </extLst>
    </cacheHierarchy>
    <cacheHierarchy uniqueName="[Measures].[Average of Rating]" caption="Average of Rating" measure="1" displayFolder="" measureGroup="Data" count="0" hidden="1">
      <extLst>
        <ext xmlns:x15="http://schemas.microsoft.com/office/spreadsheetml/2010/11/main" uri="{B97F6D7D-B522-45F9-BDA1-12C45D357490}">
          <x15:cacheHierarchy aggregatedColumn="19"/>
        </ext>
      </extLst>
    </cacheHierarchy>
    <cacheHierarchy uniqueName="[Measures].[Min of Rating]" caption="Min of Rating" measure="1" displayFolder="" measureGroup="Data" count="0" hidden="1">
      <extLst>
        <ext xmlns:x15="http://schemas.microsoft.com/office/spreadsheetml/2010/11/main" uri="{B97F6D7D-B522-45F9-BDA1-12C45D357490}">
          <x15:cacheHierarchy aggregatedColumn="19"/>
        </ext>
      </extLst>
    </cacheHierarchy>
    <cacheHierarchy uniqueName="[Measures].[Max of Rating]" caption="Max of Rating" measure="1" displayFolder="" measureGroup="Data" count="0" hidden="1">
      <extLst>
        <ext xmlns:x15="http://schemas.microsoft.com/office/spreadsheetml/2010/11/main" uri="{B97F6D7D-B522-45F9-BDA1-12C45D357490}">
          <x15:cacheHierarchy aggregatedColumn="19"/>
        </ext>
      </extLst>
    </cacheHierarchy>
    <cacheHierarchy uniqueName="[Measures].[Count of Rating]" caption="Count of Rating" measure="1" displayFolder="" measureGroup="Data" count="0" hidden="1">
      <extLst>
        <ext xmlns:x15="http://schemas.microsoft.com/office/spreadsheetml/2010/11/main" uri="{B97F6D7D-B522-45F9-BDA1-12C45D357490}">
          <x15:cacheHierarchy aggregatedColumn="19"/>
        </ext>
      </extLst>
    </cacheHierarchy>
    <cacheHierarchy uniqueName="[Measures].[Distinct Count of Rating]" caption="Distinct Count of Rating" measure="1" displayFolder="" measureGroup="Data" count="0" hidden="1">
      <extLst>
        <ext xmlns:x15="http://schemas.microsoft.com/office/spreadsheetml/2010/11/main" uri="{B97F6D7D-B522-45F9-BDA1-12C45D357490}">
          <x15:cacheHierarchy aggregatedColumn="19"/>
        </ext>
      </extLst>
    </cacheHierarchy>
    <cacheHierarchy uniqueName="[Measures].[Distinct Count of Invoice ID]" caption="Distinct Count of Invoice ID" measure="1" displayFolder="" measureGroup="Data" count="0" hidden="1">
      <extLst>
        <ext xmlns:x15="http://schemas.microsoft.com/office/spreadsheetml/2010/11/main" uri="{B97F6D7D-B522-45F9-BDA1-12C45D357490}">
          <x15:cacheHierarchy aggregatedColumn="0"/>
        </ext>
      </extLst>
    </cacheHierarchy>
    <cacheHierarchy uniqueName="[Measures].[Count of Customer type]" caption="Count of Customer type" measure="1" displayFolder="" measureGroup="Data" count="0" hidden="1">
      <extLst>
        <ext xmlns:x15="http://schemas.microsoft.com/office/spreadsheetml/2010/11/main" uri="{B97F6D7D-B522-45F9-BDA1-12C45D357490}">
          <x15:cacheHierarchy aggregatedColumn="4"/>
        </ext>
      </extLst>
    </cacheHierarchy>
    <cacheHierarchy uniqueName="[Measures].[Count of Payment]" caption="Count of Payment" measure="1" displayFolder="" measureGroup="Data" count="0" hidden="1">
      <extLst>
        <ext xmlns:x15="http://schemas.microsoft.com/office/spreadsheetml/2010/11/main" uri="{B97F6D7D-B522-45F9-BDA1-12C45D357490}">
          <x15:cacheHierarchy aggregatedColumn="16"/>
        </ext>
      </extLst>
    </cacheHierarchy>
    <cacheHierarchy uniqueName="[Measures].[Average of Total]" caption="Average of Total" measure="1" displayFolder="" measureGroup="Data" count="0" hidden="1">
      <extLst>
        <ext xmlns:x15="http://schemas.microsoft.com/office/spreadsheetml/2010/11/main" uri="{B97F6D7D-B522-45F9-BDA1-12C45D357490}">
          <x15:cacheHierarchy aggregatedColumn="10"/>
        </ext>
      </extLst>
    </cacheHierarchy>
    <cacheHierarchy uniqueName="[Measures].[Sum of Unit price]" caption="Sum of Unit price" measure="1" displayFolder="" measureGroup="Data" count="0" hidden="1">
      <extLst>
        <ext xmlns:x15="http://schemas.microsoft.com/office/spreadsheetml/2010/11/main" uri="{B97F6D7D-B522-45F9-BDA1-12C45D357490}">
          <x15:cacheHierarchy aggregatedColumn="7"/>
        </ext>
      </extLst>
    </cacheHierarchy>
    <cacheHierarchy uniqueName="[Measures].[Average of Unit price]" caption="Average of Unit price" measure="1" displayFolder="" measureGroup="Data" count="0" oneField="1" hidden="1">
      <fieldsUsage count="1">
        <fieldUsage x="0"/>
      </fieldsUsage>
      <extLst>
        <ext xmlns:x15="http://schemas.microsoft.com/office/spreadsheetml/2010/11/main" uri="{B97F6D7D-B522-45F9-BDA1-12C45D357490}">
          <x15:cacheHierarchy aggregatedColumn="7"/>
        </ext>
      </extLst>
    </cacheHierarchy>
    <cacheHierarchy uniqueName="[Measures].[Max of Unit price]" caption="Max of Unit price" measure="1" displayFolder="" measureGroup="Data" count="0" oneField="1" hidden="1">
      <fieldsUsage count="1">
        <fieldUsage x="1"/>
      </fieldsUsage>
      <extLst>
        <ext xmlns:x15="http://schemas.microsoft.com/office/spreadsheetml/2010/11/main" uri="{B97F6D7D-B522-45F9-BDA1-12C45D357490}">
          <x15:cacheHierarchy aggregatedColumn="7"/>
        </ext>
      </extLst>
    </cacheHierarchy>
    <cacheHierarchy uniqueName="[Measures].[Min of Unit price]" caption="Min of Unit price" measure="1" displayFolder="" measureGroup="Data" count="0" oneField="1" hidden="1">
      <fieldsUsage count="1">
        <fieldUsage x="2"/>
      </fieldsUsage>
      <extLst>
        <ext xmlns:x15="http://schemas.microsoft.com/office/spreadsheetml/2010/11/main" uri="{B97F6D7D-B522-45F9-BDA1-12C45D357490}">
          <x15:cacheHierarchy aggregatedColumn="7"/>
        </ext>
      </extLst>
    </cacheHierarchy>
  </cacheHierarchies>
  <kpis count="0"/>
  <dimensions count="4">
    <dimension name="Data" uniqueName="[Data]" caption="Data"/>
    <dimension measure="1" name="Measures" uniqueName="[Measures]" caption="Measures"/>
    <dimension name="REP" uniqueName="[REP]" caption="REP"/>
    <dimension name="Returns" uniqueName="[Returns]" caption="Returns"/>
  </dimensions>
  <measureGroups count="3">
    <measureGroup name="Data" caption="Data"/>
    <measureGroup name="REP" caption="REP"/>
    <measureGroup name="Returns" caption="Returns"/>
  </measureGroups>
  <maps count="5">
    <map measureGroup="0" dimension="0"/>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saveData="0" refreshedBy="Amira" refreshedDate="46139.489660185187" backgroundQuery="1" createdVersion="6" refreshedVersion="6" minRefreshableVersion="3" recordCount="0" supportSubquery="1" supportAdvancedDrill="1">
  <cacheSource type="external" connectionId="1"/>
  <cacheFields count="4">
    <cacheField name="[Data].[Year].[Year]" caption="Year" numFmtId="0" hierarchy="14" level="1">
      <sharedItems containsSemiMixedTypes="0" containsNonDate="0" containsString="0"/>
    </cacheField>
    <cacheField name="[Returns].[returns].[returns]" caption="returns" numFmtId="0" hierarchy="24" level="1">
      <sharedItems containsBlank="1" count="2">
        <s v="yes"/>
        <m/>
      </sharedItems>
    </cacheField>
    <cacheField name="[Data].[Branch City].[Branch City]" caption="Branch City" numFmtId="0" hierarchy="3" level="1">
      <sharedItems count="3">
        <s v="Br. A (Yangon)"/>
        <s v="Br. B (Mandalay)"/>
        <s v="Br. C (Naypyitaw)"/>
      </sharedItems>
    </cacheField>
    <cacheField name="[Measures].[Sum of Total]" caption="Sum of Total" numFmtId="0" hierarchy="30" level="32767"/>
  </cacheFields>
  <cacheHierarchies count="55">
    <cacheHierarchy uniqueName="[Data].[Invoice ID]" caption="Invoice ID" attribute="1" defaultMemberUniqueName="[Data].[Invoice ID].[All]" allUniqueName="[Data].[Invoice ID].[All]" dimensionUniqueName="[Data]" displayFolder="" count="0" memberValueDatatype="130" unbalanced="0"/>
    <cacheHierarchy uniqueName="[Data].[Branch]" caption="Branch" attribute="1" defaultMemberUniqueName="[Data].[Branch].[All]" allUniqueName="[Data].[Branch].[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Branch City]" caption="Branch City" attribute="1" defaultMemberUniqueName="[Data].[Branch City].[All]" allUniqueName="[Data].[Branch City].[All]" dimensionUniqueName="[Data]" displayFolder="" count="2" memberValueDatatype="130" unbalanced="0">
      <fieldsUsage count="2">
        <fieldUsage x="-1"/>
        <fieldUsage x="2"/>
      </fieldsUsage>
    </cacheHierarchy>
    <cacheHierarchy uniqueName="[Data].[Customer type]" caption="Customer type" attribute="1" defaultMemberUniqueName="[Data].[Customer type].[All]" allUniqueName="[Data].[Customer type].[All]" dimensionUniqueName="[Data]" displayFolder="" count="0" memberValueDatatype="130" unbalanced="0"/>
    <cacheHierarchy uniqueName="[Data].[Gender]" caption="Gender" attribute="1" defaultMemberUniqueName="[Data].[Gender].[All]" allUniqueName="[Data].[Gender].[All]" dimensionUniqueName="[Data]" displayFolder="" count="0" memberValueDatatype="130" unbalanced="0"/>
    <cacheHierarchy uniqueName="[Data].[Product line]" caption="Product line" attribute="1" defaultMemberUniqueName="[Data].[Product line].[All]" allUniqueName="[Data].[Product line].[All]" dimensionUniqueName="[Data]" displayFolder="" count="2" memberValueDatatype="130" unbalanced="0"/>
    <cacheHierarchy uniqueName="[Data].[Unit price]" caption="Unit price" attribute="1" defaultMemberUniqueName="[Data].[Unit price].[All]" allUniqueName="[Data].[Unit price].[All]" dimensionUniqueName="[Data]" displayFolder="" count="0" memberValueDatatype="5" unbalanced="0"/>
    <cacheHierarchy uniqueName="[Data].[Quantity]" caption="Quantity" attribute="1" defaultMemberUniqueName="[Data].[Quantity].[All]" allUniqueName="[Data].[Quantity].[All]" dimensionUniqueName="[Data]" displayFolder="" count="0" memberValueDatatype="20" unbalanced="0"/>
    <cacheHierarchy uniqueName="[Data].[Tax 5%]" caption="Tax 5%" attribute="1" defaultMemberUniqueName="[Data].[Tax 5%].[All]" allUniqueName="[Data].[Tax 5%].[All]" dimensionUniqueName="[Data]" displayFolder="" count="0" memberValueDatatype="5" unbalanced="0"/>
    <cacheHierarchy uniqueName="[Data].[Total]" caption="Total" attribute="1" defaultMemberUniqueName="[Data].[Total].[All]" allUniqueName="[Data].[Total].[All]" dimensionUniqueName="[Data]" displayFolder="" count="0" memberValueDatatype="5" unbalanced="0"/>
    <cacheHierarchy uniqueName="[Data].[Date]" caption="Date" attribute="1" time="1" defaultMemberUniqueName="[Data].[Date].[All]" allUniqueName="[Data].[Date].[All]" dimensionUniqueName="[Data]" displayFolder="" count="0" memberValueDatatype="7" unbalanced="0"/>
    <cacheHierarchy uniqueName="[Data].[Day]" caption="Day" attribute="1" defaultMemberUniqueName="[Data].[Day].[All]" allUniqueName="[Data].[Day].[All]" dimensionUniqueName="[Data]" displayFolder="" count="0" memberValueDatatype="20" unbalanced="0"/>
    <cacheHierarchy uniqueName="[Data].[Month]" caption="Month" attribute="1" defaultMemberUniqueName="[Data].[Month].[All]" allUniqueName="[Data].[Month].[All]" dimensionUniqueName="[Data]" displayFolder="" count="0" memberValueDatatype="20" unbalanced="0"/>
    <cacheHierarchy uniqueName="[Data].[Year]" caption="Year" attribute="1" defaultMemberUniqueName="[Data].[Year].[All]" allUniqueName="[Data].[Year].[All]" dimensionUniqueName="[Data]" displayFolder="" count="2" memberValueDatatype="20" unbalanced="0">
      <fieldsUsage count="2">
        <fieldUsage x="-1"/>
        <fieldUsage x="0"/>
      </fieldsUsage>
    </cacheHierarchy>
    <cacheHierarchy uniqueName="[Data].[Time]" caption="Time" attribute="1" time="1" defaultMemberUniqueName="[Data].[Time].[All]" allUniqueName="[Data].[Time].[All]" dimensionUniqueName="[Data]" displayFolder="" count="0" memberValueDatatype="7" unbalanced="0"/>
    <cacheHierarchy uniqueName="[Data].[Payment]" caption="Payment" attribute="1" defaultMemberUniqueName="[Data].[Payment].[All]" allUniqueName="[Data].[Payment].[All]" dimensionUniqueName="[Data]" displayFolder="" count="0" memberValueDatatype="130" unbalanced="0"/>
    <cacheHierarchy uniqueName="[Data].[cogs]" caption="cogs" attribute="1" defaultMemberUniqueName="[Data].[cogs].[All]" allUniqueName="[Data].[cogs].[All]" dimensionUniqueName="[Data]" displayFolder="" count="0" memberValueDatatype="5" unbalanced="0"/>
    <cacheHierarchy uniqueName="[Data].[Net Profit]" caption="Net Profit" attribute="1" defaultMemberUniqueName="[Data].[Net Profit].[All]" allUniqueName="[Data].[Net Profit].[All]" dimensionUniqueName="[Data]" displayFolder="" count="0" memberValueDatatype="5" unbalanced="0"/>
    <cacheHierarchy uniqueName="[Data].[Rating]" caption="Rating" attribute="1" defaultMemberUniqueName="[Data].[Rating].[All]" allUniqueName="[Data].[Rating].[All]" dimensionUniqueName="[Data]" displayFolder="" count="0" memberValueDatatype="5" unbalanced="0"/>
    <cacheHierarchy uniqueName="[Data].[Time (Hour)]" caption="Time (Hour)" attribute="1" defaultMemberUniqueName="[Data].[Time (Hour)].[All]" allUniqueName="[Data].[Time (Hour)].[All]" dimensionUniqueName="[Data]" displayFolder="" count="0" memberValueDatatype="130" unbalanced="0"/>
    <cacheHierarchy uniqueName="[Data].[Time (Minute)]" caption="Time (Minute)" attribute="1" defaultMemberUniqueName="[Data].[Time (Minute)].[All]" allUniqueName="[Data].[Time (Minute)].[All]" dimensionUniqueName="[Data]" displayFolder="" count="0" memberValueDatatype="130" unbalanced="0"/>
    <cacheHierarchy uniqueName="[REP].[city]" caption="city" attribute="1" defaultMemberUniqueName="[REP].[city].[All]" allUniqueName="[REP].[city].[All]" dimensionUniqueName="[REP]" displayFolder="" count="0" memberValueDatatype="130" unbalanced="0"/>
    <cacheHierarchy uniqueName="[REP].[Rep]" caption="Rep" attribute="1" defaultMemberUniqueName="[REP].[Rep].[All]" allUniqueName="[REP].[Rep].[All]" dimensionUniqueName="[REP]" displayFolder="" count="0" memberValueDatatype="130" unbalanced="0"/>
    <cacheHierarchy uniqueName="[Returns].[returns]" caption="returns" attribute="1" defaultMemberUniqueName="[Returns].[returns].[All]" allUniqueName="[Returns].[returns].[All]" dimensionUniqueName="[Returns]" displayFolder="" count="2" memberValueDatatype="130" unbalanced="0">
      <fieldsUsage count="2">
        <fieldUsage x="-1"/>
        <fieldUsage x="1"/>
      </fieldsUsage>
    </cacheHierarchy>
    <cacheHierarchy uniqueName="[Returns].[Invoice ID]" caption="Invoice ID" attribute="1" defaultMemberUniqueName="[Returns].[Invoice ID].[All]" allUniqueName="[Returns].[Invoice ID].[All]" dimensionUniqueName="[Returns]" displayFolder="" count="0" memberValueDatatype="130" unbalanced="0"/>
    <cacheHierarchy uniqueName="[Measures].[__XL_Count REP]" caption="__XL_Count REP" measure="1" displayFolder="" measureGroup="REP" count="0" hidden="1"/>
    <cacheHierarchy uniqueName="[Measures].[__XL_Count Returns]" caption="__XL_Count Returns" measure="1" displayFolder="" measureGroup="Returns" count="0" hidden="1"/>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Total]" caption="Sum of Total" measure="1" displayFolder="" measureGroup="Data" count="0" oneField="1" hidden="1">
      <fieldsUsage count="1">
        <fieldUsage x="3"/>
      </fieldsUsage>
      <extLst>
        <ext xmlns:x15="http://schemas.microsoft.com/office/spreadsheetml/2010/11/main" uri="{B97F6D7D-B522-45F9-BDA1-12C45D357490}">
          <x15:cacheHierarchy aggregatedColumn="10"/>
        </ext>
      </extLst>
    </cacheHierarchy>
    <cacheHierarchy uniqueName="[Measures].[Count of returns]" caption="Count of returns" measure="1" displayFolder="" measureGroup="Returns" count="0" hidden="1">
      <extLst>
        <ext xmlns:x15="http://schemas.microsoft.com/office/spreadsheetml/2010/11/main" uri="{B97F6D7D-B522-45F9-BDA1-12C45D357490}">
          <x15:cacheHierarchy aggregatedColumn="24"/>
        </ext>
      </extLst>
    </cacheHierarchy>
    <cacheHierarchy uniqueName="[Measures].[Sum of Net Profit]" caption="Sum of Net Profit" measure="1" displayFolder="" measureGroup="Data" count="0" hidden="1">
      <extLst>
        <ext xmlns:x15="http://schemas.microsoft.com/office/spreadsheetml/2010/11/main" uri="{B97F6D7D-B522-45F9-BDA1-12C45D357490}">
          <x15:cacheHierarchy aggregatedColumn="18"/>
        </ext>
      </extLst>
    </cacheHierarchy>
    <cacheHierarchy uniqueName="[Measures].[Sum of cogs]" caption="Sum of cogs" measure="1" displayFolder="" measureGroup="Data" count="0" hidden="1">
      <extLst>
        <ext xmlns:x15="http://schemas.microsoft.com/office/spreadsheetml/2010/11/main" uri="{B97F6D7D-B522-45F9-BDA1-12C45D357490}">
          <x15:cacheHierarchy aggregatedColumn="17"/>
        </ext>
      </extLst>
    </cacheHierarchy>
    <cacheHierarchy uniqueName="[Measures].[Sum of Tax 5%]" caption="Sum of Tax 5%" measure="1" displayFolder="" measureGroup="Data" count="0" hidden="1">
      <extLst>
        <ext xmlns:x15="http://schemas.microsoft.com/office/spreadsheetml/2010/11/main" uri="{B97F6D7D-B522-45F9-BDA1-12C45D357490}">
          <x15:cacheHierarchy aggregatedColumn="9"/>
        </ext>
      </extLst>
    </cacheHierarchy>
    <cacheHierarchy uniqueName="[Measures].[Average of Net Profit]" caption="Average of Net Profit" measure="1" displayFolder="" measureGroup="Data"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8"/>
        </ext>
      </extLst>
    </cacheHierarchy>
    <cacheHierarchy uniqueName="[Measures].[Count of Invoice ID]" caption="Count of Invoice ID" measure="1" displayFolder="" measureGroup="Data" count="0" hidden="1">
      <extLst>
        <ext xmlns:x15="http://schemas.microsoft.com/office/spreadsheetml/2010/11/main" uri="{B97F6D7D-B522-45F9-BDA1-12C45D357490}">
          <x15:cacheHierarchy aggregatedColumn="0"/>
        </ext>
      </extLst>
    </cacheHierarchy>
    <cacheHierarchy uniqueName="[Measures].[Count of Quantity]" caption="Count of Quantity" measure="1" displayFolder="" measureGroup="Data" count="0" hidden="1">
      <extLst>
        <ext xmlns:x15="http://schemas.microsoft.com/office/spreadsheetml/2010/11/main" uri="{B97F6D7D-B522-45F9-BDA1-12C45D357490}">
          <x15:cacheHierarchy aggregatedColumn="8"/>
        </ext>
      </extLst>
    </cacheHierarchy>
    <cacheHierarchy uniqueName="[Measures].[Count of Product line]" caption="Count of Product line" measure="1" displayFolder="" measureGroup="Data" count="0" hidden="1">
      <extLst>
        <ext xmlns:x15="http://schemas.microsoft.com/office/spreadsheetml/2010/11/main" uri="{B97F6D7D-B522-45F9-BDA1-12C45D357490}">
          <x15:cacheHierarchy aggregatedColumn="6"/>
        </ext>
      </extLst>
    </cacheHierarchy>
    <cacheHierarchy uniqueName="[Measures].[Count of Invoice ID 2]" caption="Count of Invoice ID 2" measure="1" displayFolder="" measureGroup="Returns" count="0" hidden="1">
      <extLst>
        <ext xmlns:x15="http://schemas.microsoft.com/office/spreadsheetml/2010/11/main" uri="{B97F6D7D-B522-45F9-BDA1-12C45D357490}">
          <x15:cacheHierarchy aggregatedColumn="25"/>
        </ext>
      </extLst>
    </cacheHierarchy>
    <cacheHierarchy uniqueName="[Measures].[Sum of Rating]" caption="Sum of Rating" measure="1" displayFolder="" measureGroup="Data" count="0" hidden="1">
      <extLst>
        <ext xmlns:x15="http://schemas.microsoft.com/office/spreadsheetml/2010/11/main" uri="{B97F6D7D-B522-45F9-BDA1-12C45D357490}">
          <x15:cacheHierarchy aggregatedColumn="19"/>
        </ext>
      </extLst>
    </cacheHierarchy>
    <cacheHierarchy uniqueName="[Measures].[Average of Rating]" caption="Average of Rating" measure="1" displayFolder="" measureGroup="Data" count="0" hidden="1">
      <extLst>
        <ext xmlns:x15="http://schemas.microsoft.com/office/spreadsheetml/2010/11/main" uri="{B97F6D7D-B522-45F9-BDA1-12C45D357490}">
          <x15:cacheHierarchy aggregatedColumn="19"/>
        </ext>
      </extLst>
    </cacheHierarchy>
    <cacheHierarchy uniqueName="[Measures].[Min of Rating]" caption="Min of Rating" measure="1" displayFolder="" measureGroup="Data" count="0" hidden="1">
      <extLst>
        <ext xmlns:x15="http://schemas.microsoft.com/office/spreadsheetml/2010/11/main" uri="{B97F6D7D-B522-45F9-BDA1-12C45D357490}">
          <x15:cacheHierarchy aggregatedColumn="19"/>
        </ext>
      </extLst>
    </cacheHierarchy>
    <cacheHierarchy uniqueName="[Measures].[Max of Rating]" caption="Max of Rating" measure="1" displayFolder="" measureGroup="Data" count="0" hidden="1">
      <extLst>
        <ext xmlns:x15="http://schemas.microsoft.com/office/spreadsheetml/2010/11/main" uri="{B97F6D7D-B522-45F9-BDA1-12C45D357490}">
          <x15:cacheHierarchy aggregatedColumn="19"/>
        </ext>
      </extLst>
    </cacheHierarchy>
    <cacheHierarchy uniqueName="[Measures].[Count of Rating]" caption="Count of Rating" measure="1" displayFolder="" measureGroup="Data" count="0" hidden="1">
      <extLst>
        <ext xmlns:x15="http://schemas.microsoft.com/office/spreadsheetml/2010/11/main" uri="{B97F6D7D-B522-45F9-BDA1-12C45D357490}">
          <x15:cacheHierarchy aggregatedColumn="19"/>
        </ext>
      </extLst>
    </cacheHierarchy>
    <cacheHierarchy uniqueName="[Measures].[Distinct Count of Rating]" caption="Distinct Count of Rating" measure="1" displayFolder="" measureGroup="Data" count="0" hidden="1">
      <extLst>
        <ext xmlns:x15="http://schemas.microsoft.com/office/spreadsheetml/2010/11/main" uri="{B97F6D7D-B522-45F9-BDA1-12C45D357490}">
          <x15:cacheHierarchy aggregatedColumn="19"/>
        </ext>
      </extLst>
    </cacheHierarchy>
    <cacheHierarchy uniqueName="[Measures].[Distinct Count of Invoice ID]" caption="Distinct Count of Invoice ID" measure="1" displayFolder="" measureGroup="Data" count="0" hidden="1">
      <extLst>
        <ext xmlns:x15="http://schemas.microsoft.com/office/spreadsheetml/2010/11/main" uri="{B97F6D7D-B522-45F9-BDA1-12C45D357490}">
          <x15:cacheHierarchy aggregatedColumn="0"/>
        </ext>
      </extLst>
    </cacheHierarchy>
    <cacheHierarchy uniqueName="[Measures].[Count of Customer type]" caption="Count of Customer type" measure="1" displayFolder="" measureGroup="Data" count="0" hidden="1">
      <extLst>
        <ext xmlns:x15="http://schemas.microsoft.com/office/spreadsheetml/2010/11/main" uri="{B97F6D7D-B522-45F9-BDA1-12C45D357490}">
          <x15:cacheHierarchy aggregatedColumn="4"/>
        </ext>
      </extLst>
    </cacheHierarchy>
    <cacheHierarchy uniqueName="[Measures].[Count of Payment]" caption="Count of Payment" measure="1" displayFolder="" measureGroup="Data" count="0" hidden="1">
      <extLst>
        <ext xmlns:x15="http://schemas.microsoft.com/office/spreadsheetml/2010/11/main" uri="{B97F6D7D-B522-45F9-BDA1-12C45D357490}">
          <x15:cacheHierarchy aggregatedColumn="16"/>
        </ext>
      </extLst>
    </cacheHierarchy>
    <cacheHierarchy uniqueName="[Measures].[Average of Total]" caption="Average of Total" measure="1" displayFolder="" measureGroup="Data" count="0" hidden="1">
      <extLst>
        <ext xmlns:x15="http://schemas.microsoft.com/office/spreadsheetml/2010/11/main" uri="{B97F6D7D-B522-45F9-BDA1-12C45D357490}">
          <x15:cacheHierarchy aggregatedColumn="10"/>
        </ext>
      </extLst>
    </cacheHierarchy>
    <cacheHierarchy uniqueName="[Measures].[Sum of Unit price]" caption="Sum of Unit price" measure="1" displayFolder="" measureGroup="Data" count="0" hidden="1">
      <extLst>
        <ext xmlns:x15="http://schemas.microsoft.com/office/spreadsheetml/2010/11/main" uri="{B97F6D7D-B522-45F9-BDA1-12C45D357490}">
          <x15:cacheHierarchy aggregatedColumn="7"/>
        </ext>
      </extLst>
    </cacheHierarchy>
    <cacheHierarchy uniqueName="[Measures].[Average of Unit price]" caption="Average of Unit price" measure="1" displayFolder="" measureGroup="Data" count="0" hidden="1">
      <extLst>
        <ext xmlns:x15="http://schemas.microsoft.com/office/spreadsheetml/2010/11/main" uri="{B97F6D7D-B522-45F9-BDA1-12C45D357490}">
          <x15:cacheHierarchy aggregatedColumn="7"/>
        </ext>
      </extLst>
    </cacheHierarchy>
    <cacheHierarchy uniqueName="[Measures].[Max of Unit price]" caption="Max of Unit price" measure="1" displayFolder="" measureGroup="Data" count="0" hidden="1">
      <extLst>
        <ext xmlns:x15="http://schemas.microsoft.com/office/spreadsheetml/2010/11/main" uri="{B97F6D7D-B522-45F9-BDA1-12C45D357490}">
          <x15:cacheHierarchy aggregatedColumn="7"/>
        </ext>
      </extLst>
    </cacheHierarchy>
    <cacheHierarchy uniqueName="[Measures].[Min of Unit price]" caption="Min of Unit price" measure="1" displayFolder="" measureGroup="Data" count="0" hidden="1">
      <extLst>
        <ext xmlns:x15="http://schemas.microsoft.com/office/spreadsheetml/2010/11/main" uri="{B97F6D7D-B522-45F9-BDA1-12C45D357490}">
          <x15:cacheHierarchy aggregatedColumn="7"/>
        </ext>
      </extLst>
    </cacheHierarchy>
  </cacheHierarchies>
  <kpis count="0"/>
  <dimensions count="4">
    <dimension name="Data" uniqueName="[Data]" caption="Data"/>
    <dimension measure="1" name="Measures" uniqueName="[Measures]" caption="Measures"/>
    <dimension name="REP" uniqueName="[REP]" caption="REP"/>
    <dimension name="Returns" uniqueName="[Returns]" caption="Returns"/>
  </dimensions>
  <measureGroups count="3">
    <measureGroup name="Data" caption="Data"/>
    <measureGroup name="REP" caption="REP"/>
    <measureGroup name="Returns" caption="Returns"/>
  </measureGroups>
  <maps count="5">
    <map measureGroup="0" dimension="0"/>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saveData="0" refreshedBy="Amira" refreshedDate="46139.489660879626" backgroundQuery="1" createdVersion="6" refreshedVersion="6" minRefreshableVersion="3" recordCount="0" supportSubquery="1" supportAdvancedDrill="1">
  <cacheSource type="external" connectionId="1"/>
  <cacheFields count="4">
    <cacheField name="[Data].[Year].[Year]" caption="Year" numFmtId="0" hierarchy="14" level="1">
      <sharedItems containsSemiMixedTypes="0" containsNonDate="0" containsString="0"/>
    </cacheField>
    <cacheField name="[REP].[Rep].[Rep]" caption="Rep" numFmtId="0" hierarchy="23" level="1">
      <sharedItems count="3">
        <s v="Ahmed Elminofy"/>
        <s v="Mohamed Elbanhawy"/>
        <s v="Mostafa Eltantawy"/>
      </sharedItems>
    </cacheField>
    <cacheField name="[Measures].[Sum of Net Profit]" caption="Sum of Net Profit" numFmtId="0" hierarchy="32" level="32767"/>
    <cacheField name="[Measures].[Sum of Total]" caption="Sum of Total" numFmtId="0" hierarchy="30" level="32767"/>
  </cacheFields>
  <cacheHierarchies count="55">
    <cacheHierarchy uniqueName="[Data].[Invoice ID]" caption="Invoice ID" attribute="1" defaultMemberUniqueName="[Data].[Invoice ID].[All]" allUniqueName="[Data].[Invoice ID].[All]" dimensionUniqueName="[Data]" displayFolder="" count="0" memberValueDatatype="130" unbalanced="0"/>
    <cacheHierarchy uniqueName="[Data].[Branch]" caption="Branch" attribute="1" defaultMemberUniqueName="[Data].[Branch].[All]" allUniqueName="[Data].[Branch].[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Branch City]" caption="Branch City" attribute="1" defaultMemberUniqueName="[Data].[Branch City].[All]" allUniqueName="[Data].[Branch City].[All]" dimensionUniqueName="[Data]" displayFolder="" count="2" memberValueDatatype="130" unbalanced="0"/>
    <cacheHierarchy uniqueName="[Data].[Customer type]" caption="Customer type" attribute="1" defaultMemberUniqueName="[Data].[Customer type].[All]" allUniqueName="[Data].[Customer type].[All]" dimensionUniqueName="[Data]" displayFolder="" count="0" memberValueDatatype="130" unbalanced="0"/>
    <cacheHierarchy uniqueName="[Data].[Gender]" caption="Gender" attribute="1" defaultMemberUniqueName="[Data].[Gender].[All]" allUniqueName="[Data].[Gender].[All]" dimensionUniqueName="[Data]" displayFolder="" count="0" memberValueDatatype="130" unbalanced="0"/>
    <cacheHierarchy uniqueName="[Data].[Product line]" caption="Product line" attribute="1" defaultMemberUniqueName="[Data].[Product line].[All]" allUniqueName="[Data].[Product line].[All]" dimensionUniqueName="[Data]" displayFolder="" count="2" memberValueDatatype="130" unbalanced="0"/>
    <cacheHierarchy uniqueName="[Data].[Unit price]" caption="Unit price" attribute="1" defaultMemberUniqueName="[Data].[Unit price].[All]" allUniqueName="[Data].[Unit price].[All]" dimensionUniqueName="[Data]" displayFolder="" count="0" memberValueDatatype="5" unbalanced="0"/>
    <cacheHierarchy uniqueName="[Data].[Quantity]" caption="Quantity" attribute="1" defaultMemberUniqueName="[Data].[Quantity].[All]" allUniqueName="[Data].[Quantity].[All]" dimensionUniqueName="[Data]" displayFolder="" count="0" memberValueDatatype="20" unbalanced="0"/>
    <cacheHierarchy uniqueName="[Data].[Tax 5%]" caption="Tax 5%" attribute="1" defaultMemberUniqueName="[Data].[Tax 5%].[All]" allUniqueName="[Data].[Tax 5%].[All]" dimensionUniqueName="[Data]" displayFolder="" count="0" memberValueDatatype="5" unbalanced="0"/>
    <cacheHierarchy uniqueName="[Data].[Total]" caption="Total" attribute="1" defaultMemberUniqueName="[Data].[Total].[All]" allUniqueName="[Data].[Total].[All]" dimensionUniqueName="[Data]" displayFolder="" count="0" memberValueDatatype="5" unbalanced="0"/>
    <cacheHierarchy uniqueName="[Data].[Date]" caption="Date" attribute="1" time="1" defaultMemberUniqueName="[Data].[Date].[All]" allUniqueName="[Data].[Date].[All]" dimensionUniqueName="[Data]" displayFolder="" count="0" memberValueDatatype="7" unbalanced="0"/>
    <cacheHierarchy uniqueName="[Data].[Day]" caption="Day" attribute="1" defaultMemberUniqueName="[Data].[Day].[All]" allUniqueName="[Data].[Day].[All]" dimensionUniqueName="[Data]" displayFolder="" count="0" memberValueDatatype="20" unbalanced="0"/>
    <cacheHierarchy uniqueName="[Data].[Month]" caption="Month" attribute="1" defaultMemberUniqueName="[Data].[Month].[All]" allUniqueName="[Data].[Month].[All]" dimensionUniqueName="[Data]" displayFolder="" count="0" memberValueDatatype="20" unbalanced="0"/>
    <cacheHierarchy uniqueName="[Data].[Year]" caption="Year" attribute="1" defaultMemberUniqueName="[Data].[Year].[All]" allUniqueName="[Data].[Year].[All]" dimensionUniqueName="[Data]" displayFolder="" count="2" memberValueDatatype="20" unbalanced="0">
      <fieldsUsage count="2">
        <fieldUsage x="-1"/>
        <fieldUsage x="0"/>
      </fieldsUsage>
    </cacheHierarchy>
    <cacheHierarchy uniqueName="[Data].[Time]" caption="Time" attribute="1" time="1" defaultMemberUniqueName="[Data].[Time].[All]" allUniqueName="[Data].[Time].[All]" dimensionUniqueName="[Data]" displayFolder="" count="0" memberValueDatatype="7" unbalanced="0"/>
    <cacheHierarchy uniqueName="[Data].[Payment]" caption="Payment" attribute="1" defaultMemberUniqueName="[Data].[Payment].[All]" allUniqueName="[Data].[Payment].[All]" dimensionUniqueName="[Data]" displayFolder="" count="0" memberValueDatatype="130" unbalanced="0"/>
    <cacheHierarchy uniqueName="[Data].[cogs]" caption="cogs" attribute="1" defaultMemberUniqueName="[Data].[cogs].[All]" allUniqueName="[Data].[cogs].[All]" dimensionUniqueName="[Data]" displayFolder="" count="0" memberValueDatatype="5" unbalanced="0"/>
    <cacheHierarchy uniqueName="[Data].[Net Profit]" caption="Net Profit" attribute="1" defaultMemberUniqueName="[Data].[Net Profit].[All]" allUniqueName="[Data].[Net Profit].[All]" dimensionUniqueName="[Data]" displayFolder="" count="0" memberValueDatatype="5" unbalanced="0"/>
    <cacheHierarchy uniqueName="[Data].[Rating]" caption="Rating" attribute="1" defaultMemberUniqueName="[Data].[Rating].[All]" allUniqueName="[Data].[Rating].[All]" dimensionUniqueName="[Data]" displayFolder="" count="0" memberValueDatatype="5" unbalanced="0"/>
    <cacheHierarchy uniqueName="[Data].[Time (Hour)]" caption="Time (Hour)" attribute="1" defaultMemberUniqueName="[Data].[Time (Hour)].[All]" allUniqueName="[Data].[Time (Hour)].[All]" dimensionUniqueName="[Data]" displayFolder="" count="0" memberValueDatatype="130" unbalanced="0"/>
    <cacheHierarchy uniqueName="[Data].[Time (Minute)]" caption="Time (Minute)" attribute="1" defaultMemberUniqueName="[Data].[Time (Minute)].[All]" allUniqueName="[Data].[Time (Minute)].[All]" dimensionUniqueName="[Data]" displayFolder="" count="0" memberValueDatatype="130" unbalanced="0"/>
    <cacheHierarchy uniqueName="[REP].[city]" caption="city" attribute="1" defaultMemberUniqueName="[REP].[city].[All]" allUniqueName="[REP].[city].[All]" dimensionUniqueName="[REP]" displayFolder="" count="0" memberValueDatatype="130" unbalanced="0"/>
    <cacheHierarchy uniqueName="[REP].[Rep]" caption="Rep" attribute="1" defaultMemberUniqueName="[REP].[Rep].[All]" allUniqueName="[REP].[Rep].[All]" dimensionUniqueName="[REP]" displayFolder="" count="2" memberValueDatatype="130" unbalanced="0">
      <fieldsUsage count="2">
        <fieldUsage x="-1"/>
        <fieldUsage x="1"/>
      </fieldsUsage>
    </cacheHierarchy>
    <cacheHierarchy uniqueName="[Returns].[returns]" caption="returns" attribute="1" defaultMemberUniqueName="[Returns].[returns].[All]" allUniqueName="[Returns].[returns].[All]" dimensionUniqueName="[Returns]" displayFolder="" count="0" memberValueDatatype="130" unbalanced="0"/>
    <cacheHierarchy uniqueName="[Returns].[Invoice ID]" caption="Invoice ID" attribute="1" defaultMemberUniqueName="[Returns].[Invoice ID].[All]" allUniqueName="[Returns].[Invoice ID].[All]" dimensionUniqueName="[Returns]" displayFolder="" count="0" memberValueDatatype="130" unbalanced="0"/>
    <cacheHierarchy uniqueName="[Measures].[__XL_Count REP]" caption="__XL_Count REP" measure="1" displayFolder="" measureGroup="REP" count="0" hidden="1"/>
    <cacheHierarchy uniqueName="[Measures].[__XL_Count Returns]" caption="__XL_Count Returns" measure="1" displayFolder="" measureGroup="Returns" count="0" hidden="1"/>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Total]" caption="Sum of Total" measure="1" displayFolder="" measureGroup="Data" count="0" oneField="1" hidden="1">
      <fieldsUsage count="1">
        <fieldUsage x="3"/>
      </fieldsUsage>
      <extLst>
        <ext xmlns:x15="http://schemas.microsoft.com/office/spreadsheetml/2010/11/main" uri="{B97F6D7D-B522-45F9-BDA1-12C45D357490}">
          <x15:cacheHierarchy aggregatedColumn="10"/>
        </ext>
      </extLst>
    </cacheHierarchy>
    <cacheHierarchy uniqueName="[Measures].[Count of returns]" caption="Count of returns" measure="1" displayFolder="" measureGroup="Returns" count="0" hidden="1">
      <extLst>
        <ext xmlns:x15="http://schemas.microsoft.com/office/spreadsheetml/2010/11/main" uri="{B97F6D7D-B522-45F9-BDA1-12C45D357490}">
          <x15:cacheHierarchy aggregatedColumn="24"/>
        </ext>
      </extLst>
    </cacheHierarchy>
    <cacheHierarchy uniqueName="[Measures].[Sum of Net Profit]" caption="Sum of Net Profit" measure="1" displayFolder="" measureGroup="Data" count="0" oneField="1" hidden="1">
      <fieldsUsage count="1">
        <fieldUsage x="2"/>
      </fieldsUsage>
      <extLst>
        <ext xmlns:x15="http://schemas.microsoft.com/office/spreadsheetml/2010/11/main" uri="{B97F6D7D-B522-45F9-BDA1-12C45D357490}">
          <x15:cacheHierarchy aggregatedColumn="18"/>
        </ext>
      </extLst>
    </cacheHierarchy>
    <cacheHierarchy uniqueName="[Measures].[Sum of cogs]" caption="Sum of cogs" measure="1" displayFolder="" measureGroup="Data" count="0" hidden="1">
      <extLst>
        <ext xmlns:x15="http://schemas.microsoft.com/office/spreadsheetml/2010/11/main" uri="{B97F6D7D-B522-45F9-BDA1-12C45D357490}">
          <x15:cacheHierarchy aggregatedColumn="17"/>
        </ext>
      </extLst>
    </cacheHierarchy>
    <cacheHierarchy uniqueName="[Measures].[Sum of Tax 5%]" caption="Sum of Tax 5%" measure="1" displayFolder="" measureGroup="Data" count="0" hidden="1">
      <extLst>
        <ext xmlns:x15="http://schemas.microsoft.com/office/spreadsheetml/2010/11/main" uri="{B97F6D7D-B522-45F9-BDA1-12C45D357490}">
          <x15:cacheHierarchy aggregatedColumn="9"/>
        </ext>
      </extLst>
    </cacheHierarchy>
    <cacheHierarchy uniqueName="[Measures].[Average of Net Profit]" caption="Average of Net Profit" measure="1" displayFolder="" measureGroup="Data"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8"/>
        </ext>
      </extLst>
    </cacheHierarchy>
    <cacheHierarchy uniqueName="[Measures].[Count of Invoice ID]" caption="Count of Invoice ID" measure="1" displayFolder="" measureGroup="Data" count="0" hidden="1">
      <extLst>
        <ext xmlns:x15="http://schemas.microsoft.com/office/spreadsheetml/2010/11/main" uri="{B97F6D7D-B522-45F9-BDA1-12C45D357490}">
          <x15:cacheHierarchy aggregatedColumn="0"/>
        </ext>
      </extLst>
    </cacheHierarchy>
    <cacheHierarchy uniqueName="[Measures].[Count of Quantity]" caption="Count of Quantity" measure="1" displayFolder="" measureGroup="Data" count="0" hidden="1">
      <extLst>
        <ext xmlns:x15="http://schemas.microsoft.com/office/spreadsheetml/2010/11/main" uri="{B97F6D7D-B522-45F9-BDA1-12C45D357490}">
          <x15:cacheHierarchy aggregatedColumn="8"/>
        </ext>
      </extLst>
    </cacheHierarchy>
    <cacheHierarchy uniqueName="[Measures].[Count of Product line]" caption="Count of Product line" measure="1" displayFolder="" measureGroup="Data" count="0" hidden="1">
      <extLst>
        <ext xmlns:x15="http://schemas.microsoft.com/office/spreadsheetml/2010/11/main" uri="{B97F6D7D-B522-45F9-BDA1-12C45D357490}">
          <x15:cacheHierarchy aggregatedColumn="6"/>
        </ext>
      </extLst>
    </cacheHierarchy>
    <cacheHierarchy uniqueName="[Measures].[Count of Invoice ID 2]" caption="Count of Invoice ID 2" measure="1" displayFolder="" measureGroup="Returns" count="0" hidden="1">
      <extLst>
        <ext xmlns:x15="http://schemas.microsoft.com/office/spreadsheetml/2010/11/main" uri="{B97F6D7D-B522-45F9-BDA1-12C45D357490}">
          <x15:cacheHierarchy aggregatedColumn="25"/>
        </ext>
      </extLst>
    </cacheHierarchy>
    <cacheHierarchy uniqueName="[Measures].[Sum of Rating]" caption="Sum of Rating" measure="1" displayFolder="" measureGroup="Data" count="0" hidden="1">
      <extLst>
        <ext xmlns:x15="http://schemas.microsoft.com/office/spreadsheetml/2010/11/main" uri="{B97F6D7D-B522-45F9-BDA1-12C45D357490}">
          <x15:cacheHierarchy aggregatedColumn="19"/>
        </ext>
      </extLst>
    </cacheHierarchy>
    <cacheHierarchy uniqueName="[Measures].[Average of Rating]" caption="Average of Rating" measure="1" displayFolder="" measureGroup="Data" count="0" hidden="1">
      <extLst>
        <ext xmlns:x15="http://schemas.microsoft.com/office/spreadsheetml/2010/11/main" uri="{B97F6D7D-B522-45F9-BDA1-12C45D357490}">
          <x15:cacheHierarchy aggregatedColumn="19"/>
        </ext>
      </extLst>
    </cacheHierarchy>
    <cacheHierarchy uniqueName="[Measures].[Min of Rating]" caption="Min of Rating" measure="1" displayFolder="" measureGroup="Data" count="0" hidden="1">
      <extLst>
        <ext xmlns:x15="http://schemas.microsoft.com/office/spreadsheetml/2010/11/main" uri="{B97F6D7D-B522-45F9-BDA1-12C45D357490}">
          <x15:cacheHierarchy aggregatedColumn="19"/>
        </ext>
      </extLst>
    </cacheHierarchy>
    <cacheHierarchy uniqueName="[Measures].[Max of Rating]" caption="Max of Rating" measure="1" displayFolder="" measureGroup="Data" count="0" hidden="1">
      <extLst>
        <ext xmlns:x15="http://schemas.microsoft.com/office/spreadsheetml/2010/11/main" uri="{B97F6D7D-B522-45F9-BDA1-12C45D357490}">
          <x15:cacheHierarchy aggregatedColumn="19"/>
        </ext>
      </extLst>
    </cacheHierarchy>
    <cacheHierarchy uniqueName="[Measures].[Count of Rating]" caption="Count of Rating" measure="1" displayFolder="" measureGroup="Data" count="0" hidden="1">
      <extLst>
        <ext xmlns:x15="http://schemas.microsoft.com/office/spreadsheetml/2010/11/main" uri="{B97F6D7D-B522-45F9-BDA1-12C45D357490}">
          <x15:cacheHierarchy aggregatedColumn="19"/>
        </ext>
      </extLst>
    </cacheHierarchy>
    <cacheHierarchy uniqueName="[Measures].[Distinct Count of Rating]" caption="Distinct Count of Rating" measure="1" displayFolder="" measureGroup="Data" count="0" hidden="1">
      <extLst>
        <ext xmlns:x15="http://schemas.microsoft.com/office/spreadsheetml/2010/11/main" uri="{B97F6D7D-B522-45F9-BDA1-12C45D357490}">
          <x15:cacheHierarchy aggregatedColumn="19"/>
        </ext>
      </extLst>
    </cacheHierarchy>
    <cacheHierarchy uniqueName="[Measures].[Distinct Count of Invoice ID]" caption="Distinct Count of Invoice ID" measure="1" displayFolder="" measureGroup="Data" count="0" hidden="1">
      <extLst>
        <ext xmlns:x15="http://schemas.microsoft.com/office/spreadsheetml/2010/11/main" uri="{B97F6D7D-B522-45F9-BDA1-12C45D357490}">
          <x15:cacheHierarchy aggregatedColumn="0"/>
        </ext>
      </extLst>
    </cacheHierarchy>
    <cacheHierarchy uniqueName="[Measures].[Count of Customer type]" caption="Count of Customer type" measure="1" displayFolder="" measureGroup="Data" count="0" hidden="1">
      <extLst>
        <ext xmlns:x15="http://schemas.microsoft.com/office/spreadsheetml/2010/11/main" uri="{B97F6D7D-B522-45F9-BDA1-12C45D357490}">
          <x15:cacheHierarchy aggregatedColumn="4"/>
        </ext>
      </extLst>
    </cacheHierarchy>
    <cacheHierarchy uniqueName="[Measures].[Count of Payment]" caption="Count of Payment" measure="1" displayFolder="" measureGroup="Data" count="0" hidden="1">
      <extLst>
        <ext xmlns:x15="http://schemas.microsoft.com/office/spreadsheetml/2010/11/main" uri="{B97F6D7D-B522-45F9-BDA1-12C45D357490}">
          <x15:cacheHierarchy aggregatedColumn="16"/>
        </ext>
      </extLst>
    </cacheHierarchy>
    <cacheHierarchy uniqueName="[Measures].[Average of Total]" caption="Average of Total" measure="1" displayFolder="" measureGroup="Data" count="0" hidden="1">
      <extLst>
        <ext xmlns:x15="http://schemas.microsoft.com/office/spreadsheetml/2010/11/main" uri="{B97F6D7D-B522-45F9-BDA1-12C45D357490}">
          <x15:cacheHierarchy aggregatedColumn="10"/>
        </ext>
      </extLst>
    </cacheHierarchy>
    <cacheHierarchy uniqueName="[Measures].[Sum of Unit price]" caption="Sum of Unit price" measure="1" displayFolder="" measureGroup="Data" count="0" hidden="1">
      <extLst>
        <ext xmlns:x15="http://schemas.microsoft.com/office/spreadsheetml/2010/11/main" uri="{B97F6D7D-B522-45F9-BDA1-12C45D357490}">
          <x15:cacheHierarchy aggregatedColumn="7"/>
        </ext>
      </extLst>
    </cacheHierarchy>
    <cacheHierarchy uniqueName="[Measures].[Average of Unit price]" caption="Average of Unit price" measure="1" displayFolder="" measureGroup="Data" count="0" hidden="1">
      <extLst>
        <ext xmlns:x15="http://schemas.microsoft.com/office/spreadsheetml/2010/11/main" uri="{B97F6D7D-B522-45F9-BDA1-12C45D357490}">
          <x15:cacheHierarchy aggregatedColumn="7"/>
        </ext>
      </extLst>
    </cacheHierarchy>
    <cacheHierarchy uniqueName="[Measures].[Max of Unit price]" caption="Max of Unit price" measure="1" displayFolder="" measureGroup="Data" count="0" hidden="1">
      <extLst>
        <ext xmlns:x15="http://schemas.microsoft.com/office/spreadsheetml/2010/11/main" uri="{B97F6D7D-B522-45F9-BDA1-12C45D357490}">
          <x15:cacheHierarchy aggregatedColumn="7"/>
        </ext>
      </extLst>
    </cacheHierarchy>
    <cacheHierarchy uniqueName="[Measures].[Min of Unit price]" caption="Min of Unit price" measure="1" displayFolder="" measureGroup="Data" count="0" hidden="1">
      <extLst>
        <ext xmlns:x15="http://schemas.microsoft.com/office/spreadsheetml/2010/11/main" uri="{B97F6D7D-B522-45F9-BDA1-12C45D357490}">
          <x15:cacheHierarchy aggregatedColumn="7"/>
        </ext>
      </extLst>
    </cacheHierarchy>
  </cacheHierarchies>
  <kpis count="0"/>
  <dimensions count="4">
    <dimension name="Data" uniqueName="[Data]" caption="Data"/>
    <dimension measure="1" name="Measures" uniqueName="[Measures]" caption="Measures"/>
    <dimension name="REP" uniqueName="[REP]" caption="REP"/>
    <dimension name="Returns" uniqueName="[Returns]" caption="Returns"/>
  </dimensions>
  <measureGroups count="3">
    <measureGroup name="Data" caption="Data"/>
    <measureGroup name="REP" caption="REP"/>
    <measureGroup name="Returns" caption="Returns"/>
  </measureGroups>
  <maps count="5">
    <map measureGroup="0" dimension="0"/>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saveData="0" refreshedBy="Amira" refreshedDate="46139.489661342595" backgroundQuery="1" createdVersion="6" refreshedVersion="6" minRefreshableVersion="3" recordCount="0" supportSubquery="1" supportAdvancedDrill="1">
  <cacheSource type="external" connectionId="1"/>
  <cacheFields count="3">
    <cacheField name="[Measures].[Sum of Total]" caption="Sum of Total" numFmtId="0" hierarchy="30" level="32767"/>
    <cacheField name="[Data].[Year].[Year]" caption="Year" numFmtId="0" hierarchy="14" level="1">
      <sharedItems containsSemiMixedTypes="0" containsString="0" containsNumber="1" containsInteger="1" minValue="2022" maxValue="2022" count="1">
        <n v="2022"/>
      </sharedItems>
      <extLst>
        <ext xmlns:x15="http://schemas.microsoft.com/office/spreadsheetml/2010/11/main" uri="{4F2E5C28-24EA-4eb8-9CBF-B6C8F9C3D259}">
          <x15:cachedUniqueNames>
            <x15:cachedUniqueName index="0" name="[Data].[Year].&amp;[2022]"/>
          </x15:cachedUniqueNames>
        </ext>
      </extLst>
    </cacheField>
    <cacheField name="[Data].[Branch City].[Branch City]" caption="Branch City" numFmtId="0" hierarchy="3" level="1">
      <sharedItems count="3">
        <s v="Br. A (Yangon)"/>
        <s v="Br. B (Mandalay)"/>
        <s v="Br. C (Naypyitaw)"/>
      </sharedItems>
    </cacheField>
  </cacheFields>
  <cacheHierarchies count="55">
    <cacheHierarchy uniqueName="[Data].[Invoice ID]" caption="Invoice ID" attribute="1" defaultMemberUniqueName="[Data].[Invoice ID].[All]" allUniqueName="[Data].[Invoice ID].[All]" dimensionUniqueName="[Data]" displayFolder="" count="0" memberValueDatatype="130" unbalanced="0"/>
    <cacheHierarchy uniqueName="[Data].[Branch]" caption="Branch" attribute="1" defaultMemberUniqueName="[Data].[Branch].[All]" allUniqueName="[Data].[Branch].[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Branch City]" caption="Branch City" attribute="1" defaultMemberUniqueName="[Data].[Branch City].[All]" allUniqueName="[Data].[Branch City].[All]" dimensionUniqueName="[Data]" displayFolder="" count="2" memberValueDatatype="130" unbalanced="0">
      <fieldsUsage count="2">
        <fieldUsage x="-1"/>
        <fieldUsage x="2"/>
      </fieldsUsage>
    </cacheHierarchy>
    <cacheHierarchy uniqueName="[Data].[Customer type]" caption="Customer type" attribute="1" defaultMemberUniqueName="[Data].[Customer type].[All]" allUniqueName="[Data].[Customer type].[All]" dimensionUniqueName="[Data]" displayFolder="" count="0" memberValueDatatype="130" unbalanced="0"/>
    <cacheHierarchy uniqueName="[Data].[Gender]" caption="Gender" attribute="1" defaultMemberUniqueName="[Data].[Gender].[All]" allUniqueName="[Data].[Gender].[All]" dimensionUniqueName="[Data]" displayFolder="" count="0" memberValueDatatype="130" unbalanced="0"/>
    <cacheHierarchy uniqueName="[Data].[Product line]" caption="Product line" attribute="1" defaultMemberUniqueName="[Data].[Product line].[All]" allUniqueName="[Data].[Product line].[All]" dimensionUniqueName="[Data]" displayFolder="" count="2" memberValueDatatype="130" unbalanced="0"/>
    <cacheHierarchy uniqueName="[Data].[Unit price]" caption="Unit price" attribute="1" defaultMemberUniqueName="[Data].[Unit price].[All]" allUniqueName="[Data].[Unit price].[All]" dimensionUniqueName="[Data]" displayFolder="" count="0" memberValueDatatype="5" unbalanced="0"/>
    <cacheHierarchy uniqueName="[Data].[Quantity]" caption="Quantity" attribute="1" defaultMemberUniqueName="[Data].[Quantity].[All]" allUniqueName="[Data].[Quantity].[All]" dimensionUniqueName="[Data]" displayFolder="" count="0" memberValueDatatype="20" unbalanced="0"/>
    <cacheHierarchy uniqueName="[Data].[Tax 5%]" caption="Tax 5%" attribute="1" defaultMemberUniqueName="[Data].[Tax 5%].[All]" allUniqueName="[Data].[Tax 5%].[All]" dimensionUniqueName="[Data]" displayFolder="" count="0" memberValueDatatype="5" unbalanced="0"/>
    <cacheHierarchy uniqueName="[Data].[Total]" caption="Total" attribute="1" defaultMemberUniqueName="[Data].[Total].[All]" allUniqueName="[Data].[Total].[All]" dimensionUniqueName="[Data]" displayFolder="" count="0" memberValueDatatype="5" unbalanced="0"/>
    <cacheHierarchy uniqueName="[Data].[Date]" caption="Date" attribute="1" time="1" defaultMemberUniqueName="[Data].[Date].[All]" allUniqueName="[Data].[Date].[All]" dimensionUniqueName="[Data]" displayFolder="" count="0" memberValueDatatype="7" unbalanced="0"/>
    <cacheHierarchy uniqueName="[Data].[Day]" caption="Day" attribute="1" defaultMemberUniqueName="[Data].[Day].[All]" allUniqueName="[Data].[Day].[All]" dimensionUniqueName="[Data]" displayFolder="" count="0" memberValueDatatype="20" unbalanced="0"/>
    <cacheHierarchy uniqueName="[Data].[Month]" caption="Month" attribute="1" defaultMemberUniqueName="[Data].[Month].[All]" allUniqueName="[Data].[Month].[All]" dimensionUniqueName="[Data]" displayFolder="" count="0" memberValueDatatype="20" unbalanced="0"/>
    <cacheHierarchy uniqueName="[Data].[Year]" caption="Year" attribute="1" defaultMemberUniqueName="[Data].[Year].[All]" allUniqueName="[Data].[Year].[All]" dimensionUniqueName="[Data]" displayFolder="" count="2" memberValueDatatype="20" unbalanced="0">
      <fieldsUsage count="2">
        <fieldUsage x="-1"/>
        <fieldUsage x="1"/>
      </fieldsUsage>
    </cacheHierarchy>
    <cacheHierarchy uniqueName="[Data].[Time]" caption="Time" attribute="1" time="1" defaultMemberUniqueName="[Data].[Time].[All]" allUniqueName="[Data].[Time].[All]" dimensionUniqueName="[Data]" displayFolder="" count="0" memberValueDatatype="7" unbalanced="0"/>
    <cacheHierarchy uniqueName="[Data].[Payment]" caption="Payment" attribute="1" defaultMemberUniqueName="[Data].[Payment].[All]" allUniqueName="[Data].[Payment].[All]" dimensionUniqueName="[Data]" displayFolder="" count="0" memberValueDatatype="130" unbalanced="0"/>
    <cacheHierarchy uniqueName="[Data].[cogs]" caption="cogs" attribute="1" defaultMemberUniqueName="[Data].[cogs].[All]" allUniqueName="[Data].[cogs].[All]" dimensionUniqueName="[Data]" displayFolder="" count="0" memberValueDatatype="5" unbalanced="0"/>
    <cacheHierarchy uniqueName="[Data].[Net Profit]" caption="Net Profit" attribute="1" defaultMemberUniqueName="[Data].[Net Profit].[All]" allUniqueName="[Data].[Net Profit].[All]" dimensionUniqueName="[Data]" displayFolder="" count="0" memberValueDatatype="5" unbalanced="0"/>
    <cacheHierarchy uniqueName="[Data].[Rating]" caption="Rating" attribute="1" defaultMemberUniqueName="[Data].[Rating].[All]" allUniqueName="[Data].[Rating].[All]" dimensionUniqueName="[Data]" displayFolder="" count="0" memberValueDatatype="5" unbalanced="0"/>
    <cacheHierarchy uniqueName="[Data].[Time (Hour)]" caption="Time (Hour)" attribute="1" defaultMemberUniqueName="[Data].[Time (Hour)].[All]" allUniqueName="[Data].[Time (Hour)].[All]" dimensionUniqueName="[Data]" displayFolder="" count="0" memberValueDatatype="130" unbalanced="0"/>
    <cacheHierarchy uniqueName="[Data].[Time (Minute)]" caption="Time (Minute)" attribute="1" defaultMemberUniqueName="[Data].[Time (Minute)].[All]" allUniqueName="[Data].[Time (Minute)].[All]" dimensionUniqueName="[Data]" displayFolder="" count="0" memberValueDatatype="130" unbalanced="0"/>
    <cacheHierarchy uniqueName="[REP].[city]" caption="city" attribute="1" defaultMemberUniqueName="[REP].[city].[All]" allUniqueName="[REP].[city].[All]" dimensionUniqueName="[REP]" displayFolder="" count="0" memberValueDatatype="130" unbalanced="0"/>
    <cacheHierarchy uniqueName="[REP].[Rep]" caption="Rep" attribute="1" defaultMemberUniqueName="[REP].[Rep].[All]" allUniqueName="[REP].[Rep].[All]" dimensionUniqueName="[REP]" displayFolder="" count="0" memberValueDatatype="130" unbalanced="0"/>
    <cacheHierarchy uniqueName="[Returns].[returns]" caption="returns" attribute="1" defaultMemberUniqueName="[Returns].[returns].[All]" allUniqueName="[Returns].[returns].[All]" dimensionUniqueName="[Returns]" displayFolder="" count="0" memberValueDatatype="130" unbalanced="0"/>
    <cacheHierarchy uniqueName="[Returns].[Invoice ID]" caption="Invoice ID" attribute="1" defaultMemberUniqueName="[Returns].[Invoice ID].[All]" allUniqueName="[Returns].[Invoice ID].[All]" dimensionUniqueName="[Returns]" displayFolder="" count="0" memberValueDatatype="130" unbalanced="0"/>
    <cacheHierarchy uniqueName="[Measures].[__XL_Count REP]" caption="__XL_Count REP" measure="1" displayFolder="" measureGroup="REP" count="0" hidden="1"/>
    <cacheHierarchy uniqueName="[Measures].[__XL_Count Returns]" caption="__XL_Count Returns" measure="1" displayFolder="" measureGroup="Returns" count="0" hidden="1"/>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Total]" caption="Sum of Total" measure="1" displayFolder="" measureGroup="Data" count="0" oneField="1" hidden="1">
      <fieldsUsage count="1">
        <fieldUsage x="0"/>
      </fieldsUsage>
      <extLst>
        <ext xmlns:x15="http://schemas.microsoft.com/office/spreadsheetml/2010/11/main" uri="{B97F6D7D-B522-45F9-BDA1-12C45D357490}">
          <x15:cacheHierarchy aggregatedColumn="10"/>
        </ext>
      </extLst>
    </cacheHierarchy>
    <cacheHierarchy uniqueName="[Measures].[Count of returns]" caption="Count of returns" measure="1" displayFolder="" measureGroup="Returns" count="0" hidden="1">
      <extLst>
        <ext xmlns:x15="http://schemas.microsoft.com/office/spreadsheetml/2010/11/main" uri="{B97F6D7D-B522-45F9-BDA1-12C45D357490}">
          <x15:cacheHierarchy aggregatedColumn="24"/>
        </ext>
      </extLst>
    </cacheHierarchy>
    <cacheHierarchy uniqueName="[Measures].[Sum of Net Profit]" caption="Sum of Net Profit" measure="1" displayFolder="" measureGroup="Data" count="0" hidden="1">
      <extLst>
        <ext xmlns:x15="http://schemas.microsoft.com/office/spreadsheetml/2010/11/main" uri="{B97F6D7D-B522-45F9-BDA1-12C45D357490}">
          <x15:cacheHierarchy aggregatedColumn="18"/>
        </ext>
      </extLst>
    </cacheHierarchy>
    <cacheHierarchy uniqueName="[Measures].[Sum of cogs]" caption="Sum of cogs" measure="1" displayFolder="" measureGroup="Data" count="0" hidden="1">
      <extLst>
        <ext xmlns:x15="http://schemas.microsoft.com/office/spreadsheetml/2010/11/main" uri="{B97F6D7D-B522-45F9-BDA1-12C45D357490}">
          <x15:cacheHierarchy aggregatedColumn="17"/>
        </ext>
      </extLst>
    </cacheHierarchy>
    <cacheHierarchy uniqueName="[Measures].[Sum of Tax 5%]" caption="Sum of Tax 5%" measure="1" displayFolder="" measureGroup="Data" count="0" hidden="1">
      <extLst>
        <ext xmlns:x15="http://schemas.microsoft.com/office/spreadsheetml/2010/11/main" uri="{B97F6D7D-B522-45F9-BDA1-12C45D357490}">
          <x15:cacheHierarchy aggregatedColumn="9"/>
        </ext>
      </extLst>
    </cacheHierarchy>
    <cacheHierarchy uniqueName="[Measures].[Average of Net Profit]" caption="Average of Net Profit" measure="1" displayFolder="" measureGroup="Data"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8"/>
        </ext>
      </extLst>
    </cacheHierarchy>
    <cacheHierarchy uniqueName="[Measures].[Count of Invoice ID]" caption="Count of Invoice ID" measure="1" displayFolder="" measureGroup="Data" count="0" hidden="1">
      <extLst>
        <ext xmlns:x15="http://schemas.microsoft.com/office/spreadsheetml/2010/11/main" uri="{B97F6D7D-B522-45F9-BDA1-12C45D357490}">
          <x15:cacheHierarchy aggregatedColumn="0"/>
        </ext>
      </extLst>
    </cacheHierarchy>
    <cacheHierarchy uniqueName="[Measures].[Count of Quantity]" caption="Count of Quantity" measure="1" displayFolder="" measureGroup="Data" count="0" hidden="1">
      <extLst>
        <ext xmlns:x15="http://schemas.microsoft.com/office/spreadsheetml/2010/11/main" uri="{B97F6D7D-B522-45F9-BDA1-12C45D357490}">
          <x15:cacheHierarchy aggregatedColumn="8"/>
        </ext>
      </extLst>
    </cacheHierarchy>
    <cacheHierarchy uniqueName="[Measures].[Count of Product line]" caption="Count of Product line" measure="1" displayFolder="" measureGroup="Data" count="0" hidden="1">
      <extLst>
        <ext xmlns:x15="http://schemas.microsoft.com/office/spreadsheetml/2010/11/main" uri="{B97F6D7D-B522-45F9-BDA1-12C45D357490}">
          <x15:cacheHierarchy aggregatedColumn="6"/>
        </ext>
      </extLst>
    </cacheHierarchy>
    <cacheHierarchy uniqueName="[Measures].[Count of Invoice ID 2]" caption="Count of Invoice ID 2" measure="1" displayFolder="" measureGroup="Returns" count="0" hidden="1">
      <extLst>
        <ext xmlns:x15="http://schemas.microsoft.com/office/spreadsheetml/2010/11/main" uri="{B97F6D7D-B522-45F9-BDA1-12C45D357490}">
          <x15:cacheHierarchy aggregatedColumn="25"/>
        </ext>
      </extLst>
    </cacheHierarchy>
    <cacheHierarchy uniqueName="[Measures].[Sum of Rating]" caption="Sum of Rating" measure="1" displayFolder="" measureGroup="Data" count="0" hidden="1">
      <extLst>
        <ext xmlns:x15="http://schemas.microsoft.com/office/spreadsheetml/2010/11/main" uri="{B97F6D7D-B522-45F9-BDA1-12C45D357490}">
          <x15:cacheHierarchy aggregatedColumn="19"/>
        </ext>
      </extLst>
    </cacheHierarchy>
    <cacheHierarchy uniqueName="[Measures].[Average of Rating]" caption="Average of Rating" measure="1" displayFolder="" measureGroup="Data" count="0" hidden="1">
      <extLst>
        <ext xmlns:x15="http://schemas.microsoft.com/office/spreadsheetml/2010/11/main" uri="{B97F6D7D-B522-45F9-BDA1-12C45D357490}">
          <x15:cacheHierarchy aggregatedColumn="19"/>
        </ext>
      </extLst>
    </cacheHierarchy>
    <cacheHierarchy uniqueName="[Measures].[Min of Rating]" caption="Min of Rating" measure="1" displayFolder="" measureGroup="Data" count="0" hidden="1">
      <extLst>
        <ext xmlns:x15="http://schemas.microsoft.com/office/spreadsheetml/2010/11/main" uri="{B97F6D7D-B522-45F9-BDA1-12C45D357490}">
          <x15:cacheHierarchy aggregatedColumn="19"/>
        </ext>
      </extLst>
    </cacheHierarchy>
    <cacheHierarchy uniqueName="[Measures].[Max of Rating]" caption="Max of Rating" measure="1" displayFolder="" measureGroup="Data" count="0" hidden="1">
      <extLst>
        <ext xmlns:x15="http://schemas.microsoft.com/office/spreadsheetml/2010/11/main" uri="{B97F6D7D-B522-45F9-BDA1-12C45D357490}">
          <x15:cacheHierarchy aggregatedColumn="19"/>
        </ext>
      </extLst>
    </cacheHierarchy>
    <cacheHierarchy uniqueName="[Measures].[Count of Rating]" caption="Count of Rating" measure="1" displayFolder="" measureGroup="Data" count="0" hidden="1">
      <extLst>
        <ext xmlns:x15="http://schemas.microsoft.com/office/spreadsheetml/2010/11/main" uri="{B97F6D7D-B522-45F9-BDA1-12C45D357490}">
          <x15:cacheHierarchy aggregatedColumn="19"/>
        </ext>
      </extLst>
    </cacheHierarchy>
    <cacheHierarchy uniqueName="[Measures].[Distinct Count of Rating]" caption="Distinct Count of Rating" measure="1" displayFolder="" measureGroup="Data" count="0" hidden="1">
      <extLst>
        <ext xmlns:x15="http://schemas.microsoft.com/office/spreadsheetml/2010/11/main" uri="{B97F6D7D-B522-45F9-BDA1-12C45D357490}">
          <x15:cacheHierarchy aggregatedColumn="19"/>
        </ext>
      </extLst>
    </cacheHierarchy>
    <cacheHierarchy uniqueName="[Measures].[Distinct Count of Invoice ID]" caption="Distinct Count of Invoice ID" measure="1" displayFolder="" measureGroup="Data" count="0" hidden="1">
      <extLst>
        <ext xmlns:x15="http://schemas.microsoft.com/office/spreadsheetml/2010/11/main" uri="{B97F6D7D-B522-45F9-BDA1-12C45D357490}">
          <x15:cacheHierarchy aggregatedColumn="0"/>
        </ext>
      </extLst>
    </cacheHierarchy>
    <cacheHierarchy uniqueName="[Measures].[Count of Customer type]" caption="Count of Customer type" measure="1" displayFolder="" measureGroup="Data" count="0" hidden="1">
      <extLst>
        <ext xmlns:x15="http://schemas.microsoft.com/office/spreadsheetml/2010/11/main" uri="{B97F6D7D-B522-45F9-BDA1-12C45D357490}">
          <x15:cacheHierarchy aggregatedColumn="4"/>
        </ext>
      </extLst>
    </cacheHierarchy>
    <cacheHierarchy uniqueName="[Measures].[Count of Payment]" caption="Count of Payment" measure="1" displayFolder="" measureGroup="Data" count="0" hidden="1">
      <extLst>
        <ext xmlns:x15="http://schemas.microsoft.com/office/spreadsheetml/2010/11/main" uri="{B97F6D7D-B522-45F9-BDA1-12C45D357490}">
          <x15:cacheHierarchy aggregatedColumn="16"/>
        </ext>
      </extLst>
    </cacheHierarchy>
    <cacheHierarchy uniqueName="[Measures].[Average of Total]" caption="Average of Total" measure="1" displayFolder="" measureGroup="Data" count="0" hidden="1">
      <extLst>
        <ext xmlns:x15="http://schemas.microsoft.com/office/spreadsheetml/2010/11/main" uri="{B97F6D7D-B522-45F9-BDA1-12C45D357490}">
          <x15:cacheHierarchy aggregatedColumn="10"/>
        </ext>
      </extLst>
    </cacheHierarchy>
    <cacheHierarchy uniqueName="[Measures].[Sum of Unit price]" caption="Sum of Unit price" measure="1" displayFolder="" measureGroup="Data" count="0" hidden="1">
      <extLst>
        <ext xmlns:x15="http://schemas.microsoft.com/office/spreadsheetml/2010/11/main" uri="{B97F6D7D-B522-45F9-BDA1-12C45D357490}">
          <x15:cacheHierarchy aggregatedColumn="7"/>
        </ext>
      </extLst>
    </cacheHierarchy>
    <cacheHierarchy uniqueName="[Measures].[Average of Unit price]" caption="Average of Unit price" measure="1" displayFolder="" measureGroup="Data" count="0" hidden="1">
      <extLst>
        <ext xmlns:x15="http://schemas.microsoft.com/office/spreadsheetml/2010/11/main" uri="{B97F6D7D-B522-45F9-BDA1-12C45D357490}">
          <x15:cacheHierarchy aggregatedColumn="7"/>
        </ext>
      </extLst>
    </cacheHierarchy>
    <cacheHierarchy uniqueName="[Measures].[Max of Unit price]" caption="Max of Unit price" measure="1" displayFolder="" measureGroup="Data" count="0" hidden="1">
      <extLst>
        <ext xmlns:x15="http://schemas.microsoft.com/office/spreadsheetml/2010/11/main" uri="{B97F6D7D-B522-45F9-BDA1-12C45D357490}">
          <x15:cacheHierarchy aggregatedColumn="7"/>
        </ext>
      </extLst>
    </cacheHierarchy>
    <cacheHierarchy uniqueName="[Measures].[Min of Unit price]" caption="Min of Unit price" measure="1" displayFolder="" measureGroup="Data" count="0" hidden="1">
      <extLst>
        <ext xmlns:x15="http://schemas.microsoft.com/office/spreadsheetml/2010/11/main" uri="{B97F6D7D-B522-45F9-BDA1-12C45D357490}">
          <x15:cacheHierarchy aggregatedColumn="7"/>
        </ext>
      </extLst>
    </cacheHierarchy>
  </cacheHierarchies>
  <kpis count="0"/>
  <dimensions count="4">
    <dimension name="Data" uniqueName="[Data]" caption="Data"/>
    <dimension measure="1" name="Measures" uniqueName="[Measures]" caption="Measures"/>
    <dimension name="REP" uniqueName="[REP]" caption="REP"/>
    <dimension name="Returns" uniqueName="[Returns]" caption="Returns"/>
  </dimensions>
  <measureGroups count="3">
    <measureGroup name="Data" caption="Data"/>
    <measureGroup name="REP" caption="REP"/>
    <measureGroup name="Returns" caption="Returns"/>
  </measureGroups>
  <maps count="5">
    <map measureGroup="0" dimension="0"/>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saveData="0" refreshedBy="Amira" refreshedDate="46139.489661921296" backgroundQuery="1" createdVersion="6" refreshedVersion="6" minRefreshableVersion="3" recordCount="0" supportSubquery="1" supportAdvancedDrill="1">
  <cacheSource type="external" connectionId="1"/>
  <cacheFields count="3">
    <cacheField name="[Measures].[Sum of Total]" caption="Sum of Total" numFmtId="0" hierarchy="30" level="32767"/>
    <cacheField name="[Data].[Year].[Year]" caption="Year" numFmtId="0" hierarchy="14" level="1">
      <sharedItems containsSemiMixedTypes="0" containsString="0" containsNumber="1" containsInteger="1" minValue="2022" maxValue="2022" count="1">
        <n v="2022"/>
      </sharedItems>
      <extLst>
        <ext xmlns:x15="http://schemas.microsoft.com/office/spreadsheetml/2010/11/main" uri="{4F2E5C28-24EA-4eb8-9CBF-B6C8F9C3D259}">
          <x15:cachedUniqueNames>
            <x15:cachedUniqueName index="0" name="[Data].[Year].&amp;[2022]"/>
          </x15:cachedUniqueNames>
        </ext>
      </extLst>
    </cacheField>
    <cacheField name="[Data].[Product line].[Product line]" caption="Product line" numFmtId="0" hierarchy="6" level="1">
      <sharedItems count="6">
        <s v="Electronic accessories"/>
        <s v="Fashion accessories"/>
        <s v="Food and beverages"/>
        <s v="Health and beauty"/>
        <s v="Home and lifestyle"/>
        <s v="Sports and travel"/>
      </sharedItems>
    </cacheField>
  </cacheFields>
  <cacheHierarchies count="55">
    <cacheHierarchy uniqueName="[Data].[Invoice ID]" caption="Invoice ID" attribute="1" defaultMemberUniqueName="[Data].[Invoice ID].[All]" allUniqueName="[Data].[Invoice ID].[All]" dimensionUniqueName="[Data]" displayFolder="" count="0" memberValueDatatype="130" unbalanced="0"/>
    <cacheHierarchy uniqueName="[Data].[Branch]" caption="Branch" attribute="1" defaultMemberUniqueName="[Data].[Branch].[All]" allUniqueName="[Data].[Branch].[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Branch City]" caption="Branch City" attribute="1" defaultMemberUniqueName="[Data].[Branch City].[All]" allUniqueName="[Data].[Branch City].[All]" dimensionUniqueName="[Data]" displayFolder="" count="2" memberValueDatatype="130" unbalanced="0"/>
    <cacheHierarchy uniqueName="[Data].[Customer type]" caption="Customer type" attribute="1" defaultMemberUniqueName="[Data].[Customer type].[All]" allUniqueName="[Data].[Customer type].[All]" dimensionUniqueName="[Data]" displayFolder="" count="0" memberValueDatatype="130" unbalanced="0"/>
    <cacheHierarchy uniqueName="[Data].[Gender]" caption="Gender" attribute="1" defaultMemberUniqueName="[Data].[Gender].[All]" allUniqueName="[Data].[Gender].[All]" dimensionUniqueName="[Data]" displayFolder="" count="0" memberValueDatatype="130" unbalanced="0"/>
    <cacheHierarchy uniqueName="[Data].[Product line]" caption="Product line" attribute="1" defaultMemberUniqueName="[Data].[Product line].[All]" allUniqueName="[Data].[Product line].[All]" dimensionUniqueName="[Data]" displayFolder="" count="2" memberValueDatatype="130" unbalanced="0">
      <fieldsUsage count="2">
        <fieldUsage x="-1"/>
        <fieldUsage x="2"/>
      </fieldsUsage>
    </cacheHierarchy>
    <cacheHierarchy uniqueName="[Data].[Unit price]" caption="Unit price" attribute="1" defaultMemberUniqueName="[Data].[Unit price].[All]" allUniqueName="[Data].[Unit price].[All]" dimensionUniqueName="[Data]" displayFolder="" count="0" memberValueDatatype="5" unbalanced="0"/>
    <cacheHierarchy uniqueName="[Data].[Quantity]" caption="Quantity" attribute="1" defaultMemberUniqueName="[Data].[Quantity].[All]" allUniqueName="[Data].[Quantity].[All]" dimensionUniqueName="[Data]" displayFolder="" count="0" memberValueDatatype="20" unbalanced="0"/>
    <cacheHierarchy uniqueName="[Data].[Tax 5%]" caption="Tax 5%" attribute="1" defaultMemberUniqueName="[Data].[Tax 5%].[All]" allUniqueName="[Data].[Tax 5%].[All]" dimensionUniqueName="[Data]" displayFolder="" count="0" memberValueDatatype="5" unbalanced="0"/>
    <cacheHierarchy uniqueName="[Data].[Total]" caption="Total" attribute="1" defaultMemberUniqueName="[Data].[Total].[All]" allUniqueName="[Data].[Total].[All]" dimensionUniqueName="[Data]" displayFolder="" count="0" memberValueDatatype="5" unbalanced="0"/>
    <cacheHierarchy uniqueName="[Data].[Date]" caption="Date" attribute="1" time="1" defaultMemberUniqueName="[Data].[Date].[All]" allUniqueName="[Data].[Date].[All]" dimensionUniqueName="[Data]" displayFolder="" count="0" memberValueDatatype="7" unbalanced="0"/>
    <cacheHierarchy uniqueName="[Data].[Day]" caption="Day" attribute="1" defaultMemberUniqueName="[Data].[Day].[All]" allUniqueName="[Data].[Day].[All]" dimensionUniqueName="[Data]" displayFolder="" count="0" memberValueDatatype="20" unbalanced="0"/>
    <cacheHierarchy uniqueName="[Data].[Month]" caption="Month" attribute="1" defaultMemberUniqueName="[Data].[Month].[All]" allUniqueName="[Data].[Month].[All]" dimensionUniqueName="[Data]" displayFolder="" count="0" memberValueDatatype="20" unbalanced="0"/>
    <cacheHierarchy uniqueName="[Data].[Year]" caption="Year" attribute="1" defaultMemberUniqueName="[Data].[Year].[All]" allUniqueName="[Data].[Year].[All]" dimensionUniqueName="[Data]" displayFolder="" count="2" memberValueDatatype="20" unbalanced="0">
      <fieldsUsage count="2">
        <fieldUsage x="-1"/>
        <fieldUsage x="1"/>
      </fieldsUsage>
    </cacheHierarchy>
    <cacheHierarchy uniqueName="[Data].[Time]" caption="Time" attribute="1" time="1" defaultMemberUniqueName="[Data].[Time].[All]" allUniqueName="[Data].[Time].[All]" dimensionUniqueName="[Data]" displayFolder="" count="0" memberValueDatatype="7" unbalanced="0"/>
    <cacheHierarchy uniqueName="[Data].[Payment]" caption="Payment" attribute="1" defaultMemberUniqueName="[Data].[Payment].[All]" allUniqueName="[Data].[Payment].[All]" dimensionUniqueName="[Data]" displayFolder="" count="0" memberValueDatatype="130" unbalanced="0"/>
    <cacheHierarchy uniqueName="[Data].[cogs]" caption="cogs" attribute="1" defaultMemberUniqueName="[Data].[cogs].[All]" allUniqueName="[Data].[cogs].[All]" dimensionUniqueName="[Data]" displayFolder="" count="0" memberValueDatatype="5" unbalanced="0"/>
    <cacheHierarchy uniqueName="[Data].[Net Profit]" caption="Net Profit" attribute="1" defaultMemberUniqueName="[Data].[Net Profit].[All]" allUniqueName="[Data].[Net Profit].[All]" dimensionUniqueName="[Data]" displayFolder="" count="0" memberValueDatatype="5" unbalanced="0"/>
    <cacheHierarchy uniqueName="[Data].[Rating]" caption="Rating" attribute="1" defaultMemberUniqueName="[Data].[Rating].[All]" allUniqueName="[Data].[Rating].[All]" dimensionUniqueName="[Data]" displayFolder="" count="0" memberValueDatatype="5" unbalanced="0"/>
    <cacheHierarchy uniqueName="[Data].[Time (Hour)]" caption="Time (Hour)" attribute="1" defaultMemberUniqueName="[Data].[Time (Hour)].[All]" allUniqueName="[Data].[Time (Hour)].[All]" dimensionUniqueName="[Data]" displayFolder="" count="0" memberValueDatatype="130" unbalanced="0"/>
    <cacheHierarchy uniqueName="[Data].[Time (Minute)]" caption="Time (Minute)" attribute="1" defaultMemberUniqueName="[Data].[Time (Minute)].[All]" allUniqueName="[Data].[Time (Minute)].[All]" dimensionUniqueName="[Data]" displayFolder="" count="0" memberValueDatatype="130" unbalanced="0"/>
    <cacheHierarchy uniqueName="[REP].[city]" caption="city" attribute="1" defaultMemberUniqueName="[REP].[city].[All]" allUniqueName="[REP].[city].[All]" dimensionUniqueName="[REP]" displayFolder="" count="0" memberValueDatatype="130" unbalanced="0"/>
    <cacheHierarchy uniqueName="[REP].[Rep]" caption="Rep" attribute="1" defaultMemberUniqueName="[REP].[Rep].[All]" allUniqueName="[REP].[Rep].[All]" dimensionUniqueName="[REP]" displayFolder="" count="0" memberValueDatatype="130" unbalanced="0"/>
    <cacheHierarchy uniqueName="[Returns].[returns]" caption="returns" attribute="1" defaultMemberUniqueName="[Returns].[returns].[All]" allUniqueName="[Returns].[returns].[All]" dimensionUniqueName="[Returns]" displayFolder="" count="0" memberValueDatatype="130" unbalanced="0"/>
    <cacheHierarchy uniqueName="[Returns].[Invoice ID]" caption="Invoice ID" attribute="1" defaultMemberUniqueName="[Returns].[Invoice ID].[All]" allUniqueName="[Returns].[Invoice ID].[All]" dimensionUniqueName="[Returns]" displayFolder="" count="0" memberValueDatatype="130" unbalanced="0"/>
    <cacheHierarchy uniqueName="[Measures].[__XL_Count REP]" caption="__XL_Count REP" measure="1" displayFolder="" measureGroup="REP" count="0" hidden="1"/>
    <cacheHierarchy uniqueName="[Measures].[__XL_Count Returns]" caption="__XL_Count Returns" measure="1" displayFolder="" measureGroup="Returns" count="0" hidden="1"/>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Total]" caption="Sum of Total" measure="1" displayFolder="" measureGroup="Data" count="0" oneField="1" hidden="1">
      <fieldsUsage count="1">
        <fieldUsage x="0"/>
      </fieldsUsage>
      <extLst>
        <ext xmlns:x15="http://schemas.microsoft.com/office/spreadsheetml/2010/11/main" uri="{B97F6D7D-B522-45F9-BDA1-12C45D357490}">
          <x15:cacheHierarchy aggregatedColumn="10"/>
        </ext>
      </extLst>
    </cacheHierarchy>
    <cacheHierarchy uniqueName="[Measures].[Count of returns]" caption="Count of returns" measure="1" displayFolder="" measureGroup="Returns" count="0" hidden="1">
      <extLst>
        <ext xmlns:x15="http://schemas.microsoft.com/office/spreadsheetml/2010/11/main" uri="{B97F6D7D-B522-45F9-BDA1-12C45D357490}">
          <x15:cacheHierarchy aggregatedColumn="24"/>
        </ext>
      </extLst>
    </cacheHierarchy>
    <cacheHierarchy uniqueName="[Measures].[Sum of Net Profit]" caption="Sum of Net Profit" measure="1" displayFolder="" measureGroup="Data" count="0" hidden="1">
      <extLst>
        <ext xmlns:x15="http://schemas.microsoft.com/office/spreadsheetml/2010/11/main" uri="{B97F6D7D-B522-45F9-BDA1-12C45D357490}">
          <x15:cacheHierarchy aggregatedColumn="18"/>
        </ext>
      </extLst>
    </cacheHierarchy>
    <cacheHierarchy uniqueName="[Measures].[Sum of cogs]" caption="Sum of cogs" measure="1" displayFolder="" measureGroup="Data" count="0" hidden="1">
      <extLst>
        <ext xmlns:x15="http://schemas.microsoft.com/office/spreadsheetml/2010/11/main" uri="{B97F6D7D-B522-45F9-BDA1-12C45D357490}">
          <x15:cacheHierarchy aggregatedColumn="17"/>
        </ext>
      </extLst>
    </cacheHierarchy>
    <cacheHierarchy uniqueName="[Measures].[Sum of Tax 5%]" caption="Sum of Tax 5%" measure="1" displayFolder="" measureGroup="Data" count="0" hidden="1">
      <extLst>
        <ext xmlns:x15="http://schemas.microsoft.com/office/spreadsheetml/2010/11/main" uri="{B97F6D7D-B522-45F9-BDA1-12C45D357490}">
          <x15:cacheHierarchy aggregatedColumn="9"/>
        </ext>
      </extLst>
    </cacheHierarchy>
    <cacheHierarchy uniqueName="[Measures].[Average of Net Profit]" caption="Average of Net Profit" measure="1" displayFolder="" measureGroup="Data"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8"/>
        </ext>
      </extLst>
    </cacheHierarchy>
    <cacheHierarchy uniqueName="[Measures].[Count of Invoice ID]" caption="Count of Invoice ID" measure="1" displayFolder="" measureGroup="Data" count="0" hidden="1">
      <extLst>
        <ext xmlns:x15="http://schemas.microsoft.com/office/spreadsheetml/2010/11/main" uri="{B97F6D7D-B522-45F9-BDA1-12C45D357490}">
          <x15:cacheHierarchy aggregatedColumn="0"/>
        </ext>
      </extLst>
    </cacheHierarchy>
    <cacheHierarchy uniqueName="[Measures].[Count of Quantity]" caption="Count of Quantity" measure="1" displayFolder="" measureGroup="Data" count="0" hidden="1">
      <extLst>
        <ext xmlns:x15="http://schemas.microsoft.com/office/spreadsheetml/2010/11/main" uri="{B97F6D7D-B522-45F9-BDA1-12C45D357490}">
          <x15:cacheHierarchy aggregatedColumn="8"/>
        </ext>
      </extLst>
    </cacheHierarchy>
    <cacheHierarchy uniqueName="[Measures].[Count of Product line]" caption="Count of Product line" measure="1" displayFolder="" measureGroup="Data" count="0" hidden="1">
      <extLst>
        <ext xmlns:x15="http://schemas.microsoft.com/office/spreadsheetml/2010/11/main" uri="{B97F6D7D-B522-45F9-BDA1-12C45D357490}">
          <x15:cacheHierarchy aggregatedColumn="6"/>
        </ext>
      </extLst>
    </cacheHierarchy>
    <cacheHierarchy uniqueName="[Measures].[Count of Invoice ID 2]" caption="Count of Invoice ID 2" measure="1" displayFolder="" measureGroup="Returns" count="0" hidden="1">
      <extLst>
        <ext xmlns:x15="http://schemas.microsoft.com/office/spreadsheetml/2010/11/main" uri="{B97F6D7D-B522-45F9-BDA1-12C45D357490}">
          <x15:cacheHierarchy aggregatedColumn="25"/>
        </ext>
      </extLst>
    </cacheHierarchy>
    <cacheHierarchy uniqueName="[Measures].[Sum of Rating]" caption="Sum of Rating" measure="1" displayFolder="" measureGroup="Data" count="0" hidden="1">
      <extLst>
        <ext xmlns:x15="http://schemas.microsoft.com/office/spreadsheetml/2010/11/main" uri="{B97F6D7D-B522-45F9-BDA1-12C45D357490}">
          <x15:cacheHierarchy aggregatedColumn="19"/>
        </ext>
      </extLst>
    </cacheHierarchy>
    <cacheHierarchy uniqueName="[Measures].[Average of Rating]" caption="Average of Rating" measure="1" displayFolder="" measureGroup="Data" count="0" hidden="1">
      <extLst>
        <ext xmlns:x15="http://schemas.microsoft.com/office/spreadsheetml/2010/11/main" uri="{B97F6D7D-B522-45F9-BDA1-12C45D357490}">
          <x15:cacheHierarchy aggregatedColumn="19"/>
        </ext>
      </extLst>
    </cacheHierarchy>
    <cacheHierarchy uniqueName="[Measures].[Min of Rating]" caption="Min of Rating" measure="1" displayFolder="" measureGroup="Data" count="0" hidden="1">
      <extLst>
        <ext xmlns:x15="http://schemas.microsoft.com/office/spreadsheetml/2010/11/main" uri="{B97F6D7D-B522-45F9-BDA1-12C45D357490}">
          <x15:cacheHierarchy aggregatedColumn="19"/>
        </ext>
      </extLst>
    </cacheHierarchy>
    <cacheHierarchy uniqueName="[Measures].[Max of Rating]" caption="Max of Rating" measure="1" displayFolder="" measureGroup="Data" count="0" hidden="1">
      <extLst>
        <ext xmlns:x15="http://schemas.microsoft.com/office/spreadsheetml/2010/11/main" uri="{B97F6D7D-B522-45F9-BDA1-12C45D357490}">
          <x15:cacheHierarchy aggregatedColumn="19"/>
        </ext>
      </extLst>
    </cacheHierarchy>
    <cacheHierarchy uniqueName="[Measures].[Count of Rating]" caption="Count of Rating" measure="1" displayFolder="" measureGroup="Data" count="0" hidden="1">
      <extLst>
        <ext xmlns:x15="http://schemas.microsoft.com/office/spreadsheetml/2010/11/main" uri="{B97F6D7D-B522-45F9-BDA1-12C45D357490}">
          <x15:cacheHierarchy aggregatedColumn="19"/>
        </ext>
      </extLst>
    </cacheHierarchy>
    <cacheHierarchy uniqueName="[Measures].[Distinct Count of Rating]" caption="Distinct Count of Rating" measure="1" displayFolder="" measureGroup="Data" count="0" hidden="1">
      <extLst>
        <ext xmlns:x15="http://schemas.microsoft.com/office/spreadsheetml/2010/11/main" uri="{B97F6D7D-B522-45F9-BDA1-12C45D357490}">
          <x15:cacheHierarchy aggregatedColumn="19"/>
        </ext>
      </extLst>
    </cacheHierarchy>
    <cacheHierarchy uniqueName="[Measures].[Distinct Count of Invoice ID]" caption="Distinct Count of Invoice ID" measure="1" displayFolder="" measureGroup="Data" count="0" hidden="1">
      <extLst>
        <ext xmlns:x15="http://schemas.microsoft.com/office/spreadsheetml/2010/11/main" uri="{B97F6D7D-B522-45F9-BDA1-12C45D357490}">
          <x15:cacheHierarchy aggregatedColumn="0"/>
        </ext>
      </extLst>
    </cacheHierarchy>
    <cacheHierarchy uniqueName="[Measures].[Count of Customer type]" caption="Count of Customer type" measure="1" displayFolder="" measureGroup="Data" count="0" hidden="1">
      <extLst>
        <ext xmlns:x15="http://schemas.microsoft.com/office/spreadsheetml/2010/11/main" uri="{B97F6D7D-B522-45F9-BDA1-12C45D357490}">
          <x15:cacheHierarchy aggregatedColumn="4"/>
        </ext>
      </extLst>
    </cacheHierarchy>
    <cacheHierarchy uniqueName="[Measures].[Count of Payment]" caption="Count of Payment" measure="1" displayFolder="" measureGroup="Data" count="0" hidden="1">
      <extLst>
        <ext xmlns:x15="http://schemas.microsoft.com/office/spreadsheetml/2010/11/main" uri="{B97F6D7D-B522-45F9-BDA1-12C45D357490}">
          <x15:cacheHierarchy aggregatedColumn="16"/>
        </ext>
      </extLst>
    </cacheHierarchy>
    <cacheHierarchy uniqueName="[Measures].[Average of Total]" caption="Average of Total" measure="1" displayFolder="" measureGroup="Data" count="0" hidden="1">
      <extLst>
        <ext xmlns:x15="http://schemas.microsoft.com/office/spreadsheetml/2010/11/main" uri="{B97F6D7D-B522-45F9-BDA1-12C45D357490}">
          <x15:cacheHierarchy aggregatedColumn="10"/>
        </ext>
      </extLst>
    </cacheHierarchy>
    <cacheHierarchy uniqueName="[Measures].[Sum of Unit price]" caption="Sum of Unit price" measure="1" displayFolder="" measureGroup="Data" count="0" hidden="1">
      <extLst>
        <ext xmlns:x15="http://schemas.microsoft.com/office/spreadsheetml/2010/11/main" uri="{B97F6D7D-B522-45F9-BDA1-12C45D357490}">
          <x15:cacheHierarchy aggregatedColumn="7"/>
        </ext>
      </extLst>
    </cacheHierarchy>
    <cacheHierarchy uniqueName="[Measures].[Average of Unit price]" caption="Average of Unit price" measure="1" displayFolder="" measureGroup="Data" count="0" hidden="1">
      <extLst>
        <ext xmlns:x15="http://schemas.microsoft.com/office/spreadsheetml/2010/11/main" uri="{B97F6D7D-B522-45F9-BDA1-12C45D357490}">
          <x15:cacheHierarchy aggregatedColumn="7"/>
        </ext>
      </extLst>
    </cacheHierarchy>
    <cacheHierarchy uniqueName="[Measures].[Max of Unit price]" caption="Max of Unit price" measure="1" displayFolder="" measureGroup="Data" count="0" hidden="1">
      <extLst>
        <ext xmlns:x15="http://schemas.microsoft.com/office/spreadsheetml/2010/11/main" uri="{B97F6D7D-B522-45F9-BDA1-12C45D357490}">
          <x15:cacheHierarchy aggregatedColumn="7"/>
        </ext>
      </extLst>
    </cacheHierarchy>
    <cacheHierarchy uniqueName="[Measures].[Min of Unit price]" caption="Min of Unit price" measure="1" displayFolder="" measureGroup="Data" count="0" hidden="1">
      <extLst>
        <ext xmlns:x15="http://schemas.microsoft.com/office/spreadsheetml/2010/11/main" uri="{B97F6D7D-B522-45F9-BDA1-12C45D357490}">
          <x15:cacheHierarchy aggregatedColumn="7"/>
        </ext>
      </extLst>
    </cacheHierarchy>
  </cacheHierarchies>
  <kpis count="0"/>
  <dimensions count="4">
    <dimension name="Data" uniqueName="[Data]" caption="Data"/>
    <dimension measure="1" name="Measures" uniqueName="[Measures]" caption="Measures"/>
    <dimension name="REP" uniqueName="[REP]" caption="REP"/>
    <dimension name="Returns" uniqueName="[Returns]" caption="Returns"/>
  </dimensions>
  <measureGroups count="3">
    <measureGroup name="Data" caption="Data"/>
    <measureGroup name="REP" caption="REP"/>
    <measureGroup name="Returns" caption="Returns"/>
  </measureGroups>
  <maps count="5">
    <map measureGroup="0" dimension="0"/>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saveData="0" refreshedBy="Amira" refreshedDate="46139.489662615742" backgroundQuery="1" createdVersion="6" refreshedVersion="6" minRefreshableVersion="3" recordCount="0" supportSubquery="1" supportAdvancedDrill="1">
  <cacheSource type="external" connectionId="1"/>
  <cacheFields count="3">
    <cacheField name="[Data].[Year].[Year]" caption="Year" numFmtId="0" hierarchy="14" level="1">
      <sharedItems containsSemiMixedTypes="0" containsString="0" containsNumber="1" containsInteger="1" minValue="2022" maxValue="2022" count="1">
        <n v="2022"/>
      </sharedItems>
      <extLst>
        <ext xmlns:x15="http://schemas.microsoft.com/office/spreadsheetml/2010/11/main" uri="{4F2E5C28-24EA-4eb8-9CBF-B6C8F9C3D259}">
          <x15:cachedUniqueNames>
            <x15:cachedUniqueName index="0" name="[Data].[Year].&amp;[2022]"/>
          </x15:cachedUniqueNames>
        </ext>
      </extLst>
    </cacheField>
    <cacheField name="[Measures].[Average of Rating]" caption="Average of Rating" numFmtId="0" hierarchy="42" level="32767"/>
    <cacheField name="[REP].[Rep].[Rep]" caption="Rep" numFmtId="0" hierarchy="23" level="1">
      <sharedItems count="3">
        <s v="Ahmed Elminofy"/>
        <s v="Mohamed Elbanhawy"/>
        <s v="Mostafa Eltantawy"/>
      </sharedItems>
    </cacheField>
  </cacheFields>
  <cacheHierarchies count="55">
    <cacheHierarchy uniqueName="[Data].[Invoice ID]" caption="Invoice ID" attribute="1" defaultMemberUniqueName="[Data].[Invoice ID].[All]" allUniqueName="[Data].[Invoice ID].[All]" dimensionUniqueName="[Data]" displayFolder="" count="0" memberValueDatatype="130" unbalanced="0"/>
    <cacheHierarchy uniqueName="[Data].[Branch]" caption="Branch" attribute="1" defaultMemberUniqueName="[Data].[Branch].[All]" allUniqueName="[Data].[Branch].[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Branch City]" caption="Branch City" attribute="1" defaultMemberUniqueName="[Data].[Branch City].[All]" allUniqueName="[Data].[Branch City].[All]" dimensionUniqueName="[Data]" displayFolder="" count="2" memberValueDatatype="130" unbalanced="0"/>
    <cacheHierarchy uniqueName="[Data].[Customer type]" caption="Customer type" attribute="1" defaultMemberUniqueName="[Data].[Customer type].[All]" allUniqueName="[Data].[Customer type].[All]" dimensionUniqueName="[Data]" displayFolder="" count="0" memberValueDatatype="130" unbalanced="0"/>
    <cacheHierarchy uniqueName="[Data].[Gender]" caption="Gender" attribute="1" defaultMemberUniqueName="[Data].[Gender].[All]" allUniqueName="[Data].[Gender].[All]" dimensionUniqueName="[Data]" displayFolder="" count="0" memberValueDatatype="130" unbalanced="0"/>
    <cacheHierarchy uniqueName="[Data].[Product line]" caption="Product line" attribute="1" defaultMemberUniqueName="[Data].[Product line].[All]" allUniqueName="[Data].[Product line].[All]" dimensionUniqueName="[Data]" displayFolder="" count="2" memberValueDatatype="130" unbalanced="0"/>
    <cacheHierarchy uniqueName="[Data].[Unit price]" caption="Unit price" attribute="1" defaultMemberUniqueName="[Data].[Unit price].[All]" allUniqueName="[Data].[Unit price].[All]" dimensionUniqueName="[Data]" displayFolder="" count="0" memberValueDatatype="5" unbalanced="0"/>
    <cacheHierarchy uniqueName="[Data].[Quantity]" caption="Quantity" attribute="1" defaultMemberUniqueName="[Data].[Quantity].[All]" allUniqueName="[Data].[Quantity].[All]" dimensionUniqueName="[Data]" displayFolder="" count="0" memberValueDatatype="20" unbalanced="0"/>
    <cacheHierarchy uniqueName="[Data].[Tax 5%]" caption="Tax 5%" attribute="1" defaultMemberUniqueName="[Data].[Tax 5%].[All]" allUniqueName="[Data].[Tax 5%].[All]" dimensionUniqueName="[Data]" displayFolder="" count="0" memberValueDatatype="5" unbalanced="0"/>
    <cacheHierarchy uniqueName="[Data].[Total]" caption="Total" attribute="1" defaultMemberUniqueName="[Data].[Total].[All]" allUniqueName="[Data].[Total].[All]" dimensionUniqueName="[Data]" displayFolder="" count="0" memberValueDatatype="5" unbalanced="0"/>
    <cacheHierarchy uniqueName="[Data].[Date]" caption="Date" attribute="1" time="1" defaultMemberUniqueName="[Data].[Date].[All]" allUniqueName="[Data].[Date].[All]" dimensionUniqueName="[Data]" displayFolder="" count="0" memberValueDatatype="7" unbalanced="0"/>
    <cacheHierarchy uniqueName="[Data].[Day]" caption="Day" attribute="1" defaultMemberUniqueName="[Data].[Day].[All]" allUniqueName="[Data].[Day].[All]" dimensionUniqueName="[Data]" displayFolder="" count="0" memberValueDatatype="20" unbalanced="0"/>
    <cacheHierarchy uniqueName="[Data].[Month]" caption="Month" attribute="1" defaultMemberUniqueName="[Data].[Month].[All]" allUniqueName="[Data].[Month].[All]" dimensionUniqueName="[Data]" displayFolder="" count="0" memberValueDatatype="20" unbalanced="0"/>
    <cacheHierarchy uniqueName="[Data].[Year]" caption="Year" attribute="1" defaultMemberUniqueName="[Data].[Year].[All]" allUniqueName="[Data].[Year].[All]" dimensionUniqueName="[Data]" displayFolder="" count="2" memberValueDatatype="20" unbalanced="0">
      <fieldsUsage count="2">
        <fieldUsage x="-1"/>
        <fieldUsage x="0"/>
      </fieldsUsage>
    </cacheHierarchy>
    <cacheHierarchy uniqueName="[Data].[Time]" caption="Time" attribute="1" time="1" defaultMemberUniqueName="[Data].[Time].[All]" allUniqueName="[Data].[Time].[All]" dimensionUniqueName="[Data]" displayFolder="" count="0" memberValueDatatype="7" unbalanced="0"/>
    <cacheHierarchy uniqueName="[Data].[Payment]" caption="Payment" attribute="1" defaultMemberUniqueName="[Data].[Payment].[All]" allUniqueName="[Data].[Payment].[All]" dimensionUniqueName="[Data]" displayFolder="" count="0" memberValueDatatype="130" unbalanced="0"/>
    <cacheHierarchy uniqueName="[Data].[cogs]" caption="cogs" attribute="1" defaultMemberUniqueName="[Data].[cogs].[All]" allUniqueName="[Data].[cogs].[All]" dimensionUniqueName="[Data]" displayFolder="" count="0" memberValueDatatype="5" unbalanced="0"/>
    <cacheHierarchy uniqueName="[Data].[Net Profit]" caption="Net Profit" attribute="1" defaultMemberUniqueName="[Data].[Net Profit].[All]" allUniqueName="[Data].[Net Profit].[All]" dimensionUniqueName="[Data]" displayFolder="" count="0" memberValueDatatype="5" unbalanced="0"/>
    <cacheHierarchy uniqueName="[Data].[Rating]" caption="Rating" attribute="1" defaultMemberUniqueName="[Data].[Rating].[All]" allUniqueName="[Data].[Rating].[All]" dimensionUniqueName="[Data]" displayFolder="" count="0" memberValueDatatype="5" unbalanced="0"/>
    <cacheHierarchy uniqueName="[Data].[Time (Hour)]" caption="Time (Hour)" attribute="1" defaultMemberUniqueName="[Data].[Time (Hour)].[All]" allUniqueName="[Data].[Time (Hour)].[All]" dimensionUniqueName="[Data]" displayFolder="" count="0" memberValueDatatype="130" unbalanced="0"/>
    <cacheHierarchy uniqueName="[Data].[Time (Minute)]" caption="Time (Minute)" attribute="1" defaultMemberUniqueName="[Data].[Time (Minute)].[All]" allUniqueName="[Data].[Time (Minute)].[All]" dimensionUniqueName="[Data]" displayFolder="" count="0" memberValueDatatype="130" unbalanced="0"/>
    <cacheHierarchy uniqueName="[REP].[city]" caption="city" attribute="1" defaultMemberUniqueName="[REP].[city].[All]" allUniqueName="[REP].[city].[All]" dimensionUniqueName="[REP]" displayFolder="" count="0" memberValueDatatype="130" unbalanced="0"/>
    <cacheHierarchy uniqueName="[REP].[Rep]" caption="Rep" attribute="1" defaultMemberUniqueName="[REP].[Rep].[All]" allUniqueName="[REP].[Rep].[All]" dimensionUniqueName="[REP]" displayFolder="" count="2" memberValueDatatype="130" unbalanced="0">
      <fieldsUsage count="2">
        <fieldUsage x="-1"/>
        <fieldUsage x="2"/>
      </fieldsUsage>
    </cacheHierarchy>
    <cacheHierarchy uniqueName="[Returns].[returns]" caption="returns" attribute="1" defaultMemberUniqueName="[Returns].[returns].[All]" allUniqueName="[Returns].[returns].[All]" dimensionUniqueName="[Returns]" displayFolder="" count="0" memberValueDatatype="130" unbalanced="0"/>
    <cacheHierarchy uniqueName="[Returns].[Invoice ID]" caption="Invoice ID" attribute="1" defaultMemberUniqueName="[Returns].[Invoice ID].[All]" allUniqueName="[Returns].[Invoice ID].[All]" dimensionUniqueName="[Returns]" displayFolder="" count="0" memberValueDatatype="130" unbalanced="0"/>
    <cacheHierarchy uniqueName="[Measures].[__XL_Count REP]" caption="__XL_Count REP" measure="1" displayFolder="" measureGroup="REP" count="0" hidden="1"/>
    <cacheHierarchy uniqueName="[Measures].[__XL_Count Returns]" caption="__XL_Count Returns" measure="1" displayFolder="" measureGroup="Returns" count="0" hidden="1"/>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Total]" caption="Sum of Total" measure="1" displayFolder="" measureGroup="Data" count="0" hidden="1">
      <extLst>
        <ext xmlns:x15="http://schemas.microsoft.com/office/spreadsheetml/2010/11/main" uri="{B97F6D7D-B522-45F9-BDA1-12C45D357490}">
          <x15:cacheHierarchy aggregatedColumn="10"/>
        </ext>
      </extLst>
    </cacheHierarchy>
    <cacheHierarchy uniqueName="[Measures].[Count of returns]" caption="Count of returns" measure="1" displayFolder="" measureGroup="Returns" count="0" hidden="1">
      <extLst>
        <ext xmlns:x15="http://schemas.microsoft.com/office/spreadsheetml/2010/11/main" uri="{B97F6D7D-B522-45F9-BDA1-12C45D357490}">
          <x15:cacheHierarchy aggregatedColumn="24"/>
        </ext>
      </extLst>
    </cacheHierarchy>
    <cacheHierarchy uniqueName="[Measures].[Sum of Net Profit]" caption="Sum of Net Profit" measure="1" displayFolder="" measureGroup="Data" count="0" hidden="1">
      <extLst>
        <ext xmlns:x15="http://schemas.microsoft.com/office/spreadsheetml/2010/11/main" uri="{B97F6D7D-B522-45F9-BDA1-12C45D357490}">
          <x15:cacheHierarchy aggregatedColumn="18"/>
        </ext>
      </extLst>
    </cacheHierarchy>
    <cacheHierarchy uniqueName="[Measures].[Sum of cogs]" caption="Sum of cogs" measure="1" displayFolder="" measureGroup="Data" count="0" hidden="1">
      <extLst>
        <ext xmlns:x15="http://schemas.microsoft.com/office/spreadsheetml/2010/11/main" uri="{B97F6D7D-B522-45F9-BDA1-12C45D357490}">
          <x15:cacheHierarchy aggregatedColumn="17"/>
        </ext>
      </extLst>
    </cacheHierarchy>
    <cacheHierarchy uniqueName="[Measures].[Sum of Tax 5%]" caption="Sum of Tax 5%" measure="1" displayFolder="" measureGroup="Data" count="0" hidden="1">
      <extLst>
        <ext xmlns:x15="http://schemas.microsoft.com/office/spreadsheetml/2010/11/main" uri="{B97F6D7D-B522-45F9-BDA1-12C45D357490}">
          <x15:cacheHierarchy aggregatedColumn="9"/>
        </ext>
      </extLst>
    </cacheHierarchy>
    <cacheHierarchy uniqueName="[Measures].[Average of Net Profit]" caption="Average of Net Profit" measure="1" displayFolder="" measureGroup="Data"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8"/>
        </ext>
      </extLst>
    </cacheHierarchy>
    <cacheHierarchy uniqueName="[Measures].[Count of Invoice ID]" caption="Count of Invoice ID" measure="1" displayFolder="" measureGroup="Data" count="0" hidden="1">
      <extLst>
        <ext xmlns:x15="http://schemas.microsoft.com/office/spreadsheetml/2010/11/main" uri="{B97F6D7D-B522-45F9-BDA1-12C45D357490}">
          <x15:cacheHierarchy aggregatedColumn="0"/>
        </ext>
      </extLst>
    </cacheHierarchy>
    <cacheHierarchy uniqueName="[Measures].[Count of Quantity]" caption="Count of Quantity" measure="1" displayFolder="" measureGroup="Data" count="0" hidden="1">
      <extLst>
        <ext xmlns:x15="http://schemas.microsoft.com/office/spreadsheetml/2010/11/main" uri="{B97F6D7D-B522-45F9-BDA1-12C45D357490}">
          <x15:cacheHierarchy aggregatedColumn="8"/>
        </ext>
      </extLst>
    </cacheHierarchy>
    <cacheHierarchy uniqueName="[Measures].[Count of Product line]" caption="Count of Product line" measure="1" displayFolder="" measureGroup="Data" count="0" hidden="1">
      <extLst>
        <ext xmlns:x15="http://schemas.microsoft.com/office/spreadsheetml/2010/11/main" uri="{B97F6D7D-B522-45F9-BDA1-12C45D357490}">
          <x15:cacheHierarchy aggregatedColumn="6"/>
        </ext>
      </extLst>
    </cacheHierarchy>
    <cacheHierarchy uniqueName="[Measures].[Count of Invoice ID 2]" caption="Count of Invoice ID 2" measure="1" displayFolder="" measureGroup="Returns" count="0" hidden="1">
      <extLst>
        <ext xmlns:x15="http://schemas.microsoft.com/office/spreadsheetml/2010/11/main" uri="{B97F6D7D-B522-45F9-BDA1-12C45D357490}">
          <x15:cacheHierarchy aggregatedColumn="25"/>
        </ext>
      </extLst>
    </cacheHierarchy>
    <cacheHierarchy uniqueName="[Measures].[Sum of Rating]" caption="Sum of Rating" measure="1" displayFolder="" measureGroup="Data" count="0" hidden="1">
      <extLst>
        <ext xmlns:x15="http://schemas.microsoft.com/office/spreadsheetml/2010/11/main" uri="{B97F6D7D-B522-45F9-BDA1-12C45D357490}">
          <x15:cacheHierarchy aggregatedColumn="19"/>
        </ext>
      </extLst>
    </cacheHierarchy>
    <cacheHierarchy uniqueName="[Measures].[Average of Rating]" caption="Average of Rating" measure="1" displayFolder="" measureGroup="Data" count="0" oneField="1" hidden="1">
      <fieldsUsage count="1">
        <fieldUsage x="1"/>
      </fieldsUsage>
      <extLst>
        <ext xmlns:x15="http://schemas.microsoft.com/office/spreadsheetml/2010/11/main" uri="{B97F6D7D-B522-45F9-BDA1-12C45D357490}">
          <x15:cacheHierarchy aggregatedColumn="19"/>
        </ext>
      </extLst>
    </cacheHierarchy>
    <cacheHierarchy uniqueName="[Measures].[Min of Rating]" caption="Min of Rating" measure="1" displayFolder="" measureGroup="Data" count="0" hidden="1">
      <extLst>
        <ext xmlns:x15="http://schemas.microsoft.com/office/spreadsheetml/2010/11/main" uri="{B97F6D7D-B522-45F9-BDA1-12C45D357490}">
          <x15:cacheHierarchy aggregatedColumn="19"/>
        </ext>
      </extLst>
    </cacheHierarchy>
    <cacheHierarchy uniqueName="[Measures].[Max of Rating]" caption="Max of Rating" measure="1" displayFolder="" measureGroup="Data" count="0" hidden="1">
      <extLst>
        <ext xmlns:x15="http://schemas.microsoft.com/office/spreadsheetml/2010/11/main" uri="{B97F6D7D-B522-45F9-BDA1-12C45D357490}">
          <x15:cacheHierarchy aggregatedColumn="19"/>
        </ext>
      </extLst>
    </cacheHierarchy>
    <cacheHierarchy uniqueName="[Measures].[Count of Rating]" caption="Count of Rating" measure="1" displayFolder="" measureGroup="Data" count="0" hidden="1">
      <extLst>
        <ext xmlns:x15="http://schemas.microsoft.com/office/spreadsheetml/2010/11/main" uri="{B97F6D7D-B522-45F9-BDA1-12C45D357490}">
          <x15:cacheHierarchy aggregatedColumn="19"/>
        </ext>
      </extLst>
    </cacheHierarchy>
    <cacheHierarchy uniqueName="[Measures].[Distinct Count of Rating]" caption="Distinct Count of Rating" measure="1" displayFolder="" measureGroup="Data" count="0" hidden="1">
      <extLst>
        <ext xmlns:x15="http://schemas.microsoft.com/office/spreadsheetml/2010/11/main" uri="{B97F6D7D-B522-45F9-BDA1-12C45D357490}">
          <x15:cacheHierarchy aggregatedColumn="19"/>
        </ext>
      </extLst>
    </cacheHierarchy>
    <cacheHierarchy uniqueName="[Measures].[Distinct Count of Invoice ID]" caption="Distinct Count of Invoice ID" measure="1" displayFolder="" measureGroup="Data" count="0" hidden="1">
      <extLst>
        <ext xmlns:x15="http://schemas.microsoft.com/office/spreadsheetml/2010/11/main" uri="{B97F6D7D-B522-45F9-BDA1-12C45D357490}">
          <x15:cacheHierarchy aggregatedColumn="0"/>
        </ext>
      </extLst>
    </cacheHierarchy>
    <cacheHierarchy uniqueName="[Measures].[Count of Customer type]" caption="Count of Customer type" measure="1" displayFolder="" measureGroup="Data" count="0" hidden="1">
      <extLst>
        <ext xmlns:x15="http://schemas.microsoft.com/office/spreadsheetml/2010/11/main" uri="{B97F6D7D-B522-45F9-BDA1-12C45D357490}">
          <x15:cacheHierarchy aggregatedColumn="4"/>
        </ext>
      </extLst>
    </cacheHierarchy>
    <cacheHierarchy uniqueName="[Measures].[Count of Payment]" caption="Count of Payment" measure="1" displayFolder="" measureGroup="Data" count="0" hidden="1">
      <extLst>
        <ext xmlns:x15="http://schemas.microsoft.com/office/spreadsheetml/2010/11/main" uri="{B97F6D7D-B522-45F9-BDA1-12C45D357490}">
          <x15:cacheHierarchy aggregatedColumn="16"/>
        </ext>
      </extLst>
    </cacheHierarchy>
    <cacheHierarchy uniqueName="[Measures].[Average of Total]" caption="Average of Total" measure="1" displayFolder="" measureGroup="Data" count="0" hidden="1">
      <extLst>
        <ext xmlns:x15="http://schemas.microsoft.com/office/spreadsheetml/2010/11/main" uri="{B97F6D7D-B522-45F9-BDA1-12C45D357490}">
          <x15:cacheHierarchy aggregatedColumn="10"/>
        </ext>
      </extLst>
    </cacheHierarchy>
    <cacheHierarchy uniqueName="[Measures].[Sum of Unit price]" caption="Sum of Unit price" measure="1" displayFolder="" measureGroup="Data" count="0" hidden="1">
      <extLst>
        <ext xmlns:x15="http://schemas.microsoft.com/office/spreadsheetml/2010/11/main" uri="{B97F6D7D-B522-45F9-BDA1-12C45D357490}">
          <x15:cacheHierarchy aggregatedColumn="7"/>
        </ext>
      </extLst>
    </cacheHierarchy>
    <cacheHierarchy uniqueName="[Measures].[Average of Unit price]" caption="Average of Unit price" measure="1" displayFolder="" measureGroup="Data" count="0" hidden="1">
      <extLst>
        <ext xmlns:x15="http://schemas.microsoft.com/office/spreadsheetml/2010/11/main" uri="{B97F6D7D-B522-45F9-BDA1-12C45D357490}">
          <x15:cacheHierarchy aggregatedColumn="7"/>
        </ext>
      </extLst>
    </cacheHierarchy>
    <cacheHierarchy uniqueName="[Measures].[Max of Unit price]" caption="Max of Unit price" measure="1" displayFolder="" measureGroup="Data" count="0" hidden="1">
      <extLst>
        <ext xmlns:x15="http://schemas.microsoft.com/office/spreadsheetml/2010/11/main" uri="{B97F6D7D-B522-45F9-BDA1-12C45D357490}">
          <x15:cacheHierarchy aggregatedColumn="7"/>
        </ext>
      </extLst>
    </cacheHierarchy>
    <cacheHierarchy uniqueName="[Measures].[Min of Unit price]" caption="Min of Unit price" measure="1" displayFolder="" measureGroup="Data" count="0" hidden="1">
      <extLst>
        <ext xmlns:x15="http://schemas.microsoft.com/office/spreadsheetml/2010/11/main" uri="{B97F6D7D-B522-45F9-BDA1-12C45D357490}">
          <x15:cacheHierarchy aggregatedColumn="7"/>
        </ext>
      </extLst>
    </cacheHierarchy>
  </cacheHierarchies>
  <kpis count="0"/>
  <dimensions count="4">
    <dimension name="Data" uniqueName="[Data]" caption="Data"/>
    <dimension measure="1" name="Measures" uniqueName="[Measures]" caption="Measures"/>
    <dimension name="REP" uniqueName="[REP]" caption="REP"/>
    <dimension name="Returns" uniqueName="[Returns]" caption="Returns"/>
  </dimensions>
  <measureGroups count="3">
    <measureGroup name="Data" caption="Data"/>
    <measureGroup name="REP" caption="REP"/>
    <measureGroup name="Returns" caption="Returns"/>
  </measureGroups>
  <maps count="5">
    <map measureGroup="0" dimension="0"/>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saveData="0" refreshedBy="Amira" refreshedDate="46139.489663194443" backgroundQuery="1" createdVersion="6" refreshedVersion="6" minRefreshableVersion="3" recordCount="0" supportSubquery="1" supportAdvancedDrill="1">
  <cacheSource type="external" connectionId="1"/>
  <cacheFields count="4">
    <cacheField name="[Data].[Year].[Year]" caption="Year" numFmtId="0" hierarchy="14" level="1">
      <sharedItems containsSemiMixedTypes="0" containsString="0" containsNumber="1" containsInteger="1" minValue="2022" maxValue="2022" count="1">
        <n v="2022"/>
      </sharedItems>
      <extLst>
        <ext xmlns:x15="http://schemas.microsoft.com/office/spreadsheetml/2010/11/main" uri="{4F2E5C28-24EA-4eb8-9CBF-B6C8F9C3D259}">
          <x15:cachedUniqueNames>
            <x15:cachedUniqueName index="0" name="[Data].[Year].&amp;[2022]"/>
          </x15:cachedUniqueNames>
        </ext>
      </extLst>
    </cacheField>
    <cacheField name="[Returns].[returns].[returns]" caption="returns" numFmtId="0" hierarchy="24" level="1">
      <sharedItems containsBlank="1" count="2">
        <s v="yes"/>
        <m/>
      </sharedItems>
    </cacheField>
    <cacheField name="[Measures].[Sum of Total]" caption="Sum of Total" numFmtId="0" hierarchy="30" level="32767"/>
    <cacheField name="[Data].[Branch City].[Branch City]" caption="Branch City" numFmtId="0" hierarchy="3" level="1">
      <sharedItems count="3">
        <s v="Br. A (Yangon)"/>
        <s v="Br. B (Mandalay)"/>
        <s v="Br. C (Naypyitaw)"/>
      </sharedItems>
    </cacheField>
  </cacheFields>
  <cacheHierarchies count="55">
    <cacheHierarchy uniqueName="[Data].[Invoice ID]" caption="Invoice ID" attribute="1" defaultMemberUniqueName="[Data].[Invoice ID].[All]" allUniqueName="[Data].[Invoice ID].[All]" dimensionUniqueName="[Data]" displayFolder="" count="0" memberValueDatatype="130" unbalanced="0"/>
    <cacheHierarchy uniqueName="[Data].[Branch]" caption="Branch" attribute="1" defaultMemberUniqueName="[Data].[Branch].[All]" allUniqueName="[Data].[Branch].[All]" dimensionUniqueName="[Data]" displayFolder="" count="2" memberValueDatatype="130" unbalanced="0"/>
    <cacheHierarchy uniqueName="[Data].[City]" caption="City" attribute="1" defaultMemberUniqueName="[Data].[City].[All]" allUniqueName="[Data].[City].[All]" dimensionUniqueName="[Data]" displayFolder="" count="0" memberValueDatatype="130" unbalanced="0"/>
    <cacheHierarchy uniqueName="[Data].[Branch City]" caption="Branch City" attribute="1" defaultMemberUniqueName="[Data].[Branch City].[All]" allUniqueName="[Data].[Branch City].[All]" dimensionUniqueName="[Data]" displayFolder="" count="2" memberValueDatatype="130" unbalanced="0">
      <fieldsUsage count="2">
        <fieldUsage x="-1"/>
        <fieldUsage x="3"/>
      </fieldsUsage>
    </cacheHierarchy>
    <cacheHierarchy uniqueName="[Data].[Customer type]" caption="Customer type" attribute="1" defaultMemberUniqueName="[Data].[Customer type].[All]" allUniqueName="[Data].[Customer type].[All]" dimensionUniqueName="[Data]" displayFolder="" count="0" memberValueDatatype="130" unbalanced="0"/>
    <cacheHierarchy uniqueName="[Data].[Gender]" caption="Gender" attribute="1" defaultMemberUniqueName="[Data].[Gender].[All]" allUniqueName="[Data].[Gender].[All]" dimensionUniqueName="[Data]" displayFolder="" count="0" memberValueDatatype="130" unbalanced="0"/>
    <cacheHierarchy uniqueName="[Data].[Product line]" caption="Product line" attribute="1" defaultMemberUniqueName="[Data].[Product line].[All]" allUniqueName="[Data].[Product line].[All]" dimensionUniqueName="[Data]" displayFolder="" count="2" memberValueDatatype="130" unbalanced="0"/>
    <cacheHierarchy uniqueName="[Data].[Unit price]" caption="Unit price" attribute="1" defaultMemberUniqueName="[Data].[Unit price].[All]" allUniqueName="[Data].[Unit price].[All]" dimensionUniqueName="[Data]" displayFolder="" count="0" memberValueDatatype="5" unbalanced="0"/>
    <cacheHierarchy uniqueName="[Data].[Quantity]" caption="Quantity" attribute="1" defaultMemberUniqueName="[Data].[Quantity].[All]" allUniqueName="[Data].[Quantity].[All]" dimensionUniqueName="[Data]" displayFolder="" count="0" memberValueDatatype="20" unbalanced="0"/>
    <cacheHierarchy uniqueName="[Data].[Tax 5%]" caption="Tax 5%" attribute="1" defaultMemberUniqueName="[Data].[Tax 5%].[All]" allUniqueName="[Data].[Tax 5%].[All]" dimensionUniqueName="[Data]" displayFolder="" count="0" memberValueDatatype="5" unbalanced="0"/>
    <cacheHierarchy uniqueName="[Data].[Total]" caption="Total" attribute="1" defaultMemberUniqueName="[Data].[Total].[All]" allUniqueName="[Data].[Total].[All]" dimensionUniqueName="[Data]" displayFolder="" count="0" memberValueDatatype="5" unbalanced="0"/>
    <cacheHierarchy uniqueName="[Data].[Date]" caption="Date" attribute="1" time="1" defaultMemberUniqueName="[Data].[Date].[All]" allUniqueName="[Data].[Date].[All]" dimensionUniqueName="[Data]" displayFolder="" count="0" memberValueDatatype="7" unbalanced="0"/>
    <cacheHierarchy uniqueName="[Data].[Day]" caption="Day" attribute="1" defaultMemberUniqueName="[Data].[Day].[All]" allUniqueName="[Data].[Day].[All]" dimensionUniqueName="[Data]" displayFolder="" count="0" memberValueDatatype="20" unbalanced="0"/>
    <cacheHierarchy uniqueName="[Data].[Month]" caption="Month" attribute="1" defaultMemberUniqueName="[Data].[Month].[All]" allUniqueName="[Data].[Month].[All]" dimensionUniqueName="[Data]" displayFolder="" count="0" memberValueDatatype="20" unbalanced="0"/>
    <cacheHierarchy uniqueName="[Data].[Year]" caption="Year" attribute="1" defaultMemberUniqueName="[Data].[Year].[All]" allUniqueName="[Data].[Year].[All]" dimensionUniqueName="[Data]" displayFolder="" count="2" memberValueDatatype="20" unbalanced="0">
      <fieldsUsage count="2">
        <fieldUsage x="-1"/>
        <fieldUsage x="0"/>
      </fieldsUsage>
    </cacheHierarchy>
    <cacheHierarchy uniqueName="[Data].[Time]" caption="Time" attribute="1" time="1" defaultMemberUniqueName="[Data].[Time].[All]" allUniqueName="[Data].[Time].[All]" dimensionUniqueName="[Data]" displayFolder="" count="0" memberValueDatatype="7" unbalanced="0"/>
    <cacheHierarchy uniqueName="[Data].[Payment]" caption="Payment" attribute="1" defaultMemberUniqueName="[Data].[Payment].[All]" allUniqueName="[Data].[Payment].[All]" dimensionUniqueName="[Data]" displayFolder="" count="2" memberValueDatatype="130" unbalanced="0"/>
    <cacheHierarchy uniqueName="[Data].[cogs]" caption="cogs" attribute="1" defaultMemberUniqueName="[Data].[cogs].[All]" allUniqueName="[Data].[cogs].[All]" dimensionUniqueName="[Data]" displayFolder="" count="0" memberValueDatatype="5" unbalanced="0"/>
    <cacheHierarchy uniqueName="[Data].[Net Profit]" caption="Net Profit" attribute="1" defaultMemberUniqueName="[Data].[Net Profit].[All]" allUniqueName="[Data].[Net Profit].[All]" dimensionUniqueName="[Data]" displayFolder="" count="0" memberValueDatatype="5" unbalanced="0"/>
    <cacheHierarchy uniqueName="[Data].[Rating]" caption="Rating" attribute="1" defaultMemberUniqueName="[Data].[Rating].[All]" allUniqueName="[Data].[Rating].[All]" dimensionUniqueName="[Data]" displayFolder="" count="0" memberValueDatatype="5" unbalanced="0"/>
    <cacheHierarchy uniqueName="[Data].[Time (Hour)]" caption="Time (Hour)" attribute="1" defaultMemberUniqueName="[Data].[Time (Hour)].[All]" allUniqueName="[Data].[Time (Hour)].[All]" dimensionUniqueName="[Data]" displayFolder="" count="0" memberValueDatatype="130" unbalanced="0"/>
    <cacheHierarchy uniqueName="[Data].[Time (Minute)]" caption="Time (Minute)" attribute="1" defaultMemberUniqueName="[Data].[Time (Minute)].[All]" allUniqueName="[Data].[Time (Minute)].[All]" dimensionUniqueName="[Data]" displayFolder="" count="0" memberValueDatatype="130" unbalanced="0"/>
    <cacheHierarchy uniqueName="[REP].[city]" caption="city" attribute="1" defaultMemberUniqueName="[REP].[city].[All]" allUniqueName="[REP].[city].[All]" dimensionUniqueName="[REP]" displayFolder="" count="0" memberValueDatatype="130" unbalanced="0"/>
    <cacheHierarchy uniqueName="[REP].[Rep]" caption="Rep" attribute="1" defaultMemberUniqueName="[REP].[Rep].[All]" allUniqueName="[REP].[Rep].[All]" dimensionUniqueName="[REP]" displayFolder="" count="2" memberValueDatatype="130" unbalanced="0"/>
    <cacheHierarchy uniqueName="[Returns].[returns]" caption="returns" attribute="1" defaultMemberUniqueName="[Returns].[returns].[All]" allUniqueName="[Returns].[returns].[All]" dimensionUniqueName="[Returns]" displayFolder="" count="2" memberValueDatatype="130" unbalanced="0">
      <fieldsUsage count="2">
        <fieldUsage x="-1"/>
        <fieldUsage x="1"/>
      </fieldsUsage>
    </cacheHierarchy>
    <cacheHierarchy uniqueName="[Returns].[Invoice ID]" caption="Invoice ID" attribute="1" defaultMemberUniqueName="[Returns].[Invoice ID].[All]" allUniqueName="[Returns].[Invoice ID].[All]" dimensionUniqueName="[Returns]" displayFolder="" count="0" memberValueDatatype="130" unbalanced="0"/>
    <cacheHierarchy uniqueName="[Measures].[__XL_Count REP]" caption="__XL_Count REP" measure="1" displayFolder="" measureGroup="REP" count="0" hidden="1"/>
    <cacheHierarchy uniqueName="[Measures].[__XL_Count Returns]" caption="__XL_Count Returns" measure="1" displayFolder="" measureGroup="Returns" count="0" hidden="1"/>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Total]" caption="Sum of Total" measure="1" displayFolder="" measureGroup="Data"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returns]" caption="Count of returns" measure="1" displayFolder="" measureGroup="Returns" count="0" hidden="1">
      <extLst>
        <ext xmlns:x15="http://schemas.microsoft.com/office/spreadsheetml/2010/11/main" uri="{B97F6D7D-B522-45F9-BDA1-12C45D357490}">
          <x15:cacheHierarchy aggregatedColumn="24"/>
        </ext>
      </extLst>
    </cacheHierarchy>
    <cacheHierarchy uniqueName="[Measures].[Sum of Net Profit]" caption="Sum of Net Profit" measure="1" displayFolder="" measureGroup="Data" count="0" hidden="1">
      <extLst>
        <ext xmlns:x15="http://schemas.microsoft.com/office/spreadsheetml/2010/11/main" uri="{B97F6D7D-B522-45F9-BDA1-12C45D357490}">
          <x15:cacheHierarchy aggregatedColumn="18"/>
        </ext>
      </extLst>
    </cacheHierarchy>
    <cacheHierarchy uniqueName="[Measures].[Sum of cogs]" caption="Sum of cogs" measure="1" displayFolder="" measureGroup="Data" count="0" hidden="1">
      <extLst>
        <ext xmlns:x15="http://schemas.microsoft.com/office/spreadsheetml/2010/11/main" uri="{B97F6D7D-B522-45F9-BDA1-12C45D357490}">
          <x15:cacheHierarchy aggregatedColumn="17"/>
        </ext>
      </extLst>
    </cacheHierarchy>
    <cacheHierarchy uniqueName="[Measures].[Sum of Tax 5%]" caption="Sum of Tax 5%" measure="1" displayFolder="" measureGroup="Data" count="0" hidden="1">
      <extLst>
        <ext xmlns:x15="http://schemas.microsoft.com/office/spreadsheetml/2010/11/main" uri="{B97F6D7D-B522-45F9-BDA1-12C45D357490}">
          <x15:cacheHierarchy aggregatedColumn="9"/>
        </ext>
      </extLst>
    </cacheHierarchy>
    <cacheHierarchy uniqueName="[Measures].[Average of Net Profit]" caption="Average of Net Profit" measure="1" displayFolder="" measureGroup="Data"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8"/>
        </ext>
      </extLst>
    </cacheHierarchy>
    <cacheHierarchy uniqueName="[Measures].[Count of Invoice ID]" caption="Count of Invoice ID" measure="1" displayFolder="" measureGroup="Data" count="0" hidden="1">
      <extLst>
        <ext xmlns:x15="http://schemas.microsoft.com/office/spreadsheetml/2010/11/main" uri="{B97F6D7D-B522-45F9-BDA1-12C45D357490}">
          <x15:cacheHierarchy aggregatedColumn="0"/>
        </ext>
      </extLst>
    </cacheHierarchy>
    <cacheHierarchy uniqueName="[Measures].[Count of Quantity]" caption="Count of Quantity" measure="1" displayFolder="" measureGroup="Data" count="0" hidden="1">
      <extLst>
        <ext xmlns:x15="http://schemas.microsoft.com/office/spreadsheetml/2010/11/main" uri="{B97F6D7D-B522-45F9-BDA1-12C45D357490}">
          <x15:cacheHierarchy aggregatedColumn="8"/>
        </ext>
      </extLst>
    </cacheHierarchy>
    <cacheHierarchy uniqueName="[Measures].[Count of Product line]" caption="Count of Product line" measure="1" displayFolder="" measureGroup="Data" count="0" hidden="1">
      <extLst>
        <ext xmlns:x15="http://schemas.microsoft.com/office/spreadsheetml/2010/11/main" uri="{B97F6D7D-B522-45F9-BDA1-12C45D357490}">
          <x15:cacheHierarchy aggregatedColumn="6"/>
        </ext>
      </extLst>
    </cacheHierarchy>
    <cacheHierarchy uniqueName="[Measures].[Count of Invoice ID 2]" caption="Count of Invoice ID 2" measure="1" displayFolder="" measureGroup="Returns" count="0" hidden="1">
      <extLst>
        <ext xmlns:x15="http://schemas.microsoft.com/office/spreadsheetml/2010/11/main" uri="{B97F6D7D-B522-45F9-BDA1-12C45D357490}">
          <x15:cacheHierarchy aggregatedColumn="25"/>
        </ext>
      </extLst>
    </cacheHierarchy>
    <cacheHierarchy uniqueName="[Measures].[Sum of Rating]" caption="Sum of Rating" measure="1" displayFolder="" measureGroup="Data" count="0" hidden="1">
      <extLst>
        <ext xmlns:x15="http://schemas.microsoft.com/office/spreadsheetml/2010/11/main" uri="{B97F6D7D-B522-45F9-BDA1-12C45D357490}">
          <x15:cacheHierarchy aggregatedColumn="19"/>
        </ext>
      </extLst>
    </cacheHierarchy>
    <cacheHierarchy uniqueName="[Measures].[Average of Rating]" caption="Average of Rating" measure="1" displayFolder="" measureGroup="Data" count="0" hidden="1">
      <extLst>
        <ext xmlns:x15="http://schemas.microsoft.com/office/spreadsheetml/2010/11/main" uri="{B97F6D7D-B522-45F9-BDA1-12C45D357490}">
          <x15:cacheHierarchy aggregatedColumn="19"/>
        </ext>
      </extLst>
    </cacheHierarchy>
    <cacheHierarchy uniqueName="[Measures].[Min of Rating]" caption="Min of Rating" measure="1" displayFolder="" measureGroup="Data" count="0" hidden="1">
      <extLst>
        <ext xmlns:x15="http://schemas.microsoft.com/office/spreadsheetml/2010/11/main" uri="{B97F6D7D-B522-45F9-BDA1-12C45D357490}">
          <x15:cacheHierarchy aggregatedColumn="19"/>
        </ext>
      </extLst>
    </cacheHierarchy>
    <cacheHierarchy uniqueName="[Measures].[Max of Rating]" caption="Max of Rating" measure="1" displayFolder="" measureGroup="Data" count="0" hidden="1">
      <extLst>
        <ext xmlns:x15="http://schemas.microsoft.com/office/spreadsheetml/2010/11/main" uri="{B97F6D7D-B522-45F9-BDA1-12C45D357490}">
          <x15:cacheHierarchy aggregatedColumn="19"/>
        </ext>
      </extLst>
    </cacheHierarchy>
    <cacheHierarchy uniqueName="[Measures].[Count of Rating]" caption="Count of Rating" measure="1" displayFolder="" measureGroup="Data" count="0" hidden="1">
      <extLst>
        <ext xmlns:x15="http://schemas.microsoft.com/office/spreadsheetml/2010/11/main" uri="{B97F6D7D-B522-45F9-BDA1-12C45D357490}">
          <x15:cacheHierarchy aggregatedColumn="19"/>
        </ext>
      </extLst>
    </cacheHierarchy>
    <cacheHierarchy uniqueName="[Measures].[Distinct Count of Rating]" caption="Distinct Count of Rating" measure="1" displayFolder="" measureGroup="Data" count="0" hidden="1">
      <extLst>
        <ext xmlns:x15="http://schemas.microsoft.com/office/spreadsheetml/2010/11/main" uri="{B97F6D7D-B522-45F9-BDA1-12C45D357490}">
          <x15:cacheHierarchy aggregatedColumn="19"/>
        </ext>
      </extLst>
    </cacheHierarchy>
    <cacheHierarchy uniqueName="[Measures].[Distinct Count of Invoice ID]" caption="Distinct Count of Invoice ID" measure="1" displayFolder="" measureGroup="Data" count="0" hidden="1">
      <extLst>
        <ext xmlns:x15="http://schemas.microsoft.com/office/spreadsheetml/2010/11/main" uri="{B97F6D7D-B522-45F9-BDA1-12C45D357490}">
          <x15:cacheHierarchy aggregatedColumn="0"/>
        </ext>
      </extLst>
    </cacheHierarchy>
    <cacheHierarchy uniqueName="[Measures].[Count of Customer type]" caption="Count of Customer type" measure="1" displayFolder="" measureGroup="Data" count="0" hidden="1">
      <extLst>
        <ext xmlns:x15="http://schemas.microsoft.com/office/spreadsheetml/2010/11/main" uri="{B97F6D7D-B522-45F9-BDA1-12C45D357490}">
          <x15:cacheHierarchy aggregatedColumn="4"/>
        </ext>
      </extLst>
    </cacheHierarchy>
    <cacheHierarchy uniqueName="[Measures].[Count of Payment]" caption="Count of Payment" measure="1" displayFolder="" measureGroup="Data" count="0" hidden="1">
      <extLst>
        <ext xmlns:x15="http://schemas.microsoft.com/office/spreadsheetml/2010/11/main" uri="{B97F6D7D-B522-45F9-BDA1-12C45D357490}">
          <x15:cacheHierarchy aggregatedColumn="16"/>
        </ext>
      </extLst>
    </cacheHierarchy>
    <cacheHierarchy uniqueName="[Measures].[Average of Total]" caption="Average of Total" measure="1" displayFolder="" measureGroup="Data" count="0" hidden="1">
      <extLst>
        <ext xmlns:x15="http://schemas.microsoft.com/office/spreadsheetml/2010/11/main" uri="{B97F6D7D-B522-45F9-BDA1-12C45D357490}">
          <x15:cacheHierarchy aggregatedColumn="10"/>
        </ext>
      </extLst>
    </cacheHierarchy>
    <cacheHierarchy uniqueName="[Measures].[Sum of Unit price]" caption="Sum of Unit price" measure="1" displayFolder="" measureGroup="Data" count="0" hidden="1">
      <extLst>
        <ext xmlns:x15="http://schemas.microsoft.com/office/spreadsheetml/2010/11/main" uri="{B97F6D7D-B522-45F9-BDA1-12C45D357490}">
          <x15:cacheHierarchy aggregatedColumn="7"/>
        </ext>
      </extLst>
    </cacheHierarchy>
    <cacheHierarchy uniqueName="[Measures].[Average of Unit price]" caption="Average of Unit price" measure="1" displayFolder="" measureGroup="Data" count="0" hidden="1">
      <extLst>
        <ext xmlns:x15="http://schemas.microsoft.com/office/spreadsheetml/2010/11/main" uri="{B97F6D7D-B522-45F9-BDA1-12C45D357490}">
          <x15:cacheHierarchy aggregatedColumn="7"/>
        </ext>
      </extLst>
    </cacheHierarchy>
    <cacheHierarchy uniqueName="[Measures].[Max of Unit price]" caption="Max of Unit price" measure="1" displayFolder="" measureGroup="Data" count="0" hidden="1">
      <extLst>
        <ext xmlns:x15="http://schemas.microsoft.com/office/spreadsheetml/2010/11/main" uri="{B97F6D7D-B522-45F9-BDA1-12C45D357490}">
          <x15:cacheHierarchy aggregatedColumn="7"/>
        </ext>
      </extLst>
    </cacheHierarchy>
    <cacheHierarchy uniqueName="[Measures].[Min of Unit price]" caption="Min of Unit price" measure="1" displayFolder="" measureGroup="Data" count="0" hidden="1">
      <extLst>
        <ext xmlns:x15="http://schemas.microsoft.com/office/spreadsheetml/2010/11/main" uri="{B97F6D7D-B522-45F9-BDA1-12C45D357490}">
          <x15:cacheHierarchy aggregatedColumn="7"/>
        </ext>
      </extLst>
    </cacheHierarchy>
  </cacheHierarchies>
  <kpis count="0"/>
  <dimensions count="4">
    <dimension name="Data" uniqueName="[Data]" caption="Data"/>
    <dimension measure="1" name="Measures" uniqueName="[Measures]" caption="Measures"/>
    <dimension name="REP" uniqueName="[REP]" caption="REP"/>
    <dimension name="Returns" uniqueName="[Returns]" caption="Returns"/>
  </dimensions>
  <measureGroups count="3">
    <measureGroup name="Data" caption="Data"/>
    <measureGroup name="REP" caption="REP"/>
    <measureGroup name="Returns" caption="Returns"/>
  </measureGroups>
  <maps count="5">
    <map measureGroup="0" dimension="0"/>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saveData="0" refreshedBy="Amira" refreshedDate="46139.489664004628" backgroundQuery="1" createdVersion="6" refreshedVersion="6" minRefreshableVersion="3" recordCount="0" supportSubquery="1" supportAdvancedDrill="1">
  <cacheSource type="external" connectionId="1"/>
  <cacheFields count="4">
    <cacheField name="[Data].[Year].[Year]" caption="Year" numFmtId="0" hierarchy="14" level="1">
      <sharedItems containsSemiMixedTypes="0" containsString="0" containsNumber="1" containsInteger="1" minValue="2022" maxValue="2022" count="1">
        <n v="2022"/>
      </sharedItems>
      <extLst>
        <ext xmlns:x15="http://schemas.microsoft.com/office/spreadsheetml/2010/11/main" uri="{4F2E5C28-24EA-4eb8-9CBF-B6C8F9C3D259}">
          <x15:cachedUniqueNames>
            <x15:cachedUniqueName index="0" name="[Data].[Year].&amp;[2022]"/>
          </x15:cachedUniqueNames>
        </ext>
      </extLst>
    </cacheField>
    <cacheField name="[Returns].[returns].[returns]" caption="returns" numFmtId="0" hierarchy="24" level="1">
      <sharedItems containsBlank="1" count="2">
        <s v="yes"/>
        <m/>
      </sharedItems>
    </cacheField>
    <cacheField name="[Measures].[Sum of Total]" caption="Sum of Total" numFmtId="0" hierarchy="30" level="32767"/>
    <cacheField name="[Data].[Product line].[Product line]" caption="Product line" numFmtId="0" hierarchy="6" level="1">
      <sharedItems count="6">
        <s v="Electronic accessories"/>
        <s v="Fashion accessories"/>
        <s v="Food and beverages"/>
        <s v="Health and beauty"/>
        <s v="Home and lifestyle"/>
        <s v="Sports and travel"/>
      </sharedItems>
    </cacheField>
  </cacheFields>
  <cacheHierarchies count="55">
    <cacheHierarchy uniqueName="[Data].[Invoice ID]" caption="Invoice ID" attribute="1" defaultMemberUniqueName="[Data].[Invoice ID].[All]" allUniqueName="[Data].[Invoice ID].[All]" dimensionUniqueName="[Data]" displayFolder="" count="0" memberValueDatatype="130" unbalanced="0"/>
    <cacheHierarchy uniqueName="[Data].[Branch]" caption="Branch" attribute="1" defaultMemberUniqueName="[Data].[Branch].[All]" allUniqueName="[Data].[Branch].[All]" dimensionUniqueName="[Data]" displayFolder="" count="2" memberValueDatatype="130" unbalanced="0"/>
    <cacheHierarchy uniqueName="[Data].[City]" caption="City" attribute="1" defaultMemberUniqueName="[Data].[City].[All]" allUniqueName="[Data].[City].[All]" dimensionUniqueName="[Data]" displayFolder="" count="0" memberValueDatatype="130" unbalanced="0"/>
    <cacheHierarchy uniqueName="[Data].[Branch City]" caption="Branch City" attribute="1" defaultMemberUniqueName="[Data].[Branch City].[All]" allUniqueName="[Data].[Branch City].[All]" dimensionUniqueName="[Data]" displayFolder="" count="2" memberValueDatatype="130" unbalanced="0"/>
    <cacheHierarchy uniqueName="[Data].[Customer type]" caption="Customer type" attribute="1" defaultMemberUniqueName="[Data].[Customer type].[All]" allUniqueName="[Data].[Customer type].[All]" dimensionUniqueName="[Data]" displayFolder="" count="0" memberValueDatatype="130" unbalanced="0"/>
    <cacheHierarchy uniqueName="[Data].[Gender]" caption="Gender" attribute="1" defaultMemberUniqueName="[Data].[Gender].[All]" allUniqueName="[Data].[Gender].[All]" dimensionUniqueName="[Data]" displayFolder="" count="0" memberValueDatatype="130" unbalanced="0"/>
    <cacheHierarchy uniqueName="[Data].[Product line]" caption="Product line" attribute="1" defaultMemberUniqueName="[Data].[Product line].[All]" allUniqueName="[Data].[Product line].[All]" dimensionUniqueName="[Data]" displayFolder="" count="2" memberValueDatatype="130" unbalanced="0">
      <fieldsUsage count="2">
        <fieldUsage x="-1"/>
        <fieldUsage x="3"/>
      </fieldsUsage>
    </cacheHierarchy>
    <cacheHierarchy uniqueName="[Data].[Unit price]" caption="Unit price" attribute="1" defaultMemberUniqueName="[Data].[Unit price].[All]" allUniqueName="[Data].[Unit price].[All]" dimensionUniqueName="[Data]" displayFolder="" count="0" memberValueDatatype="5" unbalanced="0"/>
    <cacheHierarchy uniqueName="[Data].[Quantity]" caption="Quantity" attribute="1" defaultMemberUniqueName="[Data].[Quantity].[All]" allUniqueName="[Data].[Quantity].[All]" dimensionUniqueName="[Data]" displayFolder="" count="0" memberValueDatatype="20" unbalanced="0"/>
    <cacheHierarchy uniqueName="[Data].[Tax 5%]" caption="Tax 5%" attribute="1" defaultMemberUniqueName="[Data].[Tax 5%].[All]" allUniqueName="[Data].[Tax 5%].[All]" dimensionUniqueName="[Data]" displayFolder="" count="0" memberValueDatatype="5" unbalanced="0"/>
    <cacheHierarchy uniqueName="[Data].[Total]" caption="Total" attribute="1" defaultMemberUniqueName="[Data].[Total].[All]" allUniqueName="[Data].[Total].[All]" dimensionUniqueName="[Data]" displayFolder="" count="0" memberValueDatatype="5" unbalanced="0"/>
    <cacheHierarchy uniqueName="[Data].[Date]" caption="Date" attribute="1" time="1" defaultMemberUniqueName="[Data].[Date].[All]" allUniqueName="[Data].[Date].[All]" dimensionUniqueName="[Data]" displayFolder="" count="0" memberValueDatatype="7" unbalanced="0"/>
    <cacheHierarchy uniqueName="[Data].[Day]" caption="Day" attribute="1" defaultMemberUniqueName="[Data].[Day].[All]" allUniqueName="[Data].[Day].[All]" dimensionUniqueName="[Data]" displayFolder="" count="0" memberValueDatatype="20" unbalanced="0"/>
    <cacheHierarchy uniqueName="[Data].[Month]" caption="Month" attribute="1" defaultMemberUniqueName="[Data].[Month].[All]" allUniqueName="[Data].[Month].[All]" dimensionUniqueName="[Data]" displayFolder="" count="0" memberValueDatatype="20" unbalanced="0"/>
    <cacheHierarchy uniqueName="[Data].[Year]" caption="Year" attribute="1" defaultMemberUniqueName="[Data].[Year].[All]" allUniqueName="[Data].[Year].[All]" dimensionUniqueName="[Data]" displayFolder="" count="2" memberValueDatatype="20" unbalanced="0">
      <fieldsUsage count="2">
        <fieldUsage x="-1"/>
        <fieldUsage x="0"/>
      </fieldsUsage>
    </cacheHierarchy>
    <cacheHierarchy uniqueName="[Data].[Time]" caption="Time" attribute="1" time="1" defaultMemberUniqueName="[Data].[Time].[All]" allUniqueName="[Data].[Time].[All]" dimensionUniqueName="[Data]" displayFolder="" count="0" memberValueDatatype="7" unbalanced="0"/>
    <cacheHierarchy uniqueName="[Data].[Payment]" caption="Payment" attribute="1" defaultMemberUniqueName="[Data].[Payment].[All]" allUniqueName="[Data].[Payment].[All]" dimensionUniqueName="[Data]" displayFolder="" count="2" memberValueDatatype="130" unbalanced="0"/>
    <cacheHierarchy uniqueName="[Data].[cogs]" caption="cogs" attribute="1" defaultMemberUniqueName="[Data].[cogs].[All]" allUniqueName="[Data].[cogs].[All]" dimensionUniqueName="[Data]" displayFolder="" count="0" memberValueDatatype="5" unbalanced="0"/>
    <cacheHierarchy uniqueName="[Data].[Net Profit]" caption="Net Profit" attribute="1" defaultMemberUniqueName="[Data].[Net Profit].[All]" allUniqueName="[Data].[Net Profit].[All]" dimensionUniqueName="[Data]" displayFolder="" count="0" memberValueDatatype="5" unbalanced="0"/>
    <cacheHierarchy uniqueName="[Data].[Rating]" caption="Rating" attribute="1" defaultMemberUniqueName="[Data].[Rating].[All]" allUniqueName="[Data].[Rating].[All]" dimensionUniqueName="[Data]" displayFolder="" count="0" memberValueDatatype="5" unbalanced="0"/>
    <cacheHierarchy uniqueName="[Data].[Time (Hour)]" caption="Time (Hour)" attribute="1" defaultMemberUniqueName="[Data].[Time (Hour)].[All]" allUniqueName="[Data].[Time (Hour)].[All]" dimensionUniqueName="[Data]" displayFolder="" count="0" memberValueDatatype="130" unbalanced="0"/>
    <cacheHierarchy uniqueName="[Data].[Time (Minute)]" caption="Time (Minute)" attribute="1" defaultMemberUniqueName="[Data].[Time (Minute)].[All]" allUniqueName="[Data].[Time (Minute)].[All]" dimensionUniqueName="[Data]" displayFolder="" count="0" memberValueDatatype="130" unbalanced="0"/>
    <cacheHierarchy uniqueName="[REP].[city]" caption="city" attribute="1" defaultMemberUniqueName="[REP].[city].[All]" allUniqueName="[REP].[city].[All]" dimensionUniqueName="[REP]" displayFolder="" count="0" memberValueDatatype="130" unbalanced="0"/>
    <cacheHierarchy uniqueName="[REP].[Rep]" caption="Rep" attribute="1" defaultMemberUniqueName="[REP].[Rep].[All]" allUniqueName="[REP].[Rep].[All]" dimensionUniqueName="[REP]" displayFolder="" count="2" memberValueDatatype="130" unbalanced="0"/>
    <cacheHierarchy uniqueName="[Returns].[returns]" caption="returns" attribute="1" defaultMemberUniqueName="[Returns].[returns].[All]" allUniqueName="[Returns].[returns].[All]" dimensionUniqueName="[Returns]" displayFolder="" count="2" memberValueDatatype="130" unbalanced="0">
      <fieldsUsage count="2">
        <fieldUsage x="-1"/>
        <fieldUsage x="1"/>
      </fieldsUsage>
    </cacheHierarchy>
    <cacheHierarchy uniqueName="[Returns].[Invoice ID]" caption="Invoice ID" attribute="1" defaultMemberUniqueName="[Returns].[Invoice ID].[All]" allUniqueName="[Returns].[Invoice ID].[All]" dimensionUniqueName="[Returns]" displayFolder="" count="0" memberValueDatatype="130" unbalanced="0"/>
    <cacheHierarchy uniqueName="[Measures].[__XL_Count REP]" caption="__XL_Count REP" measure="1" displayFolder="" measureGroup="REP" count="0" hidden="1"/>
    <cacheHierarchy uniqueName="[Measures].[__XL_Count Returns]" caption="__XL_Count Returns" measure="1" displayFolder="" measureGroup="Returns" count="0" hidden="1"/>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Total]" caption="Sum of Total" measure="1" displayFolder="" measureGroup="Data"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returns]" caption="Count of returns" measure="1" displayFolder="" measureGroup="Returns" count="0" hidden="1">
      <extLst>
        <ext xmlns:x15="http://schemas.microsoft.com/office/spreadsheetml/2010/11/main" uri="{B97F6D7D-B522-45F9-BDA1-12C45D357490}">
          <x15:cacheHierarchy aggregatedColumn="24"/>
        </ext>
      </extLst>
    </cacheHierarchy>
    <cacheHierarchy uniqueName="[Measures].[Sum of Net Profit]" caption="Sum of Net Profit" measure="1" displayFolder="" measureGroup="Data" count="0" hidden="1">
      <extLst>
        <ext xmlns:x15="http://schemas.microsoft.com/office/spreadsheetml/2010/11/main" uri="{B97F6D7D-B522-45F9-BDA1-12C45D357490}">
          <x15:cacheHierarchy aggregatedColumn="18"/>
        </ext>
      </extLst>
    </cacheHierarchy>
    <cacheHierarchy uniqueName="[Measures].[Sum of cogs]" caption="Sum of cogs" measure="1" displayFolder="" measureGroup="Data" count="0" hidden="1">
      <extLst>
        <ext xmlns:x15="http://schemas.microsoft.com/office/spreadsheetml/2010/11/main" uri="{B97F6D7D-B522-45F9-BDA1-12C45D357490}">
          <x15:cacheHierarchy aggregatedColumn="17"/>
        </ext>
      </extLst>
    </cacheHierarchy>
    <cacheHierarchy uniqueName="[Measures].[Sum of Tax 5%]" caption="Sum of Tax 5%" measure="1" displayFolder="" measureGroup="Data" count="0" hidden="1">
      <extLst>
        <ext xmlns:x15="http://schemas.microsoft.com/office/spreadsheetml/2010/11/main" uri="{B97F6D7D-B522-45F9-BDA1-12C45D357490}">
          <x15:cacheHierarchy aggregatedColumn="9"/>
        </ext>
      </extLst>
    </cacheHierarchy>
    <cacheHierarchy uniqueName="[Measures].[Average of Net Profit]" caption="Average of Net Profit" measure="1" displayFolder="" measureGroup="Data"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8"/>
        </ext>
      </extLst>
    </cacheHierarchy>
    <cacheHierarchy uniqueName="[Measures].[Count of Invoice ID]" caption="Count of Invoice ID" measure="1" displayFolder="" measureGroup="Data" count="0" hidden="1">
      <extLst>
        <ext xmlns:x15="http://schemas.microsoft.com/office/spreadsheetml/2010/11/main" uri="{B97F6D7D-B522-45F9-BDA1-12C45D357490}">
          <x15:cacheHierarchy aggregatedColumn="0"/>
        </ext>
      </extLst>
    </cacheHierarchy>
    <cacheHierarchy uniqueName="[Measures].[Count of Quantity]" caption="Count of Quantity" measure="1" displayFolder="" measureGroup="Data" count="0" hidden="1">
      <extLst>
        <ext xmlns:x15="http://schemas.microsoft.com/office/spreadsheetml/2010/11/main" uri="{B97F6D7D-B522-45F9-BDA1-12C45D357490}">
          <x15:cacheHierarchy aggregatedColumn="8"/>
        </ext>
      </extLst>
    </cacheHierarchy>
    <cacheHierarchy uniqueName="[Measures].[Count of Product line]" caption="Count of Product line" measure="1" displayFolder="" measureGroup="Data" count="0" hidden="1">
      <extLst>
        <ext xmlns:x15="http://schemas.microsoft.com/office/spreadsheetml/2010/11/main" uri="{B97F6D7D-B522-45F9-BDA1-12C45D357490}">
          <x15:cacheHierarchy aggregatedColumn="6"/>
        </ext>
      </extLst>
    </cacheHierarchy>
    <cacheHierarchy uniqueName="[Measures].[Count of Invoice ID 2]" caption="Count of Invoice ID 2" measure="1" displayFolder="" measureGroup="Returns" count="0" hidden="1">
      <extLst>
        <ext xmlns:x15="http://schemas.microsoft.com/office/spreadsheetml/2010/11/main" uri="{B97F6D7D-B522-45F9-BDA1-12C45D357490}">
          <x15:cacheHierarchy aggregatedColumn="25"/>
        </ext>
      </extLst>
    </cacheHierarchy>
    <cacheHierarchy uniqueName="[Measures].[Sum of Rating]" caption="Sum of Rating" measure="1" displayFolder="" measureGroup="Data" count="0" hidden="1">
      <extLst>
        <ext xmlns:x15="http://schemas.microsoft.com/office/spreadsheetml/2010/11/main" uri="{B97F6D7D-B522-45F9-BDA1-12C45D357490}">
          <x15:cacheHierarchy aggregatedColumn="19"/>
        </ext>
      </extLst>
    </cacheHierarchy>
    <cacheHierarchy uniqueName="[Measures].[Average of Rating]" caption="Average of Rating" measure="1" displayFolder="" measureGroup="Data" count="0" hidden="1">
      <extLst>
        <ext xmlns:x15="http://schemas.microsoft.com/office/spreadsheetml/2010/11/main" uri="{B97F6D7D-B522-45F9-BDA1-12C45D357490}">
          <x15:cacheHierarchy aggregatedColumn="19"/>
        </ext>
      </extLst>
    </cacheHierarchy>
    <cacheHierarchy uniqueName="[Measures].[Min of Rating]" caption="Min of Rating" measure="1" displayFolder="" measureGroup="Data" count="0" hidden="1">
      <extLst>
        <ext xmlns:x15="http://schemas.microsoft.com/office/spreadsheetml/2010/11/main" uri="{B97F6D7D-B522-45F9-BDA1-12C45D357490}">
          <x15:cacheHierarchy aggregatedColumn="19"/>
        </ext>
      </extLst>
    </cacheHierarchy>
    <cacheHierarchy uniqueName="[Measures].[Max of Rating]" caption="Max of Rating" measure="1" displayFolder="" measureGroup="Data" count="0" hidden="1">
      <extLst>
        <ext xmlns:x15="http://schemas.microsoft.com/office/spreadsheetml/2010/11/main" uri="{B97F6D7D-B522-45F9-BDA1-12C45D357490}">
          <x15:cacheHierarchy aggregatedColumn="19"/>
        </ext>
      </extLst>
    </cacheHierarchy>
    <cacheHierarchy uniqueName="[Measures].[Count of Rating]" caption="Count of Rating" measure="1" displayFolder="" measureGroup="Data" count="0" hidden="1">
      <extLst>
        <ext xmlns:x15="http://schemas.microsoft.com/office/spreadsheetml/2010/11/main" uri="{B97F6D7D-B522-45F9-BDA1-12C45D357490}">
          <x15:cacheHierarchy aggregatedColumn="19"/>
        </ext>
      </extLst>
    </cacheHierarchy>
    <cacheHierarchy uniqueName="[Measures].[Distinct Count of Rating]" caption="Distinct Count of Rating" measure="1" displayFolder="" measureGroup="Data" count="0" hidden="1">
      <extLst>
        <ext xmlns:x15="http://schemas.microsoft.com/office/spreadsheetml/2010/11/main" uri="{B97F6D7D-B522-45F9-BDA1-12C45D357490}">
          <x15:cacheHierarchy aggregatedColumn="19"/>
        </ext>
      </extLst>
    </cacheHierarchy>
    <cacheHierarchy uniqueName="[Measures].[Distinct Count of Invoice ID]" caption="Distinct Count of Invoice ID" measure="1" displayFolder="" measureGroup="Data" count="0" hidden="1">
      <extLst>
        <ext xmlns:x15="http://schemas.microsoft.com/office/spreadsheetml/2010/11/main" uri="{B97F6D7D-B522-45F9-BDA1-12C45D357490}">
          <x15:cacheHierarchy aggregatedColumn="0"/>
        </ext>
      </extLst>
    </cacheHierarchy>
    <cacheHierarchy uniqueName="[Measures].[Count of Customer type]" caption="Count of Customer type" measure="1" displayFolder="" measureGroup="Data" count="0" hidden="1">
      <extLst>
        <ext xmlns:x15="http://schemas.microsoft.com/office/spreadsheetml/2010/11/main" uri="{B97F6D7D-B522-45F9-BDA1-12C45D357490}">
          <x15:cacheHierarchy aggregatedColumn="4"/>
        </ext>
      </extLst>
    </cacheHierarchy>
    <cacheHierarchy uniqueName="[Measures].[Count of Payment]" caption="Count of Payment" measure="1" displayFolder="" measureGroup="Data" count="0" hidden="1">
      <extLst>
        <ext xmlns:x15="http://schemas.microsoft.com/office/spreadsheetml/2010/11/main" uri="{B97F6D7D-B522-45F9-BDA1-12C45D357490}">
          <x15:cacheHierarchy aggregatedColumn="16"/>
        </ext>
      </extLst>
    </cacheHierarchy>
    <cacheHierarchy uniqueName="[Measures].[Average of Total]" caption="Average of Total" measure="1" displayFolder="" measureGroup="Data" count="0" hidden="1">
      <extLst>
        <ext xmlns:x15="http://schemas.microsoft.com/office/spreadsheetml/2010/11/main" uri="{B97F6D7D-B522-45F9-BDA1-12C45D357490}">
          <x15:cacheHierarchy aggregatedColumn="10"/>
        </ext>
      </extLst>
    </cacheHierarchy>
    <cacheHierarchy uniqueName="[Measures].[Sum of Unit price]" caption="Sum of Unit price" measure="1" displayFolder="" measureGroup="Data" count="0" hidden="1">
      <extLst>
        <ext xmlns:x15="http://schemas.microsoft.com/office/spreadsheetml/2010/11/main" uri="{B97F6D7D-B522-45F9-BDA1-12C45D357490}">
          <x15:cacheHierarchy aggregatedColumn="7"/>
        </ext>
      </extLst>
    </cacheHierarchy>
    <cacheHierarchy uniqueName="[Measures].[Average of Unit price]" caption="Average of Unit price" measure="1" displayFolder="" measureGroup="Data" count="0" hidden="1">
      <extLst>
        <ext xmlns:x15="http://schemas.microsoft.com/office/spreadsheetml/2010/11/main" uri="{B97F6D7D-B522-45F9-BDA1-12C45D357490}">
          <x15:cacheHierarchy aggregatedColumn="7"/>
        </ext>
      </extLst>
    </cacheHierarchy>
    <cacheHierarchy uniqueName="[Measures].[Max of Unit price]" caption="Max of Unit price" measure="1" displayFolder="" measureGroup="Data" count="0" hidden="1">
      <extLst>
        <ext xmlns:x15="http://schemas.microsoft.com/office/spreadsheetml/2010/11/main" uri="{B97F6D7D-B522-45F9-BDA1-12C45D357490}">
          <x15:cacheHierarchy aggregatedColumn="7"/>
        </ext>
      </extLst>
    </cacheHierarchy>
    <cacheHierarchy uniqueName="[Measures].[Min of Unit price]" caption="Min of Unit price" measure="1" displayFolder="" measureGroup="Data" count="0" hidden="1">
      <extLst>
        <ext xmlns:x15="http://schemas.microsoft.com/office/spreadsheetml/2010/11/main" uri="{B97F6D7D-B522-45F9-BDA1-12C45D357490}">
          <x15:cacheHierarchy aggregatedColumn="7"/>
        </ext>
      </extLst>
    </cacheHierarchy>
  </cacheHierarchies>
  <kpis count="0"/>
  <dimensions count="4">
    <dimension name="Data" uniqueName="[Data]" caption="Data"/>
    <dimension measure="1" name="Measures" uniqueName="[Measures]" caption="Measures"/>
    <dimension name="REP" uniqueName="[REP]" caption="REP"/>
    <dimension name="Returns" uniqueName="[Returns]" caption="Returns"/>
  </dimensions>
  <measureGroups count="3">
    <measureGroup name="Data" caption="Data"/>
    <measureGroup name="REP" caption="REP"/>
    <measureGroup name="Returns" caption="Returns"/>
  </measureGroups>
  <maps count="5">
    <map measureGroup="0" dimension="0"/>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saveData="0" refreshedBy="Amira" refreshedDate="46137.799677430557" backgroundQuery="1" createdVersion="3" refreshedVersion="6"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51">
    <cacheHierarchy uniqueName="[Data].[Invoice ID]" caption="Invoice ID" attribute="1" defaultMemberUniqueName="[Data].[Invoice ID].[All]" allUniqueName="[Data].[Invoice ID].[All]" dimensionUniqueName="[Data]" displayFolder="" count="0" memberValueDatatype="130" unbalanced="0"/>
    <cacheHierarchy uniqueName="[Data].[Branch]" caption="Branch" attribute="1" defaultMemberUniqueName="[Data].[Branch].[All]" allUniqueName="[Data].[Branch].[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Branch City]" caption="Branch City" attribute="1" defaultMemberUniqueName="[Data].[Branch City].[All]" allUniqueName="[Data].[Branch City].[All]" dimensionUniqueName="[Data]" displayFolder="" count="2" memberValueDatatype="130" unbalanced="0"/>
    <cacheHierarchy uniqueName="[Data].[Customer type]" caption="Customer type" attribute="1" defaultMemberUniqueName="[Data].[Customer type].[All]" allUniqueName="[Data].[Customer type].[All]" dimensionUniqueName="[Data]" displayFolder="" count="0" memberValueDatatype="130" unbalanced="0"/>
    <cacheHierarchy uniqueName="[Data].[Gender]" caption="Gender" attribute="1" defaultMemberUniqueName="[Data].[Gender].[All]" allUniqueName="[Data].[Gender].[All]" dimensionUniqueName="[Data]" displayFolder="" count="0" memberValueDatatype="130" unbalanced="0"/>
    <cacheHierarchy uniqueName="[Data].[Product line]" caption="Product line" attribute="1" defaultMemberUniqueName="[Data].[Product line].[All]" allUniqueName="[Data].[Product line].[All]" dimensionUniqueName="[Data]" displayFolder="" count="2" memberValueDatatype="130" unbalanced="0"/>
    <cacheHierarchy uniqueName="[Data].[Unit price]" caption="Unit price" attribute="1" defaultMemberUniqueName="[Data].[Unit price].[All]" allUniqueName="[Data].[Unit price].[All]" dimensionUniqueName="[Data]" displayFolder="" count="0" memberValueDatatype="5" unbalanced="0"/>
    <cacheHierarchy uniqueName="[Data].[Quantity]" caption="Quantity" attribute="1" defaultMemberUniqueName="[Data].[Quantity].[All]" allUniqueName="[Data].[Quantity].[All]" dimensionUniqueName="[Data]" displayFolder="" count="0" memberValueDatatype="20" unbalanced="0"/>
    <cacheHierarchy uniqueName="[Data].[Tax 5%]" caption="Tax 5%" attribute="1" defaultMemberUniqueName="[Data].[Tax 5%].[All]" allUniqueName="[Data].[Tax 5%].[All]" dimensionUniqueName="[Data]" displayFolder="" count="0" memberValueDatatype="5" unbalanced="0"/>
    <cacheHierarchy uniqueName="[Data].[Total]" caption="Total" attribute="1" defaultMemberUniqueName="[Data].[Total].[All]" allUniqueName="[Data].[Total].[All]" dimensionUniqueName="[Data]" displayFolder="" count="0" memberValueDatatype="5" unbalanced="0"/>
    <cacheHierarchy uniqueName="[Data].[Date]" caption="Date" attribute="1" time="1" defaultMemberUniqueName="[Data].[Date].[All]" allUniqueName="[Data].[Date].[All]" dimensionUniqueName="[Data]" displayFolder="" count="0" memberValueDatatype="7" unbalanced="0"/>
    <cacheHierarchy uniqueName="[Data].[Day]" caption="Day" attribute="1" defaultMemberUniqueName="[Data].[Day].[All]" allUniqueName="[Data].[Day].[All]" dimensionUniqueName="[Data]" displayFolder="" count="0" memberValueDatatype="20" unbalanced="0"/>
    <cacheHierarchy uniqueName="[Data].[Month]" caption="Month" attribute="1" defaultMemberUniqueName="[Data].[Month].[All]" allUniqueName="[Data].[Month].[All]" dimensionUniqueName="[Data]" displayFolder="" count="0" memberValueDatatype="20" unbalanced="0"/>
    <cacheHierarchy uniqueName="[Data].[Year]" caption="Year" attribute="1" defaultMemberUniqueName="[Data].[Year].[All]" allUniqueName="[Data].[Year].[All]" dimensionUniqueName="[Data]" displayFolder="" count="2" memberValueDatatype="20" unbalanced="0"/>
    <cacheHierarchy uniqueName="[Data].[Time]" caption="Time" attribute="1" time="1" defaultMemberUniqueName="[Data].[Time].[All]" allUniqueName="[Data].[Time].[All]" dimensionUniqueName="[Data]" displayFolder="" count="0" memberValueDatatype="7" unbalanced="0"/>
    <cacheHierarchy uniqueName="[Data].[Payment]" caption="Payment" attribute="1" defaultMemberUniqueName="[Data].[Payment].[All]" allUniqueName="[Data].[Payment].[All]" dimensionUniqueName="[Data]" displayFolder="" count="0" memberValueDatatype="130" unbalanced="0"/>
    <cacheHierarchy uniqueName="[Data].[cogs]" caption="cogs" attribute="1" defaultMemberUniqueName="[Data].[cogs].[All]" allUniqueName="[Data].[cogs].[All]" dimensionUniqueName="[Data]" displayFolder="" count="0" memberValueDatatype="5" unbalanced="0"/>
    <cacheHierarchy uniqueName="[Data].[Net Profit]" caption="Net Profit" attribute="1" defaultMemberUniqueName="[Data].[Net Profit].[All]" allUniqueName="[Data].[Net Profit].[All]" dimensionUniqueName="[Data]" displayFolder="" count="0" memberValueDatatype="5" unbalanced="0"/>
    <cacheHierarchy uniqueName="[Data].[Rating]" caption="Rating" attribute="1" defaultMemberUniqueName="[Data].[Rating].[All]" allUniqueName="[Data].[Rating].[All]" dimensionUniqueName="[Data]" displayFolder="" count="0" memberValueDatatype="5" unbalanced="0"/>
    <cacheHierarchy uniqueName="[Data].[Time (Hour)]" caption="Time (Hour)" attribute="1" defaultMemberUniqueName="[Data].[Time (Hour)].[All]" allUniqueName="[Data].[Time (Hour)].[All]" dimensionUniqueName="[Data]" displayFolder="" count="0" memberValueDatatype="130" unbalanced="0"/>
    <cacheHierarchy uniqueName="[Data].[Time (Minute)]" caption="Time (Minute)" attribute="1" defaultMemberUniqueName="[Data].[Time (Minute)].[All]" allUniqueName="[Data].[Time (Minute)].[All]" dimensionUniqueName="[Data]" displayFolder="" count="0" memberValueDatatype="130" unbalanced="0"/>
    <cacheHierarchy uniqueName="[REP].[city]" caption="city" attribute="1" defaultMemberUniqueName="[REP].[city].[All]" allUniqueName="[REP].[city].[All]" dimensionUniqueName="[REP]" displayFolder="" count="0" memberValueDatatype="130" unbalanced="0"/>
    <cacheHierarchy uniqueName="[REP].[Rep]" caption="Rep" attribute="1" defaultMemberUniqueName="[REP].[Rep].[All]" allUniqueName="[REP].[Rep].[All]" dimensionUniqueName="[REP]" displayFolder="" count="0" memberValueDatatype="130" unbalanced="0"/>
    <cacheHierarchy uniqueName="[Returns].[returns]" caption="returns" attribute="1" defaultMemberUniqueName="[Returns].[returns].[All]" allUniqueName="[Returns].[returns].[All]" dimensionUniqueName="[Returns]" displayFolder="" count="0" memberValueDatatype="130" unbalanced="0"/>
    <cacheHierarchy uniqueName="[Returns].[Invoice ID]" caption="Invoice ID" attribute="1" defaultMemberUniqueName="[Returns].[Invoice ID].[All]" allUniqueName="[Returns].[Invoice ID].[All]" dimensionUniqueName="[Returns]" displayFolder="" count="0" memberValueDatatype="130" unbalanced="0"/>
    <cacheHierarchy uniqueName="[Measures].[__XL_Count REP]" caption="__XL_Count REP" measure="1" displayFolder="" measureGroup="REP" count="0" hidden="1"/>
    <cacheHierarchy uniqueName="[Measures].[__XL_Count Returns]" caption="__XL_Count Returns" measure="1" displayFolder="" measureGroup="Returns" count="0" hidden="1"/>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Total]" caption="Sum of Total" measure="1" displayFolder="" measureGroup="Data" count="0" hidden="1">
      <extLst>
        <ext xmlns:x15="http://schemas.microsoft.com/office/spreadsheetml/2010/11/main" uri="{B97F6D7D-B522-45F9-BDA1-12C45D357490}">
          <x15:cacheHierarchy aggregatedColumn="10"/>
        </ext>
      </extLst>
    </cacheHierarchy>
    <cacheHierarchy uniqueName="[Measures].[Count of returns]" caption="Count of returns" measure="1" displayFolder="" measureGroup="Returns" count="0" hidden="1">
      <extLst>
        <ext xmlns:x15="http://schemas.microsoft.com/office/spreadsheetml/2010/11/main" uri="{B97F6D7D-B522-45F9-BDA1-12C45D357490}">
          <x15:cacheHierarchy aggregatedColumn="24"/>
        </ext>
      </extLst>
    </cacheHierarchy>
    <cacheHierarchy uniqueName="[Measures].[Sum of Net Profit]" caption="Sum of Net Profit" measure="1" displayFolder="" measureGroup="Data" count="0" hidden="1">
      <extLst>
        <ext xmlns:x15="http://schemas.microsoft.com/office/spreadsheetml/2010/11/main" uri="{B97F6D7D-B522-45F9-BDA1-12C45D357490}">
          <x15:cacheHierarchy aggregatedColumn="18"/>
        </ext>
      </extLst>
    </cacheHierarchy>
    <cacheHierarchy uniqueName="[Measures].[Sum of cogs]" caption="Sum of cogs" measure="1" displayFolder="" measureGroup="Data" count="0" hidden="1">
      <extLst>
        <ext xmlns:x15="http://schemas.microsoft.com/office/spreadsheetml/2010/11/main" uri="{B97F6D7D-B522-45F9-BDA1-12C45D357490}">
          <x15:cacheHierarchy aggregatedColumn="17"/>
        </ext>
      </extLst>
    </cacheHierarchy>
    <cacheHierarchy uniqueName="[Measures].[Sum of Tax 5%]" caption="Sum of Tax 5%" measure="1" displayFolder="" measureGroup="Data" count="0" hidden="1">
      <extLst>
        <ext xmlns:x15="http://schemas.microsoft.com/office/spreadsheetml/2010/11/main" uri="{B97F6D7D-B522-45F9-BDA1-12C45D357490}">
          <x15:cacheHierarchy aggregatedColumn="9"/>
        </ext>
      </extLst>
    </cacheHierarchy>
    <cacheHierarchy uniqueName="[Measures].[Average of Net Profit]" caption="Average of Net Profit" measure="1" displayFolder="" measureGroup="Data"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8"/>
        </ext>
      </extLst>
    </cacheHierarchy>
    <cacheHierarchy uniqueName="[Measures].[Count of Invoice ID]" caption="Count of Invoice ID" measure="1" displayFolder="" measureGroup="Data" count="0" hidden="1">
      <extLst>
        <ext xmlns:x15="http://schemas.microsoft.com/office/spreadsheetml/2010/11/main" uri="{B97F6D7D-B522-45F9-BDA1-12C45D357490}">
          <x15:cacheHierarchy aggregatedColumn="0"/>
        </ext>
      </extLst>
    </cacheHierarchy>
    <cacheHierarchy uniqueName="[Measures].[Count of Quantity]" caption="Count of Quantity" measure="1" displayFolder="" measureGroup="Data" count="0" hidden="1">
      <extLst>
        <ext xmlns:x15="http://schemas.microsoft.com/office/spreadsheetml/2010/11/main" uri="{B97F6D7D-B522-45F9-BDA1-12C45D357490}">
          <x15:cacheHierarchy aggregatedColumn="8"/>
        </ext>
      </extLst>
    </cacheHierarchy>
    <cacheHierarchy uniqueName="[Measures].[Count of Product line]" caption="Count of Product line" measure="1" displayFolder="" measureGroup="Data" count="0" hidden="1">
      <extLst>
        <ext xmlns:x15="http://schemas.microsoft.com/office/spreadsheetml/2010/11/main" uri="{B97F6D7D-B522-45F9-BDA1-12C45D357490}">
          <x15:cacheHierarchy aggregatedColumn="6"/>
        </ext>
      </extLst>
    </cacheHierarchy>
    <cacheHierarchy uniqueName="[Measures].[Count of Invoice ID 2]" caption="Count of Invoice ID 2" measure="1" displayFolder="" measureGroup="Returns" count="0" hidden="1">
      <extLst>
        <ext xmlns:x15="http://schemas.microsoft.com/office/spreadsheetml/2010/11/main" uri="{B97F6D7D-B522-45F9-BDA1-12C45D357490}">
          <x15:cacheHierarchy aggregatedColumn="25"/>
        </ext>
      </extLst>
    </cacheHierarchy>
    <cacheHierarchy uniqueName="[Measures].[Sum of Rating]" caption="Sum of Rating" measure="1" displayFolder="" measureGroup="Data" count="0" hidden="1">
      <extLst>
        <ext xmlns:x15="http://schemas.microsoft.com/office/spreadsheetml/2010/11/main" uri="{B97F6D7D-B522-45F9-BDA1-12C45D357490}">
          <x15:cacheHierarchy aggregatedColumn="19"/>
        </ext>
      </extLst>
    </cacheHierarchy>
    <cacheHierarchy uniqueName="[Measures].[Average of Rating]" caption="Average of Rating" measure="1" displayFolder="" measureGroup="Data" count="0" hidden="1">
      <extLst>
        <ext xmlns:x15="http://schemas.microsoft.com/office/spreadsheetml/2010/11/main" uri="{B97F6D7D-B522-45F9-BDA1-12C45D357490}">
          <x15:cacheHierarchy aggregatedColumn="19"/>
        </ext>
      </extLst>
    </cacheHierarchy>
    <cacheHierarchy uniqueName="[Measures].[Min of Rating]" caption="Min of Rating" measure="1" displayFolder="" measureGroup="Data" count="0" hidden="1">
      <extLst>
        <ext xmlns:x15="http://schemas.microsoft.com/office/spreadsheetml/2010/11/main" uri="{B97F6D7D-B522-45F9-BDA1-12C45D357490}">
          <x15:cacheHierarchy aggregatedColumn="19"/>
        </ext>
      </extLst>
    </cacheHierarchy>
    <cacheHierarchy uniqueName="[Measures].[Max of Rating]" caption="Max of Rating" measure="1" displayFolder="" measureGroup="Data" count="0" hidden="1">
      <extLst>
        <ext xmlns:x15="http://schemas.microsoft.com/office/spreadsheetml/2010/11/main" uri="{B97F6D7D-B522-45F9-BDA1-12C45D357490}">
          <x15:cacheHierarchy aggregatedColumn="19"/>
        </ext>
      </extLst>
    </cacheHierarchy>
    <cacheHierarchy uniqueName="[Measures].[Count of Rating]" caption="Count of Rating" measure="1" displayFolder="" measureGroup="Data" count="0" hidden="1">
      <extLst>
        <ext xmlns:x15="http://schemas.microsoft.com/office/spreadsheetml/2010/11/main" uri="{B97F6D7D-B522-45F9-BDA1-12C45D357490}">
          <x15:cacheHierarchy aggregatedColumn="19"/>
        </ext>
      </extLst>
    </cacheHierarchy>
    <cacheHierarchy uniqueName="[Measures].[Distinct Count of Rating]" caption="Distinct Count of Rating" measure="1" displayFolder="" measureGroup="Data" count="0" hidden="1">
      <extLst>
        <ext xmlns:x15="http://schemas.microsoft.com/office/spreadsheetml/2010/11/main" uri="{B97F6D7D-B522-45F9-BDA1-12C45D357490}">
          <x15:cacheHierarchy aggregatedColumn="19"/>
        </ext>
      </extLst>
    </cacheHierarchy>
    <cacheHierarchy uniqueName="[Measures].[Distinct Count of Invoice ID]" caption="Distinct Count of Invoice ID" measure="1" displayFolder="" measureGroup="Data" count="0" hidden="1">
      <extLst>
        <ext xmlns:x15="http://schemas.microsoft.com/office/spreadsheetml/2010/11/main" uri="{B97F6D7D-B522-45F9-BDA1-12C45D357490}">
          <x15:cacheHierarchy aggregatedColumn="0"/>
        </ext>
      </extLst>
    </cacheHierarchy>
    <cacheHierarchy uniqueName="[Measures].[Count of Customer type]" caption="Count of Customer type" measure="1" displayFolder="" measureGroup="Data" count="0" hidden="1">
      <extLst>
        <ext xmlns:x15="http://schemas.microsoft.com/office/spreadsheetml/2010/11/main" uri="{B97F6D7D-B522-45F9-BDA1-12C45D357490}">
          <x15:cacheHierarchy aggregatedColumn="4"/>
        </ext>
      </extLst>
    </cacheHierarchy>
    <cacheHierarchy uniqueName="[Measures].[Count of Payment]" caption="Count of Payment" measure="1" displayFolder="" measureGroup="Data" count="0" hidden="1">
      <extLst>
        <ext xmlns:x15="http://schemas.microsoft.com/office/spreadsheetml/2010/11/main" uri="{B97F6D7D-B522-45F9-BDA1-12C45D357490}">
          <x15:cacheHierarchy aggregatedColumn="16"/>
        </ext>
      </extLst>
    </cacheHierarchy>
    <cacheHierarchy uniqueName="[Measures].[Average of Total]" caption="Average of Total" measure="1" displayFolder="" measureGroup="Data"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pivotTable1.xml><?xml version="1.0" encoding="utf-8"?>
<pivotTableDefinition xmlns="http://schemas.openxmlformats.org/spreadsheetml/2006/main" name="Payment" cacheId="21"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20">
  <location ref="H33:I37" firstHeaderRow="1" firstDataRow="1" firstDataCol="1" rowPageCount="1" colPageCount="1"/>
  <pivotFields count="3">
    <pivotField axis="axisPage" allDrilled="1" showAll="0" dataSourceSort="1" defaultAttributeDrillState="1">
      <items count="1">
        <item t="default"/>
      </items>
    </pivotField>
    <pivotField axis="axisRow" allDrilled="1" showAll="0" dataSourceSort="1" defaultAttributeDrillState="1">
      <items count="4">
        <item x="0"/>
        <item x="1"/>
        <item x="2"/>
        <item t="default"/>
      </items>
    </pivotField>
    <pivotField dataField="1" showAll="0"/>
  </pivotFields>
  <rowFields count="1">
    <field x="1"/>
  </rowFields>
  <rowItems count="4">
    <i>
      <x/>
    </i>
    <i>
      <x v="1"/>
    </i>
    <i>
      <x v="2"/>
    </i>
    <i t="grand">
      <x/>
    </i>
  </rowItems>
  <colItems count="1">
    <i/>
  </colItems>
  <pageFields count="1">
    <pageField fld="0" hier="14" name="[Data].[Year].&amp;[2022]" cap="2022"/>
  </pageFields>
  <dataFields count="1">
    <dataField name="Count of Payment" fld="2" subtotal="count" showDataAs="percentOfCol" baseField="0" baseItem="0" numFmtId="10"/>
  </dataFields>
  <formats count="16">
    <format dxfId="15">
      <pivotArea outline="0" collapsedLevelsAreSubtotals="1" fieldPosition="0"/>
    </format>
    <format dxfId="14">
      <pivotArea outline="0" collapsedLevelsAreSubtotals="1" fieldPosition="0"/>
    </format>
    <format dxfId="13">
      <pivotArea outline="0" collapsedLevelsAreSubtotals="1" fieldPosition="0"/>
    </format>
    <format dxfId="12">
      <pivotArea outline="0" fieldPosition="0">
        <references count="1">
          <reference field="4294967294" count="1">
            <x v="0"/>
          </reference>
        </references>
      </pivotArea>
    </format>
    <format dxfId="11">
      <pivotArea collapsedLevelsAreSubtotals="1" fieldPosition="0">
        <references count="1">
          <reference field="1" count="1">
            <x v="0"/>
          </reference>
        </references>
      </pivotArea>
    </format>
    <format dxfId="10">
      <pivotArea collapsedLevelsAreSubtotals="1" fieldPosition="0">
        <references count="1">
          <reference field="1" count="1">
            <x v="0"/>
          </reference>
        </references>
      </pivotArea>
    </format>
    <format dxfId="9">
      <pivotArea collapsedLevelsAreSubtotals="1" fieldPosition="0">
        <references count="1">
          <reference field="1" count="0"/>
        </references>
      </pivotArea>
    </format>
    <format dxfId="8">
      <pivotArea collapsedLevelsAreSubtotals="1" fieldPosition="0">
        <references count="1">
          <reference field="1" count="0"/>
        </references>
      </pivotArea>
    </format>
    <format dxfId="7">
      <pivotArea collapsedLevelsAreSubtotals="1" fieldPosition="0">
        <references count="1">
          <reference field="1" count="0"/>
        </references>
      </pivotArea>
    </format>
    <format dxfId="6">
      <pivotArea collapsedLevelsAreSubtotals="1" fieldPosition="0">
        <references count="1">
          <reference field="1" count="0"/>
        </references>
      </pivotArea>
    </format>
    <format dxfId="5">
      <pivotArea collapsedLevelsAreSubtotals="1" fieldPosition="0">
        <references count="1">
          <reference field="1" count="0"/>
        </references>
      </pivotArea>
    </format>
    <format dxfId="4">
      <pivotArea collapsedLevelsAreSubtotals="1" fieldPosition="0">
        <references count="1">
          <reference field="1" count="0"/>
        </references>
      </pivotArea>
    </format>
    <format dxfId="3">
      <pivotArea outline="0" fieldPosition="0">
        <references count="1">
          <reference field="4294967294" count="1">
            <x v="0"/>
          </reference>
        </references>
      </pivotArea>
    </format>
    <format dxfId="2">
      <pivotArea outline="0" fieldPosition="0">
        <references count="1">
          <reference field="4294967294" count="1">
            <x v="0"/>
          </reference>
        </references>
      </pivotArea>
    </format>
    <format dxfId="1">
      <pivotArea collapsedLevelsAreSubtotals="1" fieldPosition="0">
        <references count="1">
          <reference field="1" count="0"/>
        </references>
      </pivotArea>
    </format>
    <format dxfId="0">
      <pivotArea collapsedLevelsAreSubtotals="1" fieldPosition="0">
        <references count="1">
          <reference field="1" count="0"/>
        </references>
      </pivotArea>
    </format>
  </formats>
  <chartFormats count="16">
    <chartFormat chart="13" format="5" series="1">
      <pivotArea type="data" outline="0" fieldPosition="0">
        <references count="1">
          <reference field="4294967294" count="1" selected="0">
            <x v="0"/>
          </reference>
        </references>
      </pivotArea>
    </chartFormat>
    <chartFormat chart="13" format="6">
      <pivotArea type="data" outline="0" fieldPosition="0">
        <references count="2">
          <reference field="4294967294" count="1" selected="0">
            <x v="0"/>
          </reference>
          <reference field="1" count="1" selected="0">
            <x v="0"/>
          </reference>
        </references>
      </pivotArea>
    </chartFormat>
    <chartFormat chart="13" format="7">
      <pivotArea type="data" outline="0" fieldPosition="0">
        <references count="2">
          <reference field="4294967294" count="1" selected="0">
            <x v="0"/>
          </reference>
          <reference field="1" count="1" selected="0">
            <x v="1"/>
          </reference>
        </references>
      </pivotArea>
    </chartFormat>
    <chartFormat chart="13" format="8">
      <pivotArea type="data" outline="0" fieldPosition="0">
        <references count="2">
          <reference field="4294967294" count="1" selected="0">
            <x v="0"/>
          </reference>
          <reference field="1" count="1" selected="0">
            <x v="2"/>
          </reference>
        </references>
      </pivotArea>
    </chartFormat>
    <chartFormat chart="14" format="9" series="1">
      <pivotArea type="data" outline="0" fieldPosition="0">
        <references count="1">
          <reference field="4294967294" count="1" selected="0">
            <x v="0"/>
          </reference>
        </references>
      </pivotArea>
    </chartFormat>
    <chartFormat chart="14" format="10">
      <pivotArea type="data" outline="0" fieldPosition="0">
        <references count="2">
          <reference field="4294967294" count="1" selected="0">
            <x v="0"/>
          </reference>
          <reference field="1" count="1" selected="0">
            <x v="0"/>
          </reference>
        </references>
      </pivotArea>
    </chartFormat>
    <chartFormat chart="14" format="11">
      <pivotArea type="data" outline="0" fieldPosition="0">
        <references count="2">
          <reference field="4294967294" count="1" selected="0">
            <x v="0"/>
          </reference>
          <reference field="1" count="1" selected="0">
            <x v="1"/>
          </reference>
        </references>
      </pivotArea>
    </chartFormat>
    <chartFormat chart="14" format="12">
      <pivotArea type="data" outline="0" fieldPosition="0">
        <references count="2">
          <reference field="4294967294" count="1" selected="0">
            <x v="0"/>
          </reference>
          <reference field="1" count="1" selected="0">
            <x v="2"/>
          </reference>
        </references>
      </pivotArea>
    </chartFormat>
    <chartFormat chart="15" format="9" series="1">
      <pivotArea type="data" outline="0" fieldPosition="0">
        <references count="1">
          <reference field="4294967294" count="1" selected="0">
            <x v="0"/>
          </reference>
        </references>
      </pivotArea>
    </chartFormat>
    <chartFormat chart="15" format="10">
      <pivotArea type="data" outline="0" fieldPosition="0">
        <references count="2">
          <reference field="4294967294" count="1" selected="0">
            <x v="0"/>
          </reference>
          <reference field="1" count="1" selected="0">
            <x v="0"/>
          </reference>
        </references>
      </pivotArea>
    </chartFormat>
    <chartFormat chart="15" format="11">
      <pivotArea type="data" outline="0" fieldPosition="0">
        <references count="2">
          <reference field="4294967294" count="1" selected="0">
            <x v="0"/>
          </reference>
          <reference field="1" count="1" selected="0">
            <x v="1"/>
          </reference>
        </references>
      </pivotArea>
    </chartFormat>
    <chartFormat chart="15" format="12">
      <pivotArea type="data" outline="0" fieldPosition="0">
        <references count="2">
          <reference field="4294967294" count="1" selected="0">
            <x v="0"/>
          </reference>
          <reference field="1" count="1" selected="0">
            <x v="2"/>
          </reference>
        </references>
      </pivotArea>
    </chartFormat>
    <chartFormat chart="19" format="17" series="1">
      <pivotArea type="data" outline="0" fieldPosition="0">
        <references count="1">
          <reference field="4294967294" count="1" selected="0">
            <x v="0"/>
          </reference>
        </references>
      </pivotArea>
    </chartFormat>
    <chartFormat chart="19" format="18">
      <pivotArea type="data" outline="0" fieldPosition="0">
        <references count="2">
          <reference field="4294967294" count="1" selected="0">
            <x v="0"/>
          </reference>
          <reference field="1" count="1" selected="0">
            <x v="0"/>
          </reference>
        </references>
      </pivotArea>
    </chartFormat>
    <chartFormat chart="19" format="19">
      <pivotArea type="data" outline="0" fieldPosition="0">
        <references count="2">
          <reference field="4294967294" count="1" selected="0">
            <x v="0"/>
          </reference>
          <reference field="1" count="1" selected="0">
            <x v="1"/>
          </reference>
        </references>
      </pivotArea>
    </chartFormat>
    <chartFormat chart="19" format="20">
      <pivotArea type="data" outline="0" fieldPosition="0">
        <references count="2">
          <reference field="4294967294" count="1" selected="0">
            <x v="0"/>
          </reference>
          <reference field="1" count="1" selected="0">
            <x v="2"/>
          </reference>
        </references>
      </pivotArea>
    </chartFormat>
  </chartFormats>
  <pivotHierarchies count="55">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Year].&amp;[202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7"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banha_Copy1.xlsx!Data">
        <x15:activeTabTopLevelEntity name="[Data]"/>
      </x15:pivotTableUISettings>
    </ext>
  </extLst>
</pivotTableDefinition>
</file>

<file path=xl/pivotTables/pivotTable2.xml><?xml version="1.0" encoding="utf-8"?>
<pivotTableDefinition xmlns="http://schemas.openxmlformats.org/spreadsheetml/2006/main" name="SalesTrend" cacheId="4"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5">
  <location ref="F19:G24" firstHeaderRow="1" firstDataRow="1" firstDataCol="1"/>
  <pivotFields count="3">
    <pivotField axis="axisRow" allDrilled="1" showAll="0" dataSourceSort="1" defaultAttributeDrillState="1">
      <items count="5">
        <item x="0"/>
        <item x="1"/>
        <item x="2"/>
        <item x="3"/>
        <item t="default"/>
      </items>
    </pivotField>
    <pivotField dataField="1" showAll="0"/>
    <pivotField allDrilled="1" showAll="0" dataSourceSort="1" defaultAttributeDrillState="1"/>
  </pivotFields>
  <rowFields count="1">
    <field x="0"/>
  </rowFields>
  <rowItems count="5">
    <i>
      <x/>
    </i>
    <i>
      <x v="1"/>
    </i>
    <i>
      <x v="2"/>
    </i>
    <i>
      <x v="3"/>
    </i>
    <i t="grand">
      <x/>
    </i>
  </rowItems>
  <colItems count="1">
    <i/>
  </colItems>
  <dataFields count="1">
    <dataField name="Sum of Total" fld="1" baseField="0" baseItem="0"/>
  </dataFields>
  <formats count="3">
    <format dxfId="18">
      <pivotArea outline="0" collapsedLevelsAreSubtotals="1" fieldPosition="0"/>
    </format>
    <format dxfId="17">
      <pivotArea outline="0" collapsedLevelsAreSubtotals="1" fieldPosition="0"/>
    </format>
    <format dxfId="16">
      <pivotArea outline="0" collapsedLevelsAreSubtotals="1" fieldPosition="0"/>
    </format>
  </formats>
  <chartFormats count="1">
    <chartFormat chart="12" format="2" series="1">
      <pivotArea type="data" outline="0" fieldPosition="0">
        <references count="1">
          <reference field="4294967294" count="1" selected="0">
            <x v="0"/>
          </reference>
        </references>
      </pivotArea>
    </chartFormat>
  </chartFormats>
  <pivotHierarchies count="55">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7"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banha_Copy1.xlsx!Data">
        <x15:activeTabTopLevelEntity name="[Data]"/>
      </x15:pivotTableUISettings>
    </ext>
  </extLst>
</pivotTableDefinition>
</file>

<file path=xl/pivotTables/pivotTable3.xml><?xml version="1.0" encoding="utf-8"?>
<pivotTableDefinition xmlns="http://schemas.openxmlformats.org/spreadsheetml/2006/main" name="RatingBranch" cacheId="19"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7">
  <location ref="Q65:R69" firstHeaderRow="1" firstDataRow="1" firstDataCol="1" rowPageCount="1" colPageCount="1"/>
  <pivotFields count="3">
    <pivotField axis="axisPage" allDrilled="1" showAll="0" dataSourceSort="1" defaultAttributeDrillState="1">
      <items count="1">
        <item t="default"/>
      </items>
    </pivotField>
    <pivotField dataField="1" showAll="0"/>
    <pivotField axis="axisRow" allDrilled="1" showAll="0" dataSourceSort="1" defaultAttributeDrillState="1">
      <items count="4">
        <item x="0"/>
        <item x="1"/>
        <item x="2"/>
        <item t="default"/>
      </items>
    </pivotField>
  </pivotFields>
  <rowFields count="1">
    <field x="2"/>
  </rowFields>
  <rowItems count="4">
    <i>
      <x/>
    </i>
    <i>
      <x v="1"/>
    </i>
    <i>
      <x v="2"/>
    </i>
    <i t="grand">
      <x/>
    </i>
  </rowItems>
  <colItems count="1">
    <i/>
  </colItems>
  <pageFields count="1">
    <pageField fld="0" hier="14" name="[Data].[Year].&amp;[2022]" cap="2022"/>
  </pageFields>
  <dataFields count="1">
    <dataField name="Average of Rating" fld="1" subtotal="average" baseField="0" baseItem="653873624" numFmtId="165"/>
  </dataFields>
  <formats count="10">
    <format dxfId="28">
      <pivotArea outline="0" collapsedLevelsAreSubtotals="1" fieldPosition="0"/>
    </format>
    <format dxfId="27">
      <pivotArea outline="0" collapsedLevelsAreSubtotals="1" fieldPosition="0"/>
    </format>
    <format dxfId="26">
      <pivotArea outline="0" collapsedLevelsAreSubtotals="1" fieldPosition="0"/>
    </format>
    <format dxfId="25">
      <pivotArea outline="0" collapsedLevelsAreSubtotals="1" fieldPosition="0"/>
    </format>
    <format dxfId="24">
      <pivotArea outline="0" collapsedLevelsAreSubtotals="1" fieldPosition="0"/>
    </format>
    <format dxfId="23">
      <pivotArea outline="0" collapsedLevelsAreSubtotals="1" fieldPosition="0"/>
    </format>
    <format dxfId="22">
      <pivotArea outline="0" collapsedLevelsAreSubtotals="1" fieldPosition="0"/>
    </format>
    <format dxfId="21">
      <pivotArea outline="0" collapsedLevelsAreSubtotals="1" fieldPosition="0"/>
    </format>
    <format dxfId="20">
      <pivotArea outline="0" collapsedLevelsAreSubtotals="1" fieldPosition="0"/>
    </format>
    <format dxfId="19">
      <pivotArea outline="0" collapsedLevelsAreSubtotals="1" fieldPosition="0"/>
    </format>
  </formats>
  <pivotHierarchies count="55">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Year].&amp;[202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7"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REP]"/>
      </x15:pivotTableUISettings>
    </ext>
  </extLst>
</pivotTableDefinition>
</file>

<file path=xl/pivotTables/pivotTable4.xml><?xml version="1.0" encoding="utf-8"?>
<pivotTableDefinition xmlns="http://schemas.openxmlformats.org/spreadsheetml/2006/main" name="PivotTable2" cacheId="24"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24">
  <location ref="Q53:S57" firstHeaderRow="0" firstDataRow="1" firstDataCol="1" rowPageCount="1" colPageCount="1"/>
  <pivotFields count="4">
    <pivotField axis="axisPage" allDrilled="1" showAll="0" dataSourceSort="1" defaultAttributeDrillState="1">
      <items count="1">
        <item t="default"/>
      </items>
    </pivotField>
    <pivotField axis="axisRow" allDrilled="1" showAll="0" dataSourceSort="1" defaultAttributeDrillState="1">
      <items count="4">
        <item x="0"/>
        <item x="1"/>
        <item x="2"/>
        <item t="default"/>
      </items>
    </pivotField>
    <pivotField dataField="1" showAll="0"/>
    <pivotField dataField="1" showAll="0"/>
  </pivotFields>
  <rowFields count="1">
    <field x="1"/>
  </rowFields>
  <rowItems count="4">
    <i>
      <x/>
    </i>
    <i>
      <x v="1"/>
    </i>
    <i>
      <x v="2"/>
    </i>
    <i t="grand">
      <x/>
    </i>
  </rowItems>
  <colFields count="1">
    <field x="-2"/>
  </colFields>
  <colItems count="2">
    <i>
      <x/>
    </i>
    <i i="1">
      <x v="1"/>
    </i>
  </colItems>
  <pageFields count="1">
    <pageField fld="0" hier="14" name="[Data].[Year].&amp;[2022]" cap="2022"/>
  </pageFields>
  <dataFields count="2">
    <dataField name="Sum of Total" fld="3" baseField="0" baseItem="0"/>
    <dataField name="Sum of Net Profit" fld="2" baseField="0" baseItem="0"/>
  </dataFields>
  <formats count="13">
    <format dxfId="41">
      <pivotArea outline="0" collapsedLevelsAreSubtotals="1" fieldPosition="0"/>
    </format>
    <format dxfId="40">
      <pivotArea outline="0" collapsedLevelsAreSubtotals="1" fieldPosition="0"/>
    </format>
    <format dxfId="39">
      <pivotArea outline="0" collapsedLevelsAreSubtotals="1" fieldPosition="0"/>
    </format>
    <format dxfId="38">
      <pivotArea outline="0" collapsedLevelsAreSubtotals="1" fieldPosition="0"/>
    </format>
    <format dxfId="37">
      <pivotArea outline="0" collapsedLevelsAreSubtotals="1" fieldPosition="0"/>
    </format>
    <format dxfId="36">
      <pivotArea outline="0" collapsedLevelsAreSubtotals="1" fieldPosition="0"/>
    </format>
    <format dxfId="35">
      <pivotArea outline="0" collapsedLevelsAreSubtotals="1" fieldPosition="0"/>
    </format>
    <format dxfId="34">
      <pivotArea outline="0" collapsedLevelsAreSubtotals="1" fieldPosition="0"/>
    </format>
    <format dxfId="33">
      <pivotArea outline="0" collapsedLevelsAreSubtotals="1" fieldPosition="0"/>
    </format>
    <format dxfId="32">
      <pivotArea outline="0" collapsedLevelsAreSubtotals="1" fieldPosition="0"/>
    </format>
    <format dxfId="31">
      <pivotArea collapsedLevelsAreSubtotals="1" fieldPosition="0">
        <references count="1">
          <reference field="1" count="0"/>
        </references>
      </pivotArea>
    </format>
    <format dxfId="30">
      <pivotArea collapsedLevelsAreSubtotals="1" fieldPosition="0">
        <references count="1">
          <reference field="1" count="0"/>
        </references>
      </pivotArea>
    </format>
    <format dxfId="29">
      <pivotArea collapsedLevelsAreSubtotals="1" fieldPosition="0">
        <references count="1">
          <reference field="1" count="0"/>
        </references>
      </pivotArea>
    </format>
  </formats>
  <chartFormats count="8">
    <chartFormat chart="15" format="6" series="1">
      <pivotArea type="data" outline="0" fieldPosition="0">
        <references count="1">
          <reference field="4294967294" count="1" selected="0">
            <x v="0"/>
          </reference>
        </references>
      </pivotArea>
    </chartFormat>
    <chartFormat chart="15" format="7" series="1">
      <pivotArea type="data" outline="0" fieldPosition="0">
        <references count="1">
          <reference field="4294967294" count="1" selected="0">
            <x v="1"/>
          </reference>
        </references>
      </pivotArea>
    </chartFormat>
    <chartFormat chart="19" format="6" series="1">
      <pivotArea type="data" outline="0" fieldPosition="0">
        <references count="1">
          <reference field="4294967294" count="1" selected="0">
            <x v="0"/>
          </reference>
        </references>
      </pivotArea>
    </chartFormat>
    <chartFormat chart="19" format="7" series="1">
      <pivotArea type="data" outline="0" fieldPosition="0">
        <references count="1">
          <reference field="4294967294" count="1" selected="0">
            <x v="1"/>
          </reference>
        </references>
      </pivotArea>
    </chartFormat>
    <chartFormat chart="20" format="8" series="1">
      <pivotArea type="data" outline="0" fieldPosition="0">
        <references count="1">
          <reference field="4294967294" count="1" selected="0">
            <x v="0"/>
          </reference>
        </references>
      </pivotArea>
    </chartFormat>
    <chartFormat chart="20" format="9" series="1">
      <pivotArea type="data" outline="0" fieldPosition="0">
        <references count="1">
          <reference field="4294967294" count="1" selected="0">
            <x v="1"/>
          </reference>
        </references>
      </pivotArea>
    </chartFormat>
    <chartFormat chart="21" format="8" series="1">
      <pivotArea type="data" outline="0" fieldPosition="0">
        <references count="1">
          <reference field="4294967294" count="1" selected="0">
            <x v="0"/>
          </reference>
        </references>
      </pivotArea>
    </chartFormat>
    <chartFormat chart="21" format="9" series="1">
      <pivotArea type="data" outline="0" fieldPosition="0">
        <references count="1">
          <reference field="4294967294" count="1" selected="0">
            <x v="1"/>
          </reference>
        </references>
      </pivotArea>
    </chartFormat>
  </chartFormats>
  <pivotHierarchies count="55">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Year].&amp;[202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7" showRowHeaders="1" showColHeaders="1" showRowStripes="0" showColStripes="0" showLastColumn="1"/>
  <rowHierarchiesUsage count="1">
    <rowHierarchyUsage hierarchyUsage="2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REP]"/>
      </x15:pivotTableUISettings>
    </ext>
  </extLst>
</pivotTableDefinition>
</file>

<file path=xl/pivotTables/pivotTable5.xml><?xml version="1.0" encoding="utf-8"?>
<pivotTableDefinition xmlns="http://schemas.openxmlformats.org/spreadsheetml/2006/main" name="ProductLineMeasures" cacheId="14"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20">
  <location ref="L14:P21" firstHeaderRow="0" firstDataRow="1" firstDataCol="1" rowPageCount="1" colPageCount="1"/>
  <pivotFields count="6">
    <pivotField axis="axisPage" allDrilled="1" showAll="0" dataSourceSort="1" defaultAttributeDrillState="1">
      <items count="1">
        <item t="default"/>
      </items>
    </pivotField>
    <pivotField axis="axisRow" allDrilled="1" showAll="0" sortType="descending" defaultAttributeDrillState="1">
      <items count="7">
        <item x="0"/>
        <item x="1"/>
        <item x="2"/>
        <item x="3"/>
        <item x="4"/>
        <item x="5"/>
        <item t="default"/>
      </items>
      <autoSortScope>
        <pivotArea dataOnly="0" outline="0" fieldPosition="0">
          <references count="1">
            <reference field="4294967294" count="1" selected="0">
              <x v="0"/>
            </reference>
          </references>
        </pivotArea>
      </autoSortScope>
    </pivotField>
    <pivotField dataField="1" showAll="0"/>
    <pivotField dataField="1" showAll="0"/>
    <pivotField dataField="1" showAll="0"/>
    <pivotField dataField="1" showAll="0"/>
  </pivotFields>
  <rowFields count="1">
    <field x="1"/>
  </rowFields>
  <rowItems count="7">
    <i>
      <x/>
    </i>
    <i>
      <x v="4"/>
    </i>
    <i>
      <x v="3"/>
    </i>
    <i>
      <x v="2"/>
    </i>
    <i>
      <x v="1"/>
    </i>
    <i>
      <x v="5"/>
    </i>
    <i t="grand">
      <x/>
    </i>
  </rowItems>
  <colFields count="1">
    <field x="-2"/>
  </colFields>
  <colItems count="4">
    <i>
      <x/>
    </i>
    <i i="1">
      <x v="1"/>
    </i>
    <i i="2">
      <x v="2"/>
    </i>
    <i i="3">
      <x v="3"/>
    </i>
  </colItems>
  <pageFields count="1">
    <pageField fld="0" hier="14" name="[Data].[Year].&amp;[2022]" cap="2022"/>
  </pageFields>
  <dataFields count="4">
    <dataField name="Sum of Total" fld="3" baseField="0" baseItem="0"/>
    <dataField name="Sum of Net Profit" fld="2" baseField="0" baseItem="0" numFmtId="164"/>
    <dataField name="Sum of cogs" fld="4" baseField="0" baseItem="0"/>
    <dataField name="Sum of Quantity" fld="5" baseField="0" baseItem="0"/>
  </dataFields>
  <formats count="10">
    <format dxfId="51">
      <pivotArea outline="0" collapsedLevelsAreSubtotals="1" fieldPosition="0"/>
    </format>
    <format dxfId="50">
      <pivotArea outline="0" collapsedLevelsAreSubtotals="1" fieldPosition="0"/>
    </format>
    <format dxfId="49">
      <pivotArea outline="0" collapsedLevelsAreSubtotals="1" fieldPosition="0"/>
    </format>
    <format dxfId="48">
      <pivotArea outline="0" collapsedLevelsAreSubtotals="1" fieldPosition="0"/>
    </format>
    <format dxfId="47">
      <pivotArea outline="0" collapsedLevelsAreSubtotals="1" fieldPosition="0"/>
    </format>
    <format dxfId="46">
      <pivotArea outline="0" fieldPosition="0">
        <references count="1">
          <reference field="4294967294" count="1">
            <x v="1"/>
          </reference>
        </references>
      </pivotArea>
    </format>
    <format dxfId="45">
      <pivotArea outline="0" fieldPosition="0">
        <references count="1">
          <reference field="4294967294" count="1">
            <x v="1"/>
          </reference>
        </references>
      </pivotArea>
    </format>
    <format dxfId="44">
      <pivotArea outline="0" collapsedLevelsAreSubtotals="1" fieldPosition="0">
        <references count="1">
          <reference field="4294967294" count="1" selected="0">
            <x v="1"/>
          </reference>
        </references>
      </pivotArea>
    </format>
    <format dxfId="43">
      <pivotArea outline="0" collapsedLevelsAreSubtotals="1" fieldPosition="0">
        <references count="1">
          <reference field="4294967294" count="1" selected="0">
            <x v="1"/>
          </reference>
        </references>
      </pivotArea>
    </format>
    <format dxfId="42">
      <pivotArea outline="0" collapsedLevelsAreSubtotals="1" fieldPosition="0">
        <references count="1">
          <reference field="4294967294" count="1" selected="0">
            <x v="1"/>
          </reference>
        </references>
      </pivotArea>
    </format>
  </formats>
  <chartFormats count="20">
    <chartFormat chart="4" format="8" series="1">
      <pivotArea type="data" outline="0" fieldPosition="0">
        <references count="1">
          <reference field="4294967294" count="1" selected="0">
            <x v="1"/>
          </reference>
        </references>
      </pivotArea>
    </chartFormat>
    <chartFormat chart="7" format="16" series="1">
      <pivotArea type="data" outline="0" fieldPosition="0">
        <references count="1">
          <reference field="4294967294" count="1" selected="0">
            <x v="1"/>
          </reference>
        </references>
      </pivotArea>
    </chartFormat>
    <chartFormat chart="7" format="17">
      <pivotArea type="data" outline="0" fieldPosition="0">
        <references count="2">
          <reference field="4294967294" count="1" selected="0">
            <x v="1"/>
          </reference>
          <reference field="1" count="1" selected="0">
            <x v="0"/>
          </reference>
        </references>
      </pivotArea>
    </chartFormat>
    <chartFormat chart="7" format="18">
      <pivotArea type="data" outline="0" fieldPosition="0">
        <references count="2">
          <reference field="4294967294" count="1" selected="0">
            <x v="1"/>
          </reference>
          <reference field="1" count="1" selected="0">
            <x v="1"/>
          </reference>
        </references>
      </pivotArea>
    </chartFormat>
    <chartFormat chart="7" format="19">
      <pivotArea type="data" outline="0" fieldPosition="0">
        <references count="2">
          <reference field="4294967294" count="1" selected="0">
            <x v="1"/>
          </reference>
          <reference field="1" count="1" selected="0">
            <x v="2"/>
          </reference>
        </references>
      </pivotArea>
    </chartFormat>
    <chartFormat chart="7" format="20">
      <pivotArea type="data" outline="0" fieldPosition="0">
        <references count="2">
          <reference field="4294967294" count="1" selected="0">
            <x v="1"/>
          </reference>
          <reference field="1" count="1" selected="0">
            <x v="3"/>
          </reference>
        </references>
      </pivotArea>
    </chartFormat>
    <chartFormat chart="7" format="21">
      <pivotArea type="data" outline="0" fieldPosition="0">
        <references count="2">
          <reference field="4294967294" count="1" selected="0">
            <x v="1"/>
          </reference>
          <reference field="1" count="1" selected="0">
            <x v="4"/>
          </reference>
        </references>
      </pivotArea>
    </chartFormat>
    <chartFormat chart="7" format="22">
      <pivotArea type="data" outline="0" fieldPosition="0">
        <references count="2">
          <reference field="4294967294" count="1" selected="0">
            <x v="1"/>
          </reference>
          <reference field="1" count="1" selected="0">
            <x v="5"/>
          </reference>
        </references>
      </pivotArea>
    </chartFormat>
    <chartFormat chart="12" format="16" series="1">
      <pivotArea type="data" outline="0" fieldPosition="0">
        <references count="1">
          <reference field="4294967294" count="1" selected="0">
            <x v="0"/>
          </reference>
        </references>
      </pivotArea>
    </chartFormat>
    <chartFormat chart="12" format="17" series="1">
      <pivotArea type="data" outline="0" fieldPosition="0">
        <references count="1">
          <reference field="4294967294" count="1" selected="0">
            <x v="1"/>
          </reference>
        </references>
      </pivotArea>
    </chartFormat>
    <chartFormat chart="12" format="18" series="1">
      <pivotArea type="data" outline="0" fieldPosition="0">
        <references count="1">
          <reference field="4294967294" count="1" selected="0">
            <x v="2"/>
          </reference>
        </references>
      </pivotArea>
    </chartFormat>
    <chartFormat chart="12" format="19" series="1">
      <pivotArea type="data" outline="0" fieldPosition="0">
        <references count="1">
          <reference field="4294967294" count="1" selected="0">
            <x v="3"/>
          </reference>
        </references>
      </pivotArea>
    </chartFormat>
    <chartFormat chart="13" format="20" series="1">
      <pivotArea type="data" outline="0" fieldPosition="0">
        <references count="1">
          <reference field="4294967294" count="1" selected="0">
            <x v="0"/>
          </reference>
        </references>
      </pivotArea>
    </chartFormat>
    <chartFormat chart="13" format="21" series="1">
      <pivotArea type="data" outline="0" fieldPosition="0">
        <references count="1">
          <reference field="4294967294" count="1" selected="0">
            <x v="1"/>
          </reference>
        </references>
      </pivotArea>
    </chartFormat>
    <chartFormat chart="13" format="22" series="1">
      <pivotArea type="data" outline="0" fieldPosition="0">
        <references count="1">
          <reference field="4294967294" count="1" selected="0">
            <x v="2"/>
          </reference>
        </references>
      </pivotArea>
    </chartFormat>
    <chartFormat chart="13" format="23" series="1">
      <pivotArea type="data" outline="0" fieldPosition="0">
        <references count="1">
          <reference field="4294967294" count="1" selected="0">
            <x v="3"/>
          </reference>
        </references>
      </pivotArea>
    </chartFormat>
    <chartFormat chart="17" format="32" series="1">
      <pivotArea type="data" outline="0" fieldPosition="0">
        <references count="1">
          <reference field="4294967294" count="1" selected="0">
            <x v="0"/>
          </reference>
        </references>
      </pivotArea>
    </chartFormat>
    <chartFormat chart="17" format="33" series="1">
      <pivotArea type="data" outline="0" fieldPosition="0">
        <references count="1">
          <reference field="4294967294" count="1" selected="0">
            <x v="2"/>
          </reference>
        </references>
      </pivotArea>
    </chartFormat>
    <chartFormat chart="17" format="34" series="1">
      <pivotArea type="data" outline="0" fieldPosition="0">
        <references count="1">
          <reference field="4294967294" count="1" selected="0">
            <x v="1"/>
          </reference>
        </references>
      </pivotArea>
    </chartFormat>
    <chartFormat chart="17" format="35" series="1">
      <pivotArea type="data" outline="0" fieldPosition="0">
        <references count="1">
          <reference field="4294967294" count="1" selected="0">
            <x v="3"/>
          </reference>
        </references>
      </pivotArea>
    </chartFormat>
  </chartFormats>
  <pivotHierarchies count="55">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Year].&amp;[202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7"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banha_Copy1.xlsx!Data">
        <x15:activeTabTopLevelEntity name="[Data]"/>
      </x15:pivotTableUISettings>
    </ext>
  </extLst>
</pivotTableDefinition>
</file>

<file path=xl/pivotTables/pivotTable6.xml><?xml version="1.0" encoding="utf-8"?>
<pivotTableDefinition xmlns="http://schemas.openxmlformats.org/spreadsheetml/2006/main" name="Sales%" cacheId="3"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2">
  <location ref="F12:H17" firstHeaderRow="0" firstDataRow="1" firstDataCol="1"/>
  <pivotFields count="4">
    <pivotField dataField="1" showAll="0"/>
    <pivotField axis="axisRow" allDrilled="1" showAll="0" dataSourceSort="1" defaultAttributeDrillState="1">
      <items count="5">
        <item x="0"/>
        <item x="1"/>
        <item x="2"/>
        <item x="3"/>
        <item t="default"/>
      </items>
    </pivotField>
    <pivotField allDrilled="1" showAll="0" dataSourceSort="1"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5">
    <i>
      <x/>
    </i>
    <i>
      <x v="1"/>
    </i>
    <i>
      <x v="2"/>
    </i>
    <i>
      <x v="3"/>
    </i>
    <i t="grand">
      <x/>
    </i>
  </rowItems>
  <colFields count="1">
    <field x="-2"/>
  </colFields>
  <colItems count="2">
    <i>
      <x/>
    </i>
    <i i="1">
      <x v="1"/>
    </i>
  </colItems>
  <dataFields count="2">
    <dataField name="Sum of Total" fld="0" baseField="0" baseItem="0" numFmtId="164"/>
    <dataField name="Sum of Total2" fld="3" showDataAs="percentDiff" baseField="1" baseItem="1048828" numFmtId="10">
      <extLst>
        <ext xmlns:x14="http://schemas.microsoft.com/office/spreadsheetml/2009/9/main" uri="{E15A36E0-9728-4e99-A89B-3F7291B0FE68}">
          <x14:dataField sourceField="0" uniqueName="[__Xl2].[Measures].[Sum of Total]"/>
        </ext>
      </extLst>
    </dataField>
  </dataFields>
  <formats count="4">
    <format dxfId="55">
      <pivotArea outline="0" collapsedLevelsAreSubtotals="1" fieldPosition="0"/>
    </format>
    <format dxfId="54">
      <pivotArea outline="0" collapsedLevelsAreSubtotals="1" fieldPosition="0"/>
    </format>
    <format dxfId="53">
      <pivotArea outline="0" collapsedLevelsAreSubtotals="1" fieldPosition="0"/>
    </format>
    <format dxfId="52">
      <pivotArea outline="0" fieldPosition="0">
        <references count="1">
          <reference field="4294967294" count="1">
            <x v="1"/>
          </reference>
        </references>
      </pivotArea>
    </format>
  </formats>
  <pivotHierarchies count="56">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7"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banha_Copy1.xlsx!Data">
        <x15:activeTabTopLevelEntity name="[Data]"/>
      </x15:pivotTableUISettings>
    </ext>
  </extLst>
</pivotTableDefinition>
</file>

<file path=xl/pivotTables/pivotTable7.xml><?xml version="1.0" encoding="utf-8"?>
<pivotTableDefinition xmlns="http://schemas.openxmlformats.org/spreadsheetml/2006/main" name="Quantity" cacheId="17"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5">
  <location ref="O40:P43" firstHeaderRow="1" firstDataRow="1" firstDataCol="1" rowPageCount="1" colPageCount="1"/>
  <pivotFields count="3">
    <pivotField axis="axisPage" allDrilled="1" showAll="0" dataSourceSort="1" defaultAttributeDrillState="1">
      <items count="1">
        <item t="default"/>
      </items>
    </pivotField>
    <pivotField axis="axisRow" allDrilled="1" showAll="0" dataSourceSort="1" defaultAttributeDrillState="1">
      <items count="3">
        <item x="0"/>
        <item x="1"/>
        <item t="default"/>
      </items>
    </pivotField>
    <pivotField dataField="1" showAll="0"/>
  </pivotFields>
  <rowFields count="1">
    <field x="1"/>
  </rowFields>
  <rowItems count="3">
    <i>
      <x/>
    </i>
    <i>
      <x v="1"/>
    </i>
    <i t="grand">
      <x/>
    </i>
  </rowItems>
  <colItems count="1">
    <i/>
  </colItems>
  <pageFields count="1">
    <pageField fld="0" hier="14" name="[Data].[Year].&amp;[2022]" cap="2022"/>
  </pageFields>
  <dataFields count="1">
    <dataField name="Sum of Quantity" fld="2" baseField="0" baseItem="0"/>
  </dataFields>
  <formats count="3">
    <format dxfId="58">
      <pivotArea outline="0" collapsedLevelsAreSubtotals="1" fieldPosition="0"/>
    </format>
    <format dxfId="57">
      <pivotArea outline="0" collapsedLevelsAreSubtotals="1" fieldPosition="0"/>
    </format>
    <format dxfId="56">
      <pivotArea outline="0" collapsedLevelsAreSubtotals="1" fieldPosition="0"/>
    </format>
  </formats>
  <pivotHierarchies count="55">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Year].&amp;[202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7"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Returns]"/>
      </x15:pivotTableUISettings>
    </ext>
  </extLst>
</pivotTableDefinition>
</file>

<file path=xl/pivotTables/pivotTable8.xml><?xml version="1.0" encoding="utf-8"?>
<pivotTableDefinition xmlns="http://schemas.openxmlformats.org/spreadsheetml/2006/main" name="ProductLineReturns" cacheId="18"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3">
  <location ref="M54:P62" firstHeaderRow="1" firstDataRow="2" firstDataCol="1"/>
  <pivotFields count="4">
    <pivotField axis="axisRow" allDrilled="1" showAll="0" sortType="ascending" defaultAttributeDrillState="1">
      <items count="7">
        <item x="0"/>
        <item x="1"/>
        <item x="2"/>
        <item x="3"/>
        <item x="4"/>
        <item x="5"/>
        <item t="default"/>
      </items>
      <autoSortScope>
        <pivotArea dataOnly="0" outline="0" fieldPosition="0">
          <references count="2">
            <reference field="4294967294" count="1" selected="0">
              <x v="0"/>
            </reference>
            <reference field="2" count="1" selected="0">
              <x v="0"/>
            </reference>
          </references>
        </pivotArea>
      </autoSortScope>
    </pivotField>
    <pivotField dataField="1" showAll="0"/>
    <pivotField axis="axisCol" allDrilled="1" showAll="0" sortType="ascending" defaultAttributeDrillState="1">
      <items count="3">
        <item n="Returned" x="0"/>
        <item n="Sold" x="1"/>
        <item t="default"/>
      </items>
      <autoSortScope>
        <pivotArea dataOnly="0" outline="0" fieldPosition="0">
          <references count="1">
            <reference field="4294967294" count="1" selected="0">
              <x v="0"/>
            </reference>
          </references>
        </pivotArea>
      </autoSortScope>
    </pivotField>
    <pivotField allDrilled="1" showAll="0" dataSourceSort="1" defaultAttributeDrillState="1"/>
  </pivotFields>
  <rowFields count="1">
    <field x="0"/>
  </rowFields>
  <rowItems count="7">
    <i>
      <x v="5"/>
    </i>
    <i>
      <x v="1"/>
    </i>
    <i>
      <x v="3"/>
    </i>
    <i>
      <x v="4"/>
    </i>
    <i>
      <x/>
    </i>
    <i>
      <x v="2"/>
    </i>
    <i t="grand">
      <x/>
    </i>
  </rowItems>
  <colFields count="1">
    <field x="2"/>
  </colFields>
  <colItems count="3">
    <i>
      <x/>
    </i>
    <i>
      <x v="1"/>
    </i>
    <i t="grand">
      <x/>
    </i>
  </colItems>
  <dataFields count="1">
    <dataField name="Sum of Quantity" fld="1" baseField="0" baseItem="0"/>
  </dataFields>
  <formats count="3">
    <format dxfId="61">
      <pivotArea outline="0" collapsedLevelsAreSubtotals="1" fieldPosition="0"/>
    </format>
    <format dxfId="60">
      <pivotArea outline="0" collapsedLevelsAreSubtotals="1" fieldPosition="0"/>
    </format>
    <format dxfId="59">
      <pivotArea outline="0" collapsedLevelsAreSubtotals="1" fieldPosition="0"/>
    </format>
  </formats>
  <chartFormats count="2">
    <chartFormat chart="8" format="8" series="1">
      <pivotArea type="data" outline="0" fieldPosition="0">
        <references count="2">
          <reference field="4294967294" count="1" selected="0">
            <x v="0"/>
          </reference>
          <reference field="2" count="1" selected="0">
            <x v="0"/>
          </reference>
        </references>
      </pivotArea>
    </chartFormat>
    <chartFormat chart="8" format="9" series="1">
      <pivotArea type="data" outline="0" fieldPosition="0">
        <references count="2">
          <reference field="4294967294" count="1" selected="0">
            <x v="0"/>
          </reference>
          <reference field="2" count="1" selected="0">
            <x v="1"/>
          </reference>
        </references>
      </pivotArea>
    </chartFormat>
  </chartFormats>
  <pivotHierarchies count="55">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Year].&amp;[202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7" showRowHeaders="1" showColHeaders="1" showRowStripes="0" showColStripes="0" showLastColumn="1"/>
  <rowHierarchiesUsage count="1">
    <rowHierarchyUsage hierarchyUsage="6"/>
  </rowHierarchiesUsage>
  <colHierarchiesUsage count="1">
    <colHierarchyUsage hierarchyUsage="2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Returns]"/>
      </x15:pivotTableUISettings>
    </ext>
  </extLst>
</pivotTableDefinition>
</file>

<file path=xl/pivotTables/pivotTable9.xml><?xml version="1.0" encoding="utf-8"?>
<pivotTableDefinition xmlns="http://schemas.openxmlformats.org/spreadsheetml/2006/main" name="CitySales" cacheId="11"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2">
  <location ref="I20:J24" firstHeaderRow="1" firstDataRow="1" firstDataCol="1" rowPageCount="1" colPageCount="1"/>
  <pivotFields count="3">
    <pivotField dataField="1" showAll="0"/>
    <pivotField axis="axisPage" allDrilled="1" showAll="0" dataSourceSort="1" defaultAttributeDrillState="1">
      <items count="1">
        <item t="default"/>
      </items>
    </pivotField>
    <pivotField axis="axisRow" allDrilled="1" showAll="0" dataSourceSort="1" defaultAttributeDrillState="1">
      <items count="4">
        <item x="0"/>
        <item x="1"/>
        <item x="2"/>
        <item t="default"/>
      </items>
    </pivotField>
  </pivotFields>
  <rowFields count="1">
    <field x="2"/>
  </rowFields>
  <rowItems count="4">
    <i>
      <x/>
    </i>
    <i>
      <x v="1"/>
    </i>
    <i>
      <x v="2"/>
    </i>
    <i t="grand">
      <x/>
    </i>
  </rowItems>
  <colItems count="1">
    <i/>
  </colItems>
  <pageFields count="1">
    <pageField fld="1" hier="14" name="[Data].[Year].&amp;[2022]" cap="2022"/>
  </pageFields>
  <dataFields count="1">
    <dataField name="Sum of Total" fld="0" baseField="0" baseItem="0" numFmtId="164"/>
  </dataFields>
  <formats count="3">
    <format dxfId="64">
      <pivotArea outline="0" collapsedLevelsAreSubtotals="1" fieldPosition="0"/>
    </format>
    <format dxfId="63">
      <pivotArea outline="0" collapsedLevelsAreSubtotals="1" fieldPosition="0"/>
    </format>
    <format dxfId="62">
      <pivotArea outline="0" collapsedLevelsAreSubtotals="1" fieldPosition="0"/>
    </format>
  </formats>
  <chartFormats count="8">
    <chartFormat chart="1" format="8" series="1">
      <pivotArea type="data" outline="0" fieldPosition="0">
        <references count="1">
          <reference field="4294967294" count="1" selected="0">
            <x v="0"/>
          </reference>
        </references>
      </pivotArea>
    </chartFormat>
    <chartFormat chart="3" format="10"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5" format="12" series="1">
      <pivotArea type="data" outline="0" fieldPosition="0">
        <references count="1">
          <reference field="4294967294" count="1" selected="0">
            <x v="0"/>
          </reference>
        </references>
      </pivotArea>
    </chartFormat>
    <chartFormat chart="8" format="14" series="1">
      <pivotArea type="data" outline="0" fieldPosition="0">
        <references count="1">
          <reference field="4294967294" count="1" selected="0">
            <x v="0"/>
          </reference>
        </references>
      </pivotArea>
    </chartFormat>
    <chartFormat chart="9" format="15" series="1">
      <pivotArea type="data" outline="0" fieldPosition="0">
        <references count="1">
          <reference field="4294967294" count="1" selected="0">
            <x v="0"/>
          </reference>
        </references>
      </pivotArea>
    </chartFormat>
    <chartFormat chart="10" format="16" series="1">
      <pivotArea type="data" outline="0" fieldPosition="0">
        <references count="1">
          <reference field="4294967294" count="1" selected="0">
            <x v="0"/>
          </reference>
        </references>
      </pivotArea>
    </chartFormat>
    <chartFormat chart="11" format="18" series="1">
      <pivotArea type="data" outline="0" fieldPosition="0">
        <references count="1">
          <reference field="4294967294" count="1" selected="0">
            <x v="0"/>
          </reference>
        </references>
      </pivotArea>
    </chartFormat>
  </chartFormats>
  <pivotHierarchies count="55">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Year].&amp;[202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7"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banha_Copy1.xlsx!Data">
        <x15:activeTabTopLevelEntity name="[Data]"/>
      </x15:pivotTableUISettings>
    </ext>
  </extLst>
</pivotTableDefinition>
</file>

<file path=xl/pivotTables/pivotTable10.xml><?xml version="1.0" encoding="utf-8"?>
<pivotTableDefinition xmlns="http://schemas.openxmlformats.org/spreadsheetml/2006/main" name="ProductLine2" cacheId="26"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2">
  <location ref="AA37:AC45" firstHeaderRow="1" firstDataRow="2" firstDataCol="1"/>
  <pivotFields count="3">
    <pivotField dataField="1" showAll="0"/>
    <pivotField axis="axisCol" allDrilled="1" showAll="0" dataSourceSort="1" defaultAttributeDrillState="1">
      <items count="2">
        <item s="1" x="0"/>
        <item t="default"/>
      </items>
    </pivotField>
    <pivotField axis="axisRow" allDrilled="1" showAll="0" dataSourceSort="1" defaultAttributeDrillState="1">
      <items count="7">
        <item x="0"/>
        <item x="1"/>
        <item x="2"/>
        <item x="3"/>
        <item x="4"/>
        <item x="5"/>
        <item t="default"/>
      </items>
    </pivotField>
  </pivotFields>
  <rowFields count="1">
    <field x="2"/>
  </rowFields>
  <rowItems count="7">
    <i>
      <x/>
    </i>
    <i>
      <x v="1"/>
    </i>
    <i>
      <x v="2"/>
    </i>
    <i>
      <x v="3"/>
    </i>
    <i>
      <x v="4"/>
    </i>
    <i>
      <x v="5"/>
    </i>
    <i t="grand">
      <x/>
    </i>
  </rowItems>
  <colFields count="1">
    <field x="1"/>
  </colFields>
  <colItems count="2">
    <i>
      <x/>
    </i>
    <i t="grand">
      <x/>
    </i>
  </colItems>
  <dataFields count="1">
    <dataField name="Sum of Total" fld="0" baseField="0" baseItem="0" numFmtId="164"/>
  </dataFields>
  <formats count="3">
    <format dxfId="67">
      <pivotArea outline="0" collapsedLevelsAreSubtotals="1" fieldPosition="0"/>
    </format>
    <format dxfId="66">
      <pivotArea outline="0" collapsedLevelsAreSubtotals="1" fieldPosition="0"/>
    </format>
    <format dxfId="65">
      <pivotArea outline="0" collapsedLevelsAreSubtotals="1" fieldPosition="0"/>
    </format>
  </formats>
  <chartFormats count="8">
    <chartFormat chart="1" format="8" series="1">
      <pivotArea type="data" outline="0" fieldPosition="0">
        <references count="1">
          <reference field="4294967294" count="1" selected="0">
            <x v="0"/>
          </reference>
        </references>
      </pivotArea>
    </chartFormat>
    <chartFormat chart="3" format="10"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5" format="12" series="1">
      <pivotArea type="data" outline="0" fieldPosition="0">
        <references count="1">
          <reference field="4294967294" count="1" selected="0">
            <x v="0"/>
          </reference>
        </references>
      </pivotArea>
    </chartFormat>
    <chartFormat chart="8" format="14" series="1">
      <pivotArea type="data" outline="0" fieldPosition="0">
        <references count="1">
          <reference field="4294967294" count="1" selected="0">
            <x v="0"/>
          </reference>
        </references>
      </pivotArea>
    </chartFormat>
    <chartFormat chart="9" format="15" series="1">
      <pivotArea type="data" outline="0" fieldPosition="0">
        <references count="1">
          <reference field="4294967294" count="1" selected="0">
            <x v="0"/>
          </reference>
        </references>
      </pivotArea>
    </chartFormat>
    <chartFormat chart="10" format="16" series="1">
      <pivotArea type="data" outline="0" fieldPosition="0">
        <references count="1">
          <reference field="4294967294" count="1" selected="0">
            <x v="0"/>
          </reference>
        </references>
      </pivotArea>
    </chartFormat>
    <chartFormat chart="11" format="18" series="1">
      <pivotArea type="data" outline="0" fieldPosition="0">
        <references count="1">
          <reference field="4294967294" count="1" selected="0">
            <x v="0"/>
          </reference>
        </references>
      </pivotArea>
    </chartFormat>
  </chartFormats>
  <pivotHierarchies count="55">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7" showRowHeaders="1" showColHeaders="1" showRowStripes="0" showColStripes="0" showLastColumn="1"/>
  <rowHierarchiesUsage count="1">
    <rowHierarchyUsage hierarchyUsage="6"/>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banha_Copy1.xlsx!Data">
        <x15:activeTabTopLevelEntity name="[Data]"/>
      </x15:pivotTableUISettings>
    </ext>
  </extLst>
</pivotTableDefinition>
</file>

<file path=xl/pivotTables/pivotTable11.xml><?xml version="1.0" encoding="utf-8"?>
<pivotTableDefinition xmlns="http://schemas.openxmlformats.org/spreadsheetml/2006/main" name="ProductLineProfit" cacheId="13"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0">
  <location ref="J40:K47" firstHeaderRow="1" firstDataRow="1" firstDataCol="1" rowPageCount="1" colPageCount="1"/>
  <pivotFields count="3">
    <pivotField axis="axisPage" allDrilled="1" showAll="0" dataSourceSort="1" defaultAttributeDrillState="1">
      <items count="1">
        <item t="default"/>
      </items>
    </pivotField>
    <pivotField axis="axisRow" allDrilled="1" showAll="0" defaultAttributeDrillState="1">
      <items count="7">
        <item x="0"/>
        <item x="1"/>
        <item x="2"/>
        <item x="3"/>
        <item x="4"/>
        <item x="5"/>
        <item t="default"/>
      </items>
    </pivotField>
    <pivotField dataField="1" showAll="0"/>
  </pivotFields>
  <rowFields count="1">
    <field x="1"/>
  </rowFields>
  <rowItems count="7">
    <i>
      <x/>
    </i>
    <i>
      <x v="1"/>
    </i>
    <i>
      <x v="2"/>
    </i>
    <i>
      <x v="3"/>
    </i>
    <i>
      <x v="4"/>
    </i>
    <i>
      <x v="5"/>
    </i>
    <i t="grand">
      <x/>
    </i>
  </rowItems>
  <colItems count="1">
    <i/>
  </colItems>
  <pageFields count="1">
    <pageField fld="0" hier="14" name="[Data].[Year].&amp;[2022]" cap="2022"/>
  </pageFields>
  <dataFields count="1">
    <dataField name="Sum of Net Profit" fld="2" showDataAs="percentOfTotal" baseField="0" baseItem="0" numFmtId="10"/>
  </dataFields>
  <formats count="6">
    <format dxfId="73">
      <pivotArea outline="0" collapsedLevelsAreSubtotals="1" fieldPosition="0"/>
    </format>
    <format dxfId="72">
      <pivotArea outline="0" collapsedLevelsAreSubtotals="1" fieldPosition="0"/>
    </format>
    <format dxfId="71">
      <pivotArea outline="0" collapsedLevelsAreSubtotals="1" fieldPosition="0"/>
    </format>
    <format dxfId="70">
      <pivotArea outline="0" collapsedLevelsAreSubtotals="1" fieldPosition="0"/>
    </format>
    <format dxfId="69">
      <pivotArea outline="0" collapsedLevelsAreSubtotals="1" fieldPosition="0"/>
    </format>
    <format dxfId="68">
      <pivotArea outline="0" fieldPosition="0">
        <references count="1">
          <reference field="4294967294" count="1">
            <x v="0"/>
          </reference>
        </references>
      </pivotArea>
    </format>
  </formats>
  <chartFormats count="7">
    <chartFormat chart="7" format="16" series="1">
      <pivotArea type="data" outline="0" fieldPosition="0">
        <references count="1">
          <reference field="4294967294" count="1" selected="0">
            <x v="0"/>
          </reference>
        </references>
      </pivotArea>
    </chartFormat>
    <chartFormat chart="7" format="17">
      <pivotArea type="data" outline="0" fieldPosition="0">
        <references count="2">
          <reference field="4294967294" count="1" selected="0">
            <x v="0"/>
          </reference>
          <reference field="1" count="1" selected="0">
            <x v="0"/>
          </reference>
        </references>
      </pivotArea>
    </chartFormat>
    <chartFormat chart="7" format="18">
      <pivotArea type="data" outline="0" fieldPosition="0">
        <references count="2">
          <reference field="4294967294" count="1" selected="0">
            <x v="0"/>
          </reference>
          <reference field="1" count="1" selected="0">
            <x v="1"/>
          </reference>
        </references>
      </pivotArea>
    </chartFormat>
    <chartFormat chart="7" format="19">
      <pivotArea type="data" outline="0" fieldPosition="0">
        <references count="2">
          <reference field="4294967294" count="1" selected="0">
            <x v="0"/>
          </reference>
          <reference field="1" count="1" selected="0">
            <x v="2"/>
          </reference>
        </references>
      </pivotArea>
    </chartFormat>
    <chartFormat chart="7" format="20">
      <pivotArea type="data" outline="0" fieldPosition="0">
        <references count="2">
          <reference field="4294967294" count="1" selected="0">
            <x v="0"/>
          </reference>
          <reference field="1" count="1" selected="0">
            <x v="3"/>
          </reference>
        </references>
      </pivotArea>
    </chartFormat>
    <chartFormat chart="7" format="21">
      <pivotArea type="data" outline="0" fieldPosition="0">
        <references count="2">
          <reference field="4294967294" count="1" selected="0">
            <x v="0"/>
          </reference>
          <reference field="1" count="1" selected="0">
            <x v="4"/>
          </reference>
        </references>
      </pivotArea>
    </chartFormat>
    <chartFormat chart="7" format="22">
      <pivotArea type="data" outline="0" fieldPosition="0">
        <references count="2">
          <reference field="4294967294" count="1" selected="0">
            <x v="0"/>
          </reference>
          <reference field="1" count="1" selected="0">
            <x v="5"/>
          </reference>
        </references>
      </pivotArea>
    </chartFormat>
  </chartFormats>
  <pivotHierarchies count="55">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Year].&amp;[202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7"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banha_Copy1.xlsx!Data">
        <x15:activeTabTopLevelEntity name="[Data]"/>
      </x15:pivotTableUISettings>
    </ext>
  </extLst>
</pivotTableDefinition>
</file>

<file path=xl/pivotTables/pivotTable12.xml><?xml version="1.0" encoding="utf-8"?>
<pivotTableDefinition xmlns="http://schemas.openxmlformats.org/spreadsheetml/2006/main" name="RatingAll" cacheId="6"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2">
  <location ref="AH21:AM26" firstHeaderRow="1" firstDataRow="2" firstDataCol="1"/>
  <pivotFields count="4">
    <pivotField axis="axisCol" allDrilled="1" showAll="0" dataSourceSort="1" defaultAttributeDrillState="1">
      <items count="5">
        <item x="0"/>
        <item x="1"/>
        <item x="2"/>
        <item x="3"/>
        <item t="default"/>
      </items>
    </pivotField>
    <pivotField dataField="1" showAll="0"/>
    <pivotField axis="axisRow" allDrilled="1" showAll="0" dataSourceSort="1" defaultAttributeDrillState="1">
      <items count="4">
        <item x="0"/>
        <item x="1"/>
        <item x="2"/>
        <item t="default"/>
      </items>
    </pivotField>
    <pivotField allDrilled="1" showAll="0" dataSourceSort="1" defaultAttributeDrillState="1"/>
  </pivotFields>
  <rowFields count="1">
    <field x="2"/>
  </rowFields>
  <rowItems count="4">
    <i>
      <x/>
    </i>
    <i>
      <x v="1"/>
    </i>
    <i>
      <x v="2"/>
    </i>
    <i t="grand">
      <x/>
    </i>
  </rowItems>
  <colFields count="1">
    <field x="0"/>
  </colFields>
  <colItems count="5">
    <i>
      <x/>
    </i>
    <i>
      <x v="1"/>
    </i>
    <i>
      <x v="2"/>
    </i>
    <i>
      <x v="3"/>
    </i>
    <i t="grand">
      <x/>
    </i>
  </colItems>
  <dataFields count="1">
    <dataField name="Average of Rating" fld="1" subtotal="average" baseField="1" baseItem="0" numFmtId="43"/>
  </dataFields>
  <formats count="5">
    <format dxfId="78">
      <pivotArea outline="0" collapsedLevelsAreSubtotals="1" fieldPosition="0"/>
    </format>
    <format dxfId="77">
      <pivotArea outline="0" collapsedLevelsAreSubtotals="1" fieldPosition="0"/>
    </format>
    <format dxfId="76">
      <pivotArea outline="0" collapsedLevelsAreSubtotals="1" fieldPosition="0"/>
    </format>
    <format dxfId="75">
      <pivotArea outline="0" collapsedLevelsAreSubtotals="1" fieldPosition="0"/>
    </format>
    <format dxfId="74">
      <pivotArea outline="0" collapsedLevelsAreSubtotals="1" fieldPosition="0"/>
    </format>
  </formats>
  <pivotHierarchies count="55">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7" showRowHeaders="1" showColHeaders="1" showRowStripes="0" showColStripes="0" showLastColumn="1"/>
  <rowHierarchiesUsage count="1">
    <rowHierarchyUsage hierarchyUsage="23"/>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REP]"/>
      </x15:pivotTableUISettings>
    </ext>
  </extLst>
</pivotTableDefinition>
</file>

<file path=xl/pivotTables/pivotTable13.xml><?xml version="1.0" encoding="utf-8"?>
<pivotTableDefinition xmlns="http://schemas.openxmlformats.org/spreadsheetml/2006/main" name="NetSales" cacheId="10"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I8:K11" firstHeaderRow="0" firstDataRow="1" firstDataCol="1" rowPageCount="1" colPageCount="1"/>
  <pivotFields count="4">
    <pivotField dataField="1" showAll="0"/>
    <pivotField axis="axisRow" allDrilled="1" showAll="0" dataSourceSort="1" defaultAttributeDrillState="1">
      <items count="3">
        <item x="0"/>
        <item x="1"/>
        <item t="default"/>
      </items>
    </pivotField>
    <pivotField axis="axisPage" allDrilled="1" showAll="0" dataSourceSort="1" defaultAttributeDrillState="1">
      <items count="1">
        <item t="default"/>
      </items>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pageFields count="1">
    <pageField fld="2" hier="14" name="[Data].[Year].&amp;[2022]" cap="2022"/>
  </pageFields>
  <dataFields count="2">
    <dataField name="Sum of Total" fld="0" baseField="0" baseItem="0" numFmtId="164"/>
    <dataField name="Sum of Total2" fld="3" showDataAs="percentOfTotal" baseField="0" baseItem="0" numFmtId="10">
      <extLst>
        <ext xmlns:x14="http://schemas.microsoft.com/office/spreadsheetml/2009/9/main" uri="{E15A36E0-9728-4e99-A89B-3F7291B0FE68}">
          <x14:dataField sourceField="0" uniqueName="[__Xl2].[Measures].[Sum of Total]"/>
        </ext>
      </extLst>
    </dataField>
  </dataFields>
  <formats count="4">
    <format dxfId="82">
      <pivotArea outline="0" collapsedLevelsAreSubtotals="1" fieldPosition="0"/>
    </format>
    <format dxfId="81">
      <pivotArea outline="0" collapsedLevelsAreSubtotals="1" fieldPosition="0"/>
    </format>
    <format dxfId="80">
      <pivotArea outline="0" collapsedLevelsAreSubtotals="1" fieldPosition="0"/>
    </format>
    <format dxfId="79">
      <pivotArea outline="0" fieldPosition="0">
        <references count="1">
          <reference field="4294967294" count="1">
            <x v="1"/>
          </reference>
        </references>
      </pivotArea>
    </format>
  </formats>
  <pivotHierarchies count="56">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Year].&amp;[202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7"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Returns]"/>
      </x15:pivotTableUISettings>
    </ext>
  </extLst>
</pivotTableDefinition>
</file>

<file path=xl/pivotTables/pivotTable14.xml><?xml version="1.0" encoding="utf-8"?>
<pivotTableDefinition xmlns="http://schemas.openxmlformats.org/spreadsheetml/2006/main" name="Inovice" cacheId="16"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5">
  <location ref="M34:N37" firstHeaderRow="1" firstDataRow="1" firstDataCol="1" rowPageCount="1" colPageCount="1"/>
  <pivotFields count="3">
    <pivotField axis="axisPage" allDrilled="1" showAll="0" dataSourceSort="1" defaultAttributeDrillState="1">
      <items count="1">
        <item t="default"/>
      </items>
    </pivotField>
    <pivotField dataField="1" showAll="0"/>
    <pivotField axis="axisRow" allDrilled="1" showAll="0" dataSourceSort="1" defaultAttributeDrillState="1">
      <items count="3">
        <item x="0"/>
        <item x="1"/>
        <item t="default"/>
      </items>
    </pivotField>
  </pivotFields>
  <rowFields count="1">
    <field x="2"/>
  </rowFields>
  <rowItems count="3">
    <i>
      <x/>
    </i>
    <i>
      <x v="1"/>
    </i>
    <i t="grand">
      <x/>
    </i>
  </rowItems>
  <colItems count="1">
    <i/>
  </colItems>
  <pageFields count="1">
    <pageField fld="0" hier="14" name="[Data].[Year].&amp;[2022]" cap="2022"/>
  </pageFields>
  <dataFields count="1">
    <dataField name="Count of Invoice ID" fld="1" subtotal="count" baseField="0" baseItem="0"/>
  </dataFields>
  <formats count="3">
    <format dxfId="85">
      <pivotArea outline="0" collapsedLevelsAreSubtotals="1" fieldPosition="0"/>
    </format>
    <format dxfId="84">
      <pivotArea outline="0" collapsedLevelsAreSubtotals="1" fieldPosition="0"/>
    </format>
    <format dxfId="83">
      <pivotArea outline="0" collapsedLevelsAreSubtotals="1" fieldPosition="0"/>
    </format>
  </formats>
  <pivotHierarchies count="55">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Year].&amp;[202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7"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Returns]"/>
      </x15:pivotTableUISettings>
    </ext>
  </extLst>
</pivotTableDefinition>
</file>

<file path=xl/pivotTables/pivotTable15.xml><?xml version="1.0" encoding="utf-8"?>
<pivotTableDefinition xmlns="http://schemas.openxmlformats.org/spreadsheetml/2006/main" name="ProfitTrend" cacheId="2"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5">
  <location ref="F27:G32" firstHeaderRow="1" firstDataRow="1" firstDataCol="1"/>
  <pivotFields count="3">
    <pivotField axis="axisRow" allDrilled="1" showAll="0" dataSourceSort="1" defaultAttributeDrillState="1">
      <items count="5">
        <item x="0"/>
        <item x="1"/>
        <item x="2"/>
        <item x="3"/>
        <item t="default"/>
      </items>
    </pivotField>
    <pivotField dataField="1" showAll="0"/>
    <pivotField allDrilled="1" showAll="0" dataSourceSort="1" defaultAttributeDrillState="1"/>
  </pivotFields>
  <rowFields count="1">
    <field x="0"/>
  </rowFields>
  <rowItems count="5">
    <i>
      <x/>
    </i>
    <i>
      <x v="1"/>
    </i>
    <i>
      <x v="2"/>
    </i>
    <i>
      <x v="3"/>
    </i>
    <i t="grand">
      <x/>
    </i>
  </rowItems>
  <colItems count="1">
    <i/>
  </colItems>
  <dataFields count="1">
    <dataField name="Sum of Net Profit" fld="1" baseField="0" baseItem="0"/>
  </dataFields>
  <formats count="3">
    <format dxfId="88">
      <pivotArea outline="0" collapsedLevelsAreSubtotals="1" fieldPosition="0"/>
    </format>
    <format dxfId="87">
      <pivotArea outline="0" collapsedLevelsAreSubtotals="1" fieldPosition="0"/>
    </format>
    <format dxfId="86">
      <pivotArea outline="0" collapsedLevelsAreSubtotals="1" fieldPosition="0"/>
    </format>
  </formats>
  <chartFormats count="2">
    <chartFormat chart="8" format="6"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Hierarchies count="55">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7"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banha_Copy1.xlsx!Data">
        <x15:activeTabTopLevelEntity name="[Data]"/>
      </x15:pivotTableUISettings>
    </ext>
  </extLst>
</pivotTableDefinition>
</file>

<file path=xl/pivotTables/pivotTable16.xml><?xml version="1.0" encoding="utf-8"?>
<pivotTableDefinition xmlns="http://schemas.openxmlformats.org/spreadsheetml/2006/main" name="Measures" cacheId="9"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F3:I4" firstHeaderRow="0" firstDataRow="1" firstDataCol="0" rowPageCount="1" colPageCount="1"/>
  <pivotFields count="5">
    <pivotField dataField="1" showAll="0"/>
    <pivotField axis="axisPage" allDrilled="1" showAll="0" dataSourceSort="1" defaultAttributeDrillState="1">
      <items count="1">
        <item t="default"/>
      </items>
    </pivotField>
    <pivotField dataField="1" showAll="0"/>
    <pivotField dataField="1" showAll="0"/>
    <pivotField dataField="1" showAll="0"/>
  </pivotFields>
  <rowItems count="1">
    <i/>
  </rowItems>
  <colFields count="1">
    <field x="-2"/>
  </colFields>
  <colItems count="4">
    <i>
      <x/>
    </i>
    <i i="1">
      <x v="1"/>
    </i>
    <i i="2">
      <x v="2"/>
    </i>
    <i i="3">
      <x v="3"/>
    </i>
  </colItems>
  <pageFields count="1">
    <pageField fld="1" hier="14" name="[Data].[Year].&amp;[2022]" cap="2022"/>
  </pageFields>
  <dataFields count="4">
    <dataField name="Sum of Total" fld="0" baseField="0" baseItem="0" numFmtId="164"/>
    <dataField name="Sum of Net Profit" fld="2" baseField="0" baseItem="0"/>
    <dataField name="Sum of Tax 5%" fld="4" baseField="0" baseItem="0"/>
    <dataField name="Sum of cogs" fld="3" baseField="0" baseItem="0"/>
  </dataFields>
  <formats count="3">
    <format dxfId="91">
      <pivotArea outline="0" collapsedLevelsAreSubtotals="1" fieldPosition="0"/>
    </format>
    <format dxfId="90">
      <pivotArea outline="0" collapsedLevelsAreSubtotals="1" fieldPosition="0"/>
    </format>
    <format dxfId="89">
      <pivotArea outline="0" collapsedLevelsAreSubtotals="1" fieldPosition="0"/>
    </format>
  </formats>
  <pivotHierarchies count="55">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Year].&amp;[202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7"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banha_Copy1.xlsx!Data">
        <x15:activeTabTopLevelEntity name="[Data]"/>
      </x15:pivotTableUISettings>
    </ext>
  </extLst>
</pivotTableDefinition>
</file>

<file path=xl/pivotTables/pivotTable17.xml><?xml version="1.0" encoding="utf-8"?>
<pivotTableDefinition xmlns="http://schemas.openxmlformats.org/spreadsheetml/2006/main" name="CustomerType" cacheId="20"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25">
  <location ref="F40:G43" firstHeaderRow="1" firstDataRow="1" firstDataCol="1" rowPageCount="1" colPageCount="1"/>
  <pivotFields count="3">
    <pivotField axis="axisPage" allDrilled="1" showAll="0" dataSourceSort="1" defaultAttributeDrillState="1">
      <items count="1">
        <item t="default"/>
      </items>
    </pivotField>
    <pivotField dataField="1" showAll="0"/>
    <pivotField axis="axisRow" allDrilled="1" showAll="0" dataSourceSort="1" defaultAttributeDrillState="1">
      <items count="3">
        <item x="0"/>
        <item x="1"/>
        <item t="default"/>
      </items>
    </pivotField>
  </pivotFields>
  <rowFields count="1">
    <field x="2"/>
  </rowFields>
  <rowItems count="3">
    <i>
      <x/>
    </i>
    <i>
      <x v="1"/>
    </i>
    <i t="grand">
      <x/>
    </i>
  </rowItems>
  <colItems count="1">
    <i/>
  </colItems>
  <pageFields count="1">
    <pageField fld="0" hier="14" name="[Data].[Year].&amp;[2022]" cap="2022"/>
  </pageFields>
  <dataFields count="1">
    <dataField name="Sum of Total" fld="1" showDataAs="percentOfTotal" baseField="0" baseItem="0" numFmtId="9"/>
  </dataFields>
  <formats count="6">
    <format dxfId="97">
      <pivotArea outline="0" collapsedLevelsAreSubtotals="1" fieldPosition="0"/>
    </format>
    <format dxfId="96">
      <pivotArea outline="0" collapsedLevelsAreSubtotals="1" fieldPosition="0"/>
    </format>
    <format dxfId="95">
      <pivotArea outline="0" collapsedLevelsAreSubtotals="1" fieldPosition="0"/>
    </format>
    <format dxfId="94">
      <pivotArea outline="0" fieldPosition="0">
        <references count="1">
          <reference field="4294967294" count="1">
            <x v="0"/>
          </reference>
        </references>
      </pivotArea>
    </format>
    <format dxfId="93">
      <pivotArea collapsedLevelsAreSubtotals="1" fieldPosition="0">
        <references count="1">
          <reference field="2" count="0"/>
        </references>
      </pivotArea>
    </format>
    <format dxfId="92">
      <pivotArea outline="0" collapsedLevelsAreSubtotals="1" fieldPosition="0"/>
    </format>
  </formats>
  <chartFormats count="4">
    <chartFormat chart="7" format="5"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0"/>
          </reference>
        </references>
      </pivotArea>
    </chartFormat>
    <chartFormat chart="24" format="8" series="1">
      <pivotArea type="data" outline="0" fieldPosition="0">
        <references count="1">
          <reference field="4294967294" count="1" selected="0">
            <x v="0"/>
          </reference>
        </references>
      </pivotArea>
    </chartFormat>
  </chartFormats>
  <pivotHierarchies count="55">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Year].&amp;[202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7"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banha_Copy1.xlsx!Data">
        <x15:activeTabTopLevelEntity name="[Data]"/>
      </x15:pivotTableUISettings>
    </ext>
  </extLst>
</pivotTableDefinition>
</file>

<file path=xl/pivotTables/pivotTable18.xml><?xml version="1.0" encoding="utf-8"?>
<pivotTableDefinition xmlns="http://schemas.openxmlformats.org/spreadsheetml/2006/main" name="ProductLineAll3" cacheId="8"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2">
  <location ref="AH80:AM90" firstHeaderRow="1" firstDataRow="2" firstDataCol="1"/>
  <pivotFields count="4">
    <pivotField axis="axisCol" allDrilled="1" showAll="0" dataSourceSort="1" defaultAttributeDrillState="1">
      <items count="5">
        <item x="0"/>
        <item x="1"/>
        <item x="2"/>
        <item x="3"/>
        <item t="default"/>
      </items>
    </pivotField>
    <pivotField axis="axisRow" allDrilled="1" showAll="0" dataSourceSort="1" defaultAttributeDrillState="1">
      <items count="3">
        <item n="Total Returns" x="0"/>
        <item n="Net Sales" x="1" e="0"/>
        <item t="default"/>
      </items>
    </pivotField>
    <pivotField dataField="1" showAll="0"/>
    <pivotField axis="axisRow" allDrilled="1" showAll="0" dataSourceSort="1" defaultAttributeDrillState="1">
      <items count="7">
        <item x="0"/>
        <item x="1"/>
        <item x="2"/>
        <item x="3"/>
        <item x="4"/>
        <item x="5"/>
        <item t="default"/>
      </items>
    </pivotField>
  </pivotFields>
  <rowFields count="2">
    <field x="1"/>
    <field x="3"/>
  </rowFields>
  <rowItems count="9">
    <i>
      <x/>
    </i>
    <i r="1">
      <x/>
    </i>
    <i r="1">
      <x v="1"/>
    </i>
    <i r="1">
      <x v="2"/>
    </i>
    <i r="1">
      <x v="3"/>
    </i>
    <i r="1">
      <x v="4"/>
    </i>
    <i r="1">
      <x v="5"/>
    </i>
    <i>
      <x v="1"/>
    </i>
    <i t="grand">
      <x/>
    </i>
  </rowItems>
  <colFields count="1">
    <field x="0"/>
  </colFields>
  <colItems count="5">
    <i>
      <x/>
    </i>
    <i>
      <x v="1"/>
    </i>
    <i>
      <x v="2"/>
    </i>
    <i>
      <x v="3"/>
    </i>
    <i t="grand">
      <x/>
    </i>
  </colItems>
  <dataFields count="1">
    <dataField name="Sum of Total" fld="2" baseField="0" baseItem="0" numFmtId="164"/>
  </dataFields>
  <formats count="8">
    <format dxfId="105">
      <pivotArea outline="0" collapsedLevelsAreSubtotals="1" fieldPosition="0"/>
    </format>
    <format dxfId="104">
      <pivotArea outline="0" collapsedLevelsAreSubtotals="1" fieldPosition="0"/>
    </format>
    <format dxfId="103">
      <pivotArea outline="0" collapsedLevelsAreSubtotals="1" fieldPosition="0"/>
    </format>
    <format dxfId="102">
      <pivotArea outline="0" collapsedLevelsAreSubtotals="1" fieldPosition="0"/>
    </format>
    <format dxfId="101">
      <pivotArea outline="0" collapsedLevelsAreSubtotals="1" fieldPosition="0"/>
    </format>
    <format dxfId="100">
      <pivotArea outline="0" collapsedLevelsAreSubtotals="1" fieldPosition="0"/>
    </format>
    <format dxfId="99">
      <pivotArea outline="0" collapsedLevelsAreSubtotals="1" fieldPosition="0"/>
    </format>
    <format dxfId="98">
      <pivotArea outline="0" collapsedLevelsAreSubtotals="1" fieldPosition="0"/>
    </format>
  </formats>
  <pivotHierarchies count="55">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7" showRowHeaders="1" showColHeaders="1" showRowStripes="0" showColStripes="0" showLastColumn="1"/>
  <rowHierarchiesUsage count="2">
    <rowHierarchyUsage hierarchyUsage="24"/>
    <rowHierarchyUsage hierarchyUsage="6"/>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REP]"/>
        <x15:activeTabTopLevelEntity name="[Returns]"/>
      </x15:pivotTableUISettings>
    </ext>
  </extLst>
</pivotTableDefinition>
</file>

<file path=xl/pivotTables/pivotTable19.xml><?xml version="1.0" encoding="utf-8"?>
<pivotTableDefinition xmlns="http://schemas.openxmlformats.org/spreadsheetml/2006/main" name="ProductLine3" cacheId="29"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2">
  <location ref="AA80:AC90" firstHeaderRow="1" firstDataRow="2" firstDataCol="1"/>
  <pivotFields count="4">
    <pivotField axis="axisCol" allDrilled="1" showAll="0" dataSourceSort="1" defaultAttributeDrillState="1">
      <items count="2">
        <item s="1" x="0"/>
        <item t="default"/>
      </items>
    </pivotField>
    <pivotField axis="axisRow" allDrilled="1" showAll="0" dataSourceSort="1" defaultAttributeDrillState="1">
      <items count="3">
        <item n="Total Returns" x="0"/>
        <item n="Net Sales" x="1" e="0"/>
        <item t="default"/>
      </items>
    </pivotField>
    <pivotField dataField="1" showAll="0"/>
    <pivotField axis="axisRow" allDrilled="1" showAll="0" dataSourceSort="1" defaultAttributeDrillState="1">
      <items count="7">
        <item x="0"/>
        <item x="1"/>
        <item x="2"/>
        <item x="3"/>
        <item x="4"/>
        <item x="5"/>
        <item t="default"/>
      </items>
    </pivotField>
  </pivotFields>
  <rowFields count="2">
    <field x="1"/>
    <field x="3"/>
  </rowFields>
  <rowItems count="9">
    <i>
      <x/>
    </i>
    <i r="1">
      <x/>
    </i>
    <i r="1">
      <x v="1"/>
    </i>
    <i r="1">
      <x v="2"/>
    </i>
    <i r="1">
      <x v="3"/>
    </i>
    <i r="1">
      <x v="4"/>
    </i>
    <i r="1">
      <x v="5"/>
    </i>
    <i>
      <x v="1"/>
    </i>
    <i t="grand">
      <x/>
    </i>
  </rowItems>
  <colFields count="1">
    <field x="0"/>
  </colFields>
  <colItems count="2">
    <i>
      <x/>
    </i>
    <i t="grand">
      <x/>
    </i>
  </colItems>
  <dataFields count="1">
    <dataField name="Sum of Total" fld="2" baseField="0" baseItem="0" numFmtId="164"/>
  </dataFields>
  <formats count="8">
    <format dxfId="113">
      <pivotArea outline="0" collapsedLevelsAreSubtotals="1" fieldPosition="0"/>
    </format>
    <format dxfId="112">
      <pivotArea outline="0" collapsedLevelsAreSubtotals="1" fieldPosition="0"/>
    </format>
    <format dxfId="111">
      <pivotArea outline="0" collapsedLevelsAreSubtotals="1" fieldPosition="0"/>
    </format>
    <format dxfId="110">
      <pivotArea outline="0" collapsedLevelsAreSubtotals="1" fieldPosition="0"/>
    </format>
    <format dxfId="109">
      <pivotArea outline="0" collapsedLevelsAreSubtotals="1" fieldPosition="0"/>
    </format>
    <format dxfId="108">
      <pivotArea outline="0" collapsedLevelsAreSubtotals="1" fieldPosition="0"/>
    </format>
    <format dxfId="107">
      <pivotArea outline="0" collapsedLevelsAreSubtotals="1" fieldPosition="0"/>
    </format>
    <format dxfId="106">
      <pivotArea outline="0" collapsedLevelsAreSubtotals="1" fieldPosition="0"/>
    </format>
  </formats>
  <pivotHierarchies count="55">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7" showRowHeaders="1" showColHeaders="1" showRowStripes="0" showColStripes="0" showLastColumn="1"/>
  <rowHierarchiesUsage count="2">
    <rowHierarchyUsage hierarchyUsage="24"/>
    <rowHierarchyUsage hierarchyUsage="6"/>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REP]"/>
        <x15:activeTabTopLevelEntity name="[Returns]"/>
      </x15:pivotTableUISettings>
    </ext>
  </extLst>
</pivotTableDefinition>
</file>

<file path=xl/pivotTables/pivotTable20.xml><?xml version="1.0" encoding="utf-8"?>
<pivotTableDefinition xmlns="http://schemas.openxmlformats.org/spreadsheetml/2006/main" name="ReturnsAll" cacheId="7"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2">
  <location ref="AH60:AM67" firstHeaderRow="1" firstDataRow="2" firstDataCol="1"/>
  <pivotFields count="5">
    <pivotField axis="axisCol" allDrilled="1" showAll="0" dataSourceSort="1" defaultAttributeDrillState="1">
      <items count="5">
        <item x="0"/>
        <item x="1"/>
        <item x="2"/>
        <item x="3"/>
        <item t="default"/>
      </items>
    </pivotField>
    <pivotField axis="axisRow" allDrilled="1" showAll="0" dataSourceSort="1" defaultAttributeDrillState="1">
      <items count="3">
        <item n="Total Returns" x="0"/>
        <item n="Net Sales" x="1" e="0"/>
        <item t="default"/>
      </items>
    </pivotField>
    <pivotField axis="axisRow" allDrilled="1" showAll="0" dataSourceSort="1" defaultAttributeDrillState="1">
      <items count="4">
        <item x="0"/>
        <item x="1"/>
        <item x="2"/>
        <item t="default"/>
      </items>
    </pivotField>
    <pivotField dataField="1" showAll="0"/>
    <pivotField allDrilled="1" showAll="0" dataSourceSort="1" defaultAttributeDrillState="1"/>
  </pivotFields>
  <rowFields count="2">
    <field x="1"/>
    <field x="2"/>
  </rowFields>
  <rowItems count="6">
    <i>
      <x/>
    </i>
    <i r="1">
      <x/>
    </i>
    <i r="1">
      <x v="1"/>
    </i>
    <i r="1">
      <x v="2"/>
    </i>
    <i>
      <x v="1"/>
    </i>
    <i t="grand">
      <x/>
    </i>
  </rowItems>
  <colFields count="1">
    <field x="0"/>
  </colFields>
  <colItems count="5">
    <i>
      <x/>
    </i>
    <i>
      <x v="1"/>
    </i>
    <i>
      <x v="2"/>
    </i>
    <i>
      <x v="3"/>
    </i>
    <i t="grand">
      <x/>
    </i>
  </colItems>
  <dataFields count="1">
    <dataField name="Sum of Total" fld="3" baseField="0" baseItem="0" numFmtId="164"/>
  </dataFields>
  <formats count="8">
    <format dxfId="121">
      <pivotArea outline="0" collapsedLevelsAreSubtotals="1" fieldPosition="0"/>
    </format>
    <format dxfId="120">
      <pivotArea outline="0" collapsedLevelsAreSubtotals="1" fieldPosition="0"/>
    </format>
    <format dxfId="119">
      <pivotArea outline="0" collapsedLevelsAreSubtotals="1" fieldPosition="0"/>
    </format>
    <format dxfId="118">
      <pivotArea outline="0" collapsedLevelsAreSubtotals="1" fieldPosition="0"/>
    </format>
    <format dxfId="117">
      <pivotArea outline="0" collapsedLevelsAreSubtotals="1" fieldPosition="0"/>
    </format>
    <format dxfId="116">
      <pivotArea outline="0" collapsedLevelsAreSubtotals="1" fieldPosition="0"/>
    </format>
    <format dxfId="115">
      <pivotArea outline="0" collapsedLevelsAreSubtotals="1" fieldPosition="0"/>
    </format>
    <format dxfId="114">
      <pivotArea outline="0" collapsedLevelsAreSubtotals="1" fieldPosition="0"/>
    </format>
  </formats>
  <pivotHierarchies count="55">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7" showRowHeaders="1" showColHeaders="1" showRowStripes="0" showColStripes="0" showLastColumn="1"/>
  <rowHierarchiesUsage count="2">
    <rowHierarchyUsage hierarchyUsage="24"/>
    <rowHierarchyUsage hierarchyUsage="3"/>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REP]"/>
        <x15:activeTabTopLevelEntity name="[Returns]"/>
      </x15:pivotTableUISettings>
    </ext>
  </extLst>
</pivotTableDefinition>
</file>

<file path=xl/pivotTables/pivotTable21.xml><?xml version="1.0" encoding="utf-8"?>
<pivotTableDefinition xmlns="http://schemas.openxmlformats.org/spreadsheetml/2006/main" name="PivotTable22" cacheId="22"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K2:M3" firstHeaderRow="0" firstDataRow="1" firstDataCol="0"/>
  <pivotFields count="4">
    <pivotField dataField="1" showAll="0"/>
    <pivotField dataField="1" showAll="0"/>
    <pivotField dataField="1" showAll="0"/>
    <pivotField allDrilled="1" showAll="0" dataSourceSort="1" defaultAttributeDrillState="1"/>
  </pivotFields>
  <rowItems count="1">
    <i/>
  </rowItems>
  <colFields count="1">
    <field x="-2"/>
  </colFields>
  <colItems count="3">
    <i>
      <x/>
    </i>
    <i i="1">
      <x v="1"/>
    </i>
    <i i="2">
      <x v="2"/>
    </i>
  </colItems>
  <dataFields count="3">
    <dataField name="Average of Unit price" fld="0" subtotal="average" baseField="0" baseItem="834184800"/>
    <dataField name="Max of Unit price" fld="1" subtotal="max" baseField="0" baseItem="1"/>
    <dataField name="Min of Unit price" fld="2" subtotal="min" baseField="0" baseItem="1"/>
  </dataFields>
  <formats count="3">
    <format dxfId="124">
      <pivotArea outline="0" collapsedLevelsAreSubtotals="1" fieldPosition="0"/>
    </format>
    <format dxfId="123">
      <pivotArea outline="0" collapsedLevelsAreSubtotals="1" fieldPosition="0"/>
    </format>
    <format dxfId="122">
      <pivotArea outline="0" collapsedLevelsAreSubtotals="1" fieldPosition="0"/>
    </format>
  </formats>
  <pivotHierarchies count="55">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Year].&amp;[202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7"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banha_Copy1.xlsx!Data">
        <x15:activeTabTopLevelEntity name="[Data]"/>
      </x15:pivotTableUISettings>
    </ext>
  </extLst>
</pivotTableDefinition>
</file>

<file path=xl/pivotTables/pivotTable22.xml><?xml version="1.0" encoding="utf-8"?>
<pivotTableDefinition xmlns="http://schemas.openxmlformats.org/spreadsheetml/2006/main" name="Branch2" cacheId="25"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2">
  <location ref="AA4:AC9" firstHeaderRow="1" firstDataRow="2" firstDataCol="1"/>
  <pivotFields count="3">
    <pivotField dataField="1" showAll="0"/>
    <pivotField axis="axisCol" allDrilled="1" showAll="0" dataSourceSort="1" defaultAttributeDrillState="1">
      <items count="2">
        <item s="1" x="0"/>
        <item t="default"/>
      </items>
    </pivotField>
    <pivotField axis="axisRow" allDrilled="1" showAll="0" dataSourceSort="1" defaultAttributeDrillState="1">
      <items count="4">
        <item x="0"/>
        <item x="1"/>
        <item x="2"/>
        <item t="default"/>
      </items>
    </pivotField>
  </pivotFields>
  <rowFields count="1">
    <field x="2"/>
  </rowFields>
  <rowItems count="4">
    <i>
      <x/>
    </i>
    <i>
      <x v="1"/>
    </i>
    <i>
      <x v="2"/>
    </i>
    <i t="grand">
      <x/>
    </i>
  </rowItems>
  <colFields count="1">
    <field x="1"/>
  </colFields>
  <colItems count="2">
    <i>
      <x/>
    </i>
    <i t="grand">
      <x/>
    </i>
  </colItems>
  <dataFields count="1">
    <dataField name="Sum of Total" fld="0" baseField="0" baseItem="0" numFmtId="164"/>
  </dataFields>
  <formats count="3">
    <format dxfId="127">
      <pivotArea outline="0" collapsedLevelsAreSubtotals="1" fieldPosition="0"/>
    </format>
    <format dxfId="126">
      <pivotArea outline="0" collapsedLevelsAreSubtotals="1" fieldPosition="0"/>
    </format>
    <format dxfId="125">
      <pivotArea outline="0" collapsedLevelsAreSubtotals="1" fieldPosition="0"/>
    </format>
  </formats>
  <chartFormats count="8">
    <chartFormat chart="1" format="8" series="1">
      <pivotArea type="data" outline="0" fieldPosition="0">
        <references count="1">
          <reference field="4294967294" count="1" selected="0">
            <x v="0"/>
          </reference>
        </references>
      </pivotArea>
    </chartFormat>
    <chartFormat chart="3" format="10"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5" format="12" series="1">
      <pivotArea type="data" outline="0" fieldPosition="0">
        <references count="1">
          <reference field="4294967294" count="1" selected="0">
            <x v="0"/>
          </reference>
        </references>
      </pivotArea>
    </chartFormat>
    <chartFormat chart="8" format="14" series="1">
      <pivotArea type="data" outline="0" fieldPosition="0">
        <references count="1">
          <reference field="4294967294" count="1" selected="0">
            <x v="0"/>
          </reference>
        </references>
      </pivotArea>
    </chartFormat>
    <chartFormat chart="9" format="15" series="1">
      <pivotArea type="data" outline="0" fieldPosition="0">
        <references count="1">
          <reference field="4294967294" count="1" selected="0">
            <x v="0"/>
          </reference>
        </references>
      </pivotArea>
    </chartFormat>
    <chartFormat chart="10" format="16" series="1">
      <pivotArea type="data" outline="0" fieldPosition="0">
        <references count="1">
          <reference field="4294967294" count="1" selected="0">
            <x v="0"/>
          </reference>
        </references>
      </pivotArea>
    </chartFormat>
    <chartFormat chart="11" format="18" series="1">
      <pivotArea type="data" outline="0" fieldPosition="0">
        <references count="1">
          <reference field="4294967294" count="1" selected="0">
            <x v="0"/>
          </reference>
        </references>
      </pivotArea>
    </chartFormat>
  </chartFormats>
  <pivotHierarchies count="55">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7" showRowHeaders="1" showColHeaders="1" showRowStripes="0" showColStripes="0" showLastColumn="1"/>
  <rowHierarchiesUsage count="1">
    <rowHierarchyUsage hierarchyUsage="3"/>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banha_Copy1.xlsx!Data">
        <x15:activeTabTopLevelEntity name="[Data]"/>
      </x15:pivotTableUISettings>
    </ext>
  </extLst>
</pivotTableDefinition>
</file>

<file path=xl/pivotTables/pivotTable23.xml><?xml version="1.0" encoding="utf-8"?>
<pivotTableDefinition xmlns="http://schemas.openxmlformats.org/spreadsheetml/2006/main" name="Returns2" cacheId="28"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2">
  <location ref="AA60:AC67" firstHeaderRow="1" firstDataRow="2" firstDataCol="1"/>
  <pivotFields count="4">
    <pivotField axis="axisCol" allDrilled="1" showAll="0" dataSourceSort="1" defaultAttributeDrillState="1">
      <items count="2">
        <item s="1" x="0"/>
        <item t="default"/>
      </items>
    </pivotField>
    <pivotField axis="axisRow" allDrilled="1" showAll="0" dataSourceSort="1" defaultAttributeDrillState="1">
      <items count="3">
        <item n="Total Returns" x="0"/>
        <item n="Net Sales" x="1" e="0"/>
        <item t="default"/>
      </items>
    </pivotField>
    <pivotField dataField="1" showAll="0"/>
    <pivotField axis="axisRow" allDrilled="1" showAll="0" dataSourceSort="1" defaultAttributeDrillState="1">
      <items count="4">
        <item x="0"/>
        <item x="1"/>
        <item x="2"/>
        <item t="default"/>
      </items>
    </pivotField>
  </pivotFields>
  <rowFields count="2">
    <field x="1"/>
    <field x="3"/>
  </rowFields>
  <rowItems count="6">
    <i>
      <x/>
    </i>
    <i r="1">
      <x/>
    </i>
    <i r="1">
      <x v="1"/>
    </i>
    <i r="1">
      <x v="2"/>
    </i>
    <i>
      <x v="1"/>
    </i>
    <i t="grand">
      <x/>
    </i>
  </rowItems>
  <colFields count="1">
    <field x="0"/>
  </colFields>
  <colItems count="2">
    <i>
      <x/>
    </i>
    <i t="grand">
      <x/>
    </i>
  </colItems>
  <dataFields count="1">
    <dataField name="Sum of Total" fld="2" baseField="0" baseItem="0" numFmtId="164"/>
  </dataFields>
  <formats count="8">
    <format dxfId="135">
      <pivotArea outline="0" collapsedLevelsAreSubtotals="1" fieldPosition="0"/>
    </format>
    <format dxfId="134">
      <pivotArea outline="0" collapsedLevelsAreSubtotals="1" fieldPosition="0"/>
    </format>
    <format dxfId="133">
      <pivotArea outline="0" collapsedLevelsAreSubtotals="1" fieldPosition="0"/>
    </format>
    <format dxfId="132">
      <pivotArea outline="0" collapsedLevelsAreSubtotals="1" fieldPosition="0"/>
    </format>
    <format dxfId="131">
      <pivotArea outline="0" collapsedLevelsAreSubtotals="1" fieldPosition="0"/>
    </format>
    <format dxfId="130">
      <pivotArea outline="0" collapsedLevelsAreSubtotals="1" fieldPosition="0"/>
    </format>
    <format dxfId="129">
      <pivotArea outline="0" collapsedLevelsAreSubtotals="1" fieldPosition="0"/>
    </format>
    <format dxfId="128">
      <pivotArea outline="0" collapsedLevelsAreSubtotals="1" fieldPosition="0"/>
    </format>
  </formats>
  <pivotHierarchies count="55">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7" showRowHeaders="1" showColHeaders="1" showRowStripes="0" showColStripes="0" showLastColumn="1"/>
  <rowHierarchiesUsage count="2">
    <rowHierarchyUsage hierarchyUsage="24"/>
    <rowHierarchyUsage hierarchyUsage="3"/>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REP]"/>
        <x15:activeTabTopLevelEntity name="[Returns]"/>
      </x15:pivotTableUISettings>
    </ext>
  </extLst>
</pivotTableDefinition>
</file>

<file path=xl/pivotTables/pivotTable24.xml><?xml version="1.0" encoding="utf-8"?>
<pivotTableDefinition xmlns="http://schemas.openxmlformats.org/spreadsheetml/2006/main" name="PeakHour" cacheId="1"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3">
  <location ref="S30:X43" firstHeaderRow="1" firstDataRow="2" firstDataCol="1"/>
  <pivotFields count="6">
    <pivotField axis="axisCol" allDrilled="1" showAll="0" dataSourceSort="1" defaultAttributeDrillState="1">
      <items count="5">
        <item x="0"/>
        <item x="1"/>
        <item x="2"/>
        <item x="3"/>
        <item t="default"/>
      </items>
    </pivotField>
    <pivotField axis="axisRow" allDrilled="1" showAll="0" dataSourceSort="1" defaultAttributeDrillState="1">
      <items count="5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t="default"/>
      </items>
    </pivotField>
    <pivotField axis="axisRow" allDrilled="1" showAll="0" dataSourceSort="1" defaultAttributeDrillState="1">
      <items count="2">
        <item x="0" e="0"/>
        <item t="default"/>
      </items>
    </pivotField>
    <pivotField axis="axisRow" allDrilled="1" showAll="0" dataSourceSort="1" defaultAttributeDrillState="1">
      <items count="12">
        <item x="0" e="0"/>
        <item x="1" e="0"/>
        <item x="2" e="0"/>
        <item x="3" e="0"/>
        <item x="4" e="0"/>
        <item x="5" e="0"/>
        <item x="6" e="0"/>
        <item x="7" e="0"/>
        <item x="8" e="0"/>
        <item x="9" e="0"/>
        <item x="10" e="0"/>
        <item t="default"/>
      </items>
    </pivotField>
    <pivotField dataField="1" showAll="0"/>
    <pivotField allDrilled="1" showAll="0" dataSourceSort="1" defaultAttributeDrillState="1"/>
  </pivotFields>
  <rowFields count="3">
    <field x="3"/>
    <field x="2"/>
    <field x="1"/>
  </rowFields>
  <rowItems count="12">
    <i>
      <x/>
    </i>
    <i>
      <x v="1"/>
    </i>
    <i>
      <x v="2"/>
    </i>
    <i>
      <x v="3"/>
    </i>
    <i>
      <x v="4"/>
    </i>
    <i>
      <x v="5"/>
    </i>
    <i>
      <x v="6"/>
    </i>
    <i>
      <x v="7"/>
    </i>
    <i>
      <x v="8"/>
    </i>
    <i>
      <x v="9"/>
    </i>
    <i>
      <x v="10"/>
    </i>
    <i t="grand">
      <x/>
    </i>
  </rowItems>
  <colFields count="1">
    <field x="0"/>
  </colFields>
  <colItems count="5">
    <i>
      <x/>
    </i>
    <i>
      <x v="1"/>
    </i>
    <i>
      <x v="2"/>
    </i>
    <i>
      <x v="3"/>
    </i>
    <i t="grand">
      <x/>
    </i>
  </colItems>
  <dataFields count="1">
    <dataField name="Sum of Total" fld="4" baseField="0" baseItem="0"/>
  </dataFields>
  <formats count="3">
    <format dxfId="138">
      <pivotArea outline="0" collapsedLevelsAreSubtotals="1" fieldPosition="0"/>
    </format>
    <format dxfId="137">
      <pivotArea outline="0" collapsedLevelsAreSubtotals="1" fieldPosition="0"/>
    </format>
    <format dxfId="136">
      <pivotArea outline="0" collapsedLevelsAreSubtotals="1" fieldPosition="0"/>
    </format>
  </formats>
  <chartFormats count="8">
    <chartFormat chart="8" format="18" series="1">
      <pivotArea type="data" outline="0" fieldPosition="0">
        <references count="2">
          <reference field="4294967294" count="1" selected="0">
            <x v="0"/>
          </reference>
          <reference field="0" count="1" selected="0">
            <x v="0"/>
          </reference>
        </references>
      </pivotArea>
    </chartFormat>
    <chartFormat chart="8" format="19" series="1">
      <pivotArea type="data" outline="0" fieldPosition="0">
        <references count="2">
          <reference field="4294967294" count="1" selected="0">
            <x v="0"/>
          </reference>
          <reference field="0" count="1" selected="0">
            <x v="1"/>
          </reference>
        </references>
      </pivotArea>
    </chartFormat>
    <chartFormat chart="8" format="20" series="1">
      <pivotArea type="data" outline="0" fieldPosition="0">
        <references count="2">
          <reference field="4294967294" count="1" selected="0">
            <x v="0"/>
          </reference>
          <reference field="0" count="1" selected="0">
            <x v="2"/>
          </reference>
        </references>
      </pivotArea>
    </chartFormat>
    <chartFormat chart="8" format="21" series="1">
      <pivotArea type="data" outline="0" fieldPosition="0">
        <references count="2">
          <reference field="4294967294" count="1" selected="0">
            <x v="0"/>
          </reference>
          <reference field="0" count="1" selected="0">
            <x v="3"/>
          </reference>
        </references>
      </pivotArea>
    </chartFormat>
    <chartFormat chart="12" format="26" series="1">
      <pivotArea type="data" outline="0" fieldPosition="0">
        <references count="2">
          <reference field="4294967294" count="1" selected="0">
            <x v="0"/>
          </reference>
          <reference field="0" count="1" selected="0">
            <x v="0"/>
          </reference>
        </references>
      </pivotArea>
    </chartFormat>
    <chartFormat chart="12" format="27" series="1">
      <pivotArea type="data" outline="0" fieldPosition="0">
        <references count="2">
          <reference field="4294967294" count="1" selected="0">
            <x v="0"/>
          </reference>
          <reference field="0" count="1" selected="0">
            <x v="1"/>
          </reference>
        </references>
      </pivotArea>
    </chartFormat>
    <chartFormat chart="12" format="28" series="1">
      <pivotArea type="data" outline="0" fieldPosition="0">
        <references count="2">
          <reference field="4294967294" count="1" selected="0">
            <x v="0"/>
          </reference>
          <reference field="0" count="1" selected="0">
            <x v="2"/>
          </reference>
        </references>
      </pivotArea>
    </chartFormat>
    <chartFormat chart="12" format="29" series="1">
      <pivotArea type="data" outline="0" fieldPosition="0">
        <references count="2">
          <reference field="4294967294" count="1" selected="0">
            <x v="0"/>
          </reference>
          <reference field="0" count="1" selected="0">
            <x v="3"/>
          </reference>
        </references>
      </pivotArea>
    </chartFormat>
  </chartFormats>
  <pivotHierarchies count="55">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7" showRowHeaders="1" showColHeaders="1" showRowStripes="0" showColStripes="0" showLastColumn="1"/>
  <rowHierarchiesUsage count="3">
    <rowHierarchyUsage hierarchyUsage="20"/>
    <rowHierarchyUsage hierarchyUsage="21"/>
    <rowHierarchyUsage hierarchyUsage="15"/>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banha_Copy1.xlsx!Data">
        <x15:activeTabTopLevelEntity name="[Data]"/>
      </x15:pivotTableUISettings>
    </ext>
  </extLst>
</pivotTableDefinition>
</file>

<file path=xl/pivotTables/pivotTable25.xml><?xml version="1.0" encoding="utf-8"?>
<pivotTableDefinition xmlns="http://schemas.openxmlformats.org/spreadsheetml/2006/main" name="BranchReturns" cacheId="23"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4">
  <location ref="M46:P51" firstHeaderRow="1" firstDataRow="2" firstDataCol="1" rowPageCount="1" colPageCount="1"/>
  <pivotFields count="4">
    <pivotField axis="axisPage" allDrilled="1" showAll="0" dataSourceSort="1" defaultAttributeDrillState="1">
      <items count="1">
        <item t="default"/>
      </items>
    </pivotField>
    <pivotField axis="axisCol" allDrilled="1" showAll="0" dataSourceSort="1" defaultAttributeDrillState="1">
      <items count="3">
        <item n="Returns" x="0"/>
        <item n="Sold" x="1"/>
        <item t="default"/>
      </items>
    </pivotField>
    <pivotField axis="axisRow" allDrilled="1" showAll="0" sortType="ascending" defaultAttributeDrillState="1">
      <items count="4">
        <item x="0"/>
        <item x="1"/>
        <item x="2"/>
        <item t="default"/>
      </items>
      <autoSortScope>
        <pivotArea dataOnly="0" outline="0" fieldPosition="0">
          <references count="2">
            <reference field="4294967294" count="1" selected="0">
              <x v="0"/>
            </reference>
            <reference field="1" count="1" selected="0">
              <x v="0"/>
            </reference>
          </references>
        </pivotArea>
      </autoSortScope>
    </pivotField>
    <pivotField dataField="1" showAll="0"/>
  </pivotFields>
  <rowFields count="1">
    <field x="2"/>
  </rowFields>
  <rowItems count="4">
    <i>
      <x/>
    </i>
    <i>
      <x v="2"/>
    </i>
    <i>
      <x v="1"/>
    </i>
    <i t="grand">
      <x/>
    </i>
  </rowItems>
  <colFields count="1">
    <field x="1"/>
  </colFields>
  <colItems count="3">
    <i>
      <x/>
    </i>
    <i>
      <x v="1"/>
    </i>
    <i t="grand">
      <x/>
    </i>
  </colItems>
  <pageFields count="1">
    <pageField fld="0" hier="14" name="[Data].[Year].&amp;[2022]" cap="2022"/>
  </pageFields>
  <dataFields count="1">
    <dataField name="Sum of Total" fld="3" baseField="0" baseItem="0"/>
  </dataFields>
  <formats count="3">
    <format dxfId="141">
      <pivotArea outline="0" collapsedLevelsAreSubtotals="1" fieldPosition="0"/>
    </format>
    <format dxfId="140">
      <pivotArea outline="0" collapsedLevelsAreSubtotals="1" fieldPosition="0"/>
    </format>
    <format dxfId="139">
      <pivotArea outline="0" collapsedLevelsAreSubtotals="1" fieldPosition="0"/>
    </format>
  </formats>
  <chartFormats count="5">
    <chartFormat chart="11" format="24" series="1">
      <pivotArea type="data" outline="0" fieldPosition="0">
        <references count="2">
          <reference field="4294967294" count="1" selected="0">
            <x v="0"/>
          </reference>
          <reference field="1" count="1" selected="0">
            <x v="0"/>
          </reference>
        </references>
      </pivotArea>
    </chartFormat>
    <chartFormat chart="11" format="25">
      <pivotArea type="data" outline="0" fieldPosition="0">
        <references count="3">
          <reference field="4294967294" count="1" selected="0">
            <x v="0"/>
          </reference>
          <reference field="1" count="1" selected="0">
            <x v="0"/>
          </reference>
          <reference field="2" count="1" selected="0">
            <x v="2"/>
          </reference>
        </references>
      </pivotArea>
    </chartFormat>
    <chartFormat chart="11" format="26">
      <pivotArea type="data" outline="0" fieldPosition="0">
        <references count="3">
          <reference field="4294967294" count="1" selected="0">
            <x v="0"/>
          </reference>
          <reference field="1" count="1" selected="0">
            <x v="0"/>
          </reference>
          <reference field="2" count="1" selected="0">
            <x v="1"/>
          </reference>
        </references>
      </pivotArea>
    </chartFormat>
    <chartFormat chart="11" format="27">
      <pivotArea type="data" outline="0" fieldPosition="0">
        <references count="3">
          <reference field="4294967294" count="1" selected="0">
            <x v="0"/>
          </reference>
          <reference field="1" count="1" selected="0">
            <x v="0"/>
          </reference>
          <reference field="2" count="1" selected="0">
            <x v="0"/>
          </reference>
        </references>
      </pivotArea>
    </chartFormat>
    <chartFormat chart="11" format="28" series="1">
      <pivotArea type="data" outline="0" fieldPosition="0">
        <references count="2">
          <reference field="4294967294" count="1" selected="0">
            <x v="0"/>
          </reference>
          <reference field="1" count="1" selected="0">
            <x v="1"/>
          </reference>
        </references>
      </pivotArea>
    </chartFormat>
  </chartFormats>
  <pivotHierarchies count="55">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Year].&amp;[202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7" showRowHeaders="1" showColHeaders="1" showRowStripes="0" showColStripes="0" showLastColumn="1"/>
  <rowHierarchiesUsage count="1">
    <rowHierarchyUsage hierarchyUsage="3"/>
  </rowHierarchiesUsage>
  <colHierarchiesUsage count="1">
    <colHierarchyUsage hierarchyUsage="2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Returns]"/>
      </x15:pivotTableUISettings>
    </ext>
  </extLst>
</pivotTableDefinition>
</file>

<file path=xl/pivotTables/pivotTable26.xml><?xml version="1.0" encoding="utf-8"?>
<pivotTableDefinition xmlns="http://schemas.openxmlformats.org/spreadsheetml/2006/main" name="Gender" cacheId="15"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4">
  <location ref="Q24:R27" firstHeaderRow="1" firstDataRow="1" firstDataCol="1" rowPageCount="1" colPageCount="1"/>
  <pivotFields count="3">
    <pivotField axis="axisPage" allDrilled="1" showAll="0" dataSourceSort="1" defaultAttributeDrillState="1">
      <items count="1">
        <item t="default"/>
      </items>
    </pivotField>
    <pivotField axis="axisRow" allDrilled="1" showAll="0" dataSourceSort="1" defaultAttributeDrillState="1">
      <items count="3">
        <item x="0"/>
        <item x="1"/>
        <item t="default"/>
      </items>
    </pivotField>
    <pivotField dataField="1" showAll="0"/>
  </pivotFields>
  <rowFields count="1">
    <field x="1"/>
  </rowFields>
  <rowItems count="3">
    <i>
      <x/>
    </i>
    <i>
      <x v="1"/>
    </i>
    <i t="grand">
      <x/>
    </i>
  </rowItems>
  <colItems count="1">
    <i/>
  </colItems>
  <pageFields count="1">
    <pageField fld="0" hier="14" name="[Data].[Year].&amp;[2022]" cap="2022"/>
  </pageFields>
  <dataFields count="1">
    <dataField name="Sum of Total" fld="2" baseField="0" baseItem="0"/>
  </dataFields>
  <formats count="3">
    <format dxfId="144">
      <pivotArea outline="0" collapsedLevelsAreSubtotals="1" fieldPosition="0"/>
    </format>
    <format dxfId="143">
      <pivotArea outline="0" collapsedLevelsAreSubtotals="1" fieldPosition="0"/>
    </format>
    <format dxfId="142">
      <pivotArea outline="0" collapsedLevelsAreSubtotals="1" fieldPosition="0"/>
    </format>
  </formats>
  <chartFormats count="8">
    <chartFormat chart="0" format="1"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0"/>
          </reference>
        </references>
      </pivotArea>
    </chartFormat>
    <chartFormat chart="9" format="10">
      <pivotArea type="data" outline="0" fieldPosition="0">
        <references count="2">
          <reference field="4294967294" count="1" selected="0">
            <x v="0"/>
          </reference>
          <reference field="1" count="1" selected="0">
            <x v="0"/>
          </reference>
        </references>
      </pivotArea>
    </chartFormat>
    <chartFormat chart="9" format="11">
      <pivotArea type="data" outline="0" fieldPosition="0">
        <references count="2">
          <reference field="4294967294" count="1" selected="0">
            <x v="0"/>
          </reference>
          <reference field="1" count="1" selected="0">
            <x v="1"/>
          </reference>
        </references>
      </pivotArea>
    </chartFormat>
    <chartFormat chart="10" format="12" series="1">
      <pivotArea type="data" outline="0" fieldPosition="0">
        <references count="1">
          <reference field="4294967294" count="1" selected="0">
            <x v="0"/>
          </reference>
        </references>
      </pivotArea>
    </chartFormat>
    <chartFormat chart="10" format="13">
      <pivotArea type="data" outline="0" fieldPosition="0">
        <references count="2">
          <reference field="4294967294" count="1" selected="0">
            <x v="0"/>
          </reference>
          <reference field="1" count="1" selected="0">
            <x v="0"/>
          </reference>
        </references>
      </pivotArea>
    </chartFormat>
    <chartFormat chart="10" format="14">
      <pivotArea type="data" outline="0" fieldPosition="0">
        <references count="2">
          <reference field="4294967294" count="1" selected="0">
            <x v="0"/>
          </reference>
          <reference field="1" count="1" selected="0">
            <x v="1"/>
          </reference>
        </references>
      </pivotArea>
    </chartFormat>
  </chartFormats>
  <pivotHierarchies count="55">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Year].&amp;[202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7"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banha_Copy1.xlsx!Data">
        <x15:activeTabTopLevelEntity name="[Data]"/>
      </x15:pivotTableUISettings>
    </ext>
  </extLst>
</pivotTableDefinition>
</file>

<file path=xl/pivotTables/pivotTable27.xml><?xml version="1.0" encoding="utf-8"?>
<pivotTableDefinition xmlns="http://schemas.openxmlformats.org/spreadsheetml/2006/main" name="BranchAll" cacheId="5"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2">
  <location ref="AH4:AM9" firstHeaderRow="1" firstDataRow="2" firstDataCol="1"/>
  <pivotFields count="4">
    <pivotField dataField="1" showAll="0"/>
    <pivotField axis="axisCol" allDrilled="1" showAll="0" dataSourceSort="1" defaultAttributeDrillState="1">
      <items count="5">
        <item x="0"/>
        <item x="1"/>
        <item x="2"/>
        <item x="3"/>
        <item t="default"/>
      </items>
    </pivotField>
    <pivotField axis="axisRow" allDrilled="1" showAll="0" dataSourceSort="1" defaultAttributeDrillState="1">
      <items count="4">
        <item x="0"/>
        <item x="1"/>
        <item x="2"/>
        <item t="default"/>
      </items>
    </pivotField>
    <pivotField allDrilled="1" showAll="0" dataSourceSort="1" defaultAttributeDrillState="1"/>
  </pivotFields>
  <rowFields count="1">
    <field x="2"/>
  </rowFields>
  <rowItems count="4">
    <i>
      <x/>
    </i>
    <i>
      <x v="1"/>
    </i>
    <i>
      <x v="2"/>
    </i>
    <i t="grand">
      <x/>
    </i>
  </rowItems>
  <colFields count="1">
    <field x="1"/>
  </colFields>
  <colItems count="5">
    <i>
      <x/>
    </i>
    <i>
      <x v="1"/>
    </i>
    <i>
      <x v="2"/>
    </i>
    <i>
      <x v="3"/>
    </i>
    <i t="grand">
      <x/>
    </i>
  </colItems>
  <dataFields count="1">
    <dataField name="Sum of Total" fld="0" baseField="0" baseItem="0" numFmtId="164"/>
  </dataFields>
  <formats count="3">
    <format dxfId="147">
      <pivotArea outline="0" collapsedLevelsAreSubtotals="1" fieldPosition="0"/>
    </format>
    <format dxfId="146">
      <pivotArea outline="0" collapsedLevelsAreSubtotals="1" fieldPosition="0"/>
    </format>
    <format dxfId="145">
      <pivotArea outline="0" collapsedLevelsAreSubtotals="1" fieldPosition="0"/>
    </format>
  </formats>
  <chartFormats count="8">
    <chartFormat chart="1" format="8" series="1">
      <pivotArea type="data" outline="0" fieldPosition="0">
        <references count="1">
          <reference field="4294967294" count="1" selected="0">
            <x v="0"/>
          </reference>
        </references>
      </pivotArea>
    </chartFormat>
    <chartFormat chart="3" format="10"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5" format="12" series="1">
      <pivotArea type="data" outline="0" fieldPosition="0">
        <references count="1">
          <reference field="4294967294" count="1" selected="0">
            <x v="0"/>
          </reference>
        </references>
      </pivotArea>
    </chartFormat>
    <chartFormat chart="8" format="14" series="1">
      <pivotArea type="data" outline="0" fieldPosition="0">
        <references count="1">
          <reference field="4294967294" count="1" selected="0">
            <x v="0"/>
          </reference>
        </references>
      </pivotArea>
    </chartFormat>
    <chartFormat chart="9" format="15" series="1">
      <pivotArea type="data" outline="0" fieldPosition="0">
        <references count="1">
          <reference field="4294967294" count="1" selected="0">
            <x v="0"/>
          </reference>
        </references>
      </pivotArea>
    </chartFormat>
    <chartFormat chart="10" format="16" series="1">
      <pivotArea type="data" outline="0" fieldPosition="0">
        <references count="1">
          <reference field="4294967294" count="1" selected="0">
            <x v="0"/>
          </reference>
        </references>
      </pivotArea>
    </chartFormat>
    <chartFormat chart="11" format="18" series="1">
      <pivotArea type="data" outline="0" fieldPosition="0">
        <references count="1">
          <reference field="4294967294" count="1" selected="0">
            <x v="0"/>
          </reference>
        </references>
      </pivotArea>
    </chartFormat>
  </chartFormats>
  <pivotHierarchies count="55">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7" showRowHeaders="1" showColHeaders="1" showRowStripes="0" showColStripes="0" showLastColumn="1"/>
  <rowHierarchiesUsage count="1">
    <rowHierarchyUsage hierarchyUsage="3"/>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banha_Copy1.xlsx!Data">
        <x15:activeTabTopLevelEntity name="[Data]"/>
      </x15:pivotTableUISettings>
    </ext>
  </extLst>
</pivotTableDefinition>
</file>

<file path=xl/pivotTables/pivotTable28.xml><?xml version="1.0" encoding="utf-8"?>
<pivotTableDefinition xmlns="http://schemas.openxmlformats.org/spreadsheetml/2006/main" name="BranchProfit" cacheId="12"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0">
  <location ref="K27:L31" firstHeaderRow="1" firstDataRow="1" firstDataCol="1" rowPageCount="1" colPageCount="1"/>
  <pivotFields count="3">
    <pivotField axis="axisPage" allDrilled="1" showAll="0" dataSourceSort="1" defaultAttributeDrillState="1">
      <items count="1">
        <item t="default"/>
      </items>
    </pivotField>
    <pivotField axis="axisRow" allDrilled="1" showAll="0" dataSourceSort="1" defaultAttributeDrillState="1">
      <items count="4">
        <item x="0"/>
        <item x="1"/>
        <item x="2"/>
        <item t="default"/>
      </items>
    </pivotField>
    <pivotField dataField="1" showAll="0"/>
  </pivotFields>
  <rowFields count="1">
    <field x="1"/>
  </rowFields>
  <rowItems count="4">
    <i>
      <x/>
    </i>
    <i>
      <x v="1"/>
    </i>
    <i>
      <x v="2"/>
    </i>
    <i t="grand">
      <x/>
    </i>
  </rowItems>
  <colItems count="1">
    <i/>
  </colItems>
  <pageFields count="1">
    <pageField fld="0" hier="14" name="[Data].[Year].&amp;[2022]" cap="2022"/>
  </pageFields>
  <dataFields count="1">
    <dataField name="Sum of Net Profit" fld="2" showDataAs="percentOfCol" baseField="0" baseItem="0" numFmtId="10"/>
  </dataFields>
  <formats count="10">
    <format dxfId="157">
      <pivotArea outline="0" collapsedLevelsAreSubtotals="1" fieldPosition="0"/>
    </format>
    <format dxfId="156">
      <pivotArea outline="0" collapsedLevelsAreSubtotals="1" fieldPosition="0"/>
    </format>
    <format dxfId="155">
      <pivotArea outline="0" collapsedLevelsAreSubtotals="1" fieldPosition="0"/>
    </format>
    <format dxfId="154">
      <pivotArea outline="0" fieldPosition="0">
        <references count="1">
          <reference field="4294967294" count="1">
            <x v="0"/>
          </reference>
        </references>
      </pivotArea>
    </format>
    <format dxfId="153">
      <pivotArea collapsedLevelsAreSubtotals="1" fieldPosition="0">
        <references count="1">
          <reference field="1" count="0"/>
        </references>
      </pivotArea>
    </format>
    <format dxfId="152">
      <pivotArea collapsedLevelsAreSubtotals="1" fieldPosition="0">
        <references count="1">
          <reference field="1" count="0"/>
        </references>
      </pivotArea>
    </format>
    <format dxfId="151">
      <pivotArea collapsedLevelsAreSubtotals="1" fieldPosition="0">
        <references count="1">
          <reference field="1" count="0"/>
        </references>
      </pivotArea>
    </format>
    <format dxfId="150">
      <pivotArea collapsedLevelsAreSubtotals="1" fieldPosition="0">
        <references count="1">
          <reference field="1" count="0"/>
        </references>
      </pivotArea>
    </format>
    <format dxfId="149">
      <pivotArea collapsedLevelsAreSubtotals="1" fieldPosition="0">
        <references count="1">
          <reference field="1" count="0"/>
        </references>
      </pivotArea>
    </format>
    <format dxfId="148">
      <pivotArea collapsedLevelsAreSubtotals="1" fieldPosition="0">
        <references count="1">
          <reference field="1" count="0"/>
        </references>
      </pivotArea>
    </format>
  </formats>
  <chartFormats count="5">
    <chartFormat chart="7" format="17" series="1">
      <pivotArea type="data" outline="0" fieldPosition="0">
        <references count="1">
          <reference field="4294967294" count="1" selected="0">
            <x v="0"/>
          </reference>
        </references>
      </pivotArea>
    </chartFormat>
    <chartFormat chart="7" format="17" series="1">
      <pivotArea type="data" outline="0" fieldPosition="0">
        <references count="1">
          <reference field="4294967294" count="1" selected="0">
            <x v="0"/>
          </reference>
        </references>
      </pivotArea>
    </chartFormat>
    <chartFormat chart="7" format="18">
      <pivotArea type="data" outline="0" fieldPosition="0">
        <references count="2">
          <reference field="4294967294" count="1" selected="0">
            <x v="0"/>
          </reference>
          <reference field="1" count="1" selected="0">
            <x v="1"/>
          </reference>
        </references>
      </pivotArea>
    </chartFormat>
    <chartFormat chart="7" format="19">
      <pivotArea type="data" outline="0" fieldPosition="0">
        <references count="2">
          <reference field="4294967294" count="1" selected="0">
            <x v="0"/>
          </reference>
          <reference field="1" count="1" selected="0">
            <x v="2"/>
          </reference>
        </references>
      </pivotArea>
    </chartFormat>
    <chartFormat chart="7" format="20">
      <pivotArea type="data" outline="0" fieldPosition="0">
        <references count="2">
          <reference field="4294967294" count="1" selected="0">
            <x v="0"/>
          </reference>
          <reference field="1" count="1" selected="0">
            <x v="0"/>
          </reference>
        </references>
      </pivotArea>
    </chartFormat>
  </chartFormats>
  <pivotHierarchies count="55">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Year].&amp;[202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7"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banha_Copy1.xlsx!Data">
        <x15:activeTabTopLevelEntity name="[Data]"/>
      </x15:pivotTableUISettings>
    </ext>
  </extLst>
</pivotTableDefinition>
</file>

<file path=xl/pivotTables/pivotTable29.xml><?xml version="1.0" encoding="utf-8"?>
<pivotTableDefinition xmlns="http://schemas.openxmlformats.org/spreadsheetml/2006/main" name="ProductLineAll" cacheId="0"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2">
  <location ref="AH37:AM45" firstHeaderRow="1" firstDataRow="2" firstDataCol="1"/>
  <pivotFields count="3">
    <pivotField dataField="1" showAll="0"/>
    <pivotField axis="axisCol" allDrilled="1" showAll="0" dataSourceSort="1" defaultAttributeDrillState="1">
      <items count="5">
        <item x="0"/>
        <item x="1"/>
        <item x="2"/>
        <item x="3"/>
        <item t="default"/>
      </items>
    </pivotField>
    <pivotField axis="axisRow" allDrilled="1" showAll="0" dataSourceSort="1" defaultAttributeDrillState="1">
      <items count="7">
        <item x="0"/>
        <item x="1"/>
        <item x="2"/>
        <item x="3"/>
        <item x="4"/>
        <item x="5"/>
        <item t="default"/>
      </items>
    </pivotField>
  </pivotFields>
  <rowFields count="1">
    <field x="2"/>
  </rowFields>
  <rowItems count="7">
    <i>
      <x/>
    </i>
    <i>
      <x v="1"/>
    </i>
    <i>
      <x v="2"/>
    </i>
    <i>
      <x v="3"/>
    </i>
    <i>
      <x v="4"/>
    </i>
    <i>
      <x v="5"/>
    </i>
    <i t="grand">
      <x/>
    </i>
  </rowItems>
  <colFields count="1">
    <field x="1"/>
  </colFields>
  <colItems count="5">
    <i>
      <x/>
    </i>
    <i>
      <x v="1"/>
    </i>
    <i>
      <x v="2"/>
    </i>
    <i>
      <x v="3"/>
    </i>
    <i t="grand">
      <x/>
    </i>
  </colItems>
  <dataFields count="1">
    <dataField name="Sum of Total" fld="0" baseField="0" baseItem="0" numFmtId="164"/>
  </dataFields>
  <formats count="3">
    <format dxfId="160">
      <pivotArea outline="0" collapsedLevelsAreSubtotals="1" fieldPosition="0"/>
    </format>
    <format dxfId="159">
      <pivotArea outline="0" collapsedLevelsAreSubtotals="1" fieldPosition="0"/>
    </format>
    <format dxfId="158">
      <pivotArea outline="0" collapsedLevelsAreSubtotals="1" fieldPosition="0"/>
    </format>
  </formats>
  <chartFormats count="8">
    <chartFormat chart="1" format="8" series="1">
      <pivotArea type="data" outline="0" fieldPosition="0">
        <references count="1">
          <reference field="4294967294" count="1" selected="0">
            <x v="0"/>
          </reference>
        </references>
      </pivotArea>
    </chartFormat>
    <chartFormat chart="3" format="10"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5" format="12" series="1">
      <pivotArea type="data" outline="0" fieldPosition="0">
        <references count="1">
          <reference field="4294967294" count="1" selected="0">
            <x v="0"/>
          </reference>
        </references>
      </pivotArea>
    </chartFormat>
    <chartFormat chart="8" format="14" series="1">
      <pivotArea type="data" outline="0" fieldPosition="0">
        <references count="1">
          <reference field="4294967294" count="1" selected="0">
            <x v="0"/>
          </reference>
        </references>
      </pivotArea>
    </chartFormat>
    <chartFormat chart="9" format="15" series="1">
      <pivotArea type="data" outline="0" fieldPosition="0">
        <references count="1">
          <reference field="4294967294" count="1" selected="0">
            <x v="0"/>
          </reference>
        </references>
      </pivotArea>
    </chartFormat>
    <chartFormat chart="10" format="16" series="1">
      <pivotArea type="data" outline="0" fieldPosition="0">
        <references count="1">
          <reference field="4294967294" count="1" selected="0">
            <x v="0"/>
          </reference>
        </references>
      </pivotArea>
    </chartFormat>
    <chartFormat chart="11" format="18" series="1">
      <pivotArea type="data" outline="0" fieldPosition="0">
        <references count="1">
          <reference field="4294967294" count="1" selected="0">
            <x v="0"/>
          </reference>
        </references>
      </pivotArea>
    </chartFormat>
  </chartFormats>
  <pivotHierarchies count="55">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7" showRowHeaders="1" showColHeaders="1" showRowStripes="0" showColStripes="0" showLastColumn="1"/>
  <rowHierarchiesUsage count="1">
    <rowHierarchyUsage hierarchyUsage="6"/>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banha_Copy1.xlsx!Data">
        <x15:activeTabTopLevelEntity name="[Data]"/>
      </x15:pivotTableUISettings>
    </ext>
  </extLst>
</pivotTableDefinition>
</file>

<file path=xl/pivotTables/pivotTable30.xml><?xml version="1.0" encoding="utf-8"?>
<pivotTableDefinition xmlns="http://schemas.openxmlformats.org/spreadsheetml/2006/main" name="Rating2" cacheId="27"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2">
  <location ref="AA21:AC26" firstHeaderRow="1" firstDataRow="2" firstDataCol="1"/>
  <pivotFields count="3">
    <pivotField axis="axisCol" allDrilled="1" showAll="0" dataSourceSort="1" defaultAttributeDrillState="1">
      <items count="2">
        <item s="1" x="0"/>
        <item t="default"/>
      </items>
    </pivotField>
    <pivotField dataField="1" showAll="0"/>
    <pivotField axis="axisRow" allDrilled="1" showAll="0" dataSourceSort="1" defaultAttributeDrillState="1">
      <items count="4">
        <item x="0"/>
        <item x="1"/>
        <item x="2"/>
        <item t="default"/>
      </items>
    </pivotField>
  </pivotFields>
  <rowFields count="1">
    <field x="2"/>
  </rowFields>
  <rowItems count="4">
    <i>
      <x/>
    </i>
    <i>
      <x v="1"/>
    </i>
    <i>
      <x v="2"/>
    </i>
    <i t="grand">
      <x/>
    </i>
  </rowItems>
  <colFields count="1">
    <field x="0"/>
  </colFields>
  <colItems count="2">
    <i>
      <x/>
    </i>
    <i t="grand">
      <x/>
    </i>
  </colItems>
  <dataFields count="1">
    <dataField name="Average of Rating" fld="1" subtotal="average" baseField="1" baseItem="1" numFmtId="43"/>
  </dataFields>
  <formats count="5">
    <format dxfId="165">
      <pivotArea outline="0" collapsedLevelsAreSubtotals="1" fieldPosition="0"/>
    </format>
    <format dxfId="164">
      <pivotArea outline="0" collapsedLevelsAreSubtotals="1" fieldPosition="0"/>
    </format>
    <format dxfId="163">
      <pivotArea outline="0" collapsedLevelsAreSubtotals="1" fieldPosition="0"/>
    </format>
    <format dxfId="162">
      <pivotArea outline="0" collapsedLevelsAreSubtotals="1" fieldPosition="0"/>
    </format>
    <format dxfId="161">
      <pivotArea outline="0" collapsedLevelsAreSubtotals="1" fieldPosition="0"/>
    </format>
  </formats>
  <pivotHierarchies count="55">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7" showRowHeaders="1" showColHeaders="1" showRowStripes="0" showColStripes="0" showLastColumn="1"/>
  <rowHierarchiesUsage count="1">
    <rowHierarchyUsage hierarchyUsage="23"/>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REP]"/>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 sourceName="[Data].[Year]">
  <pivotTables>
    <pivotTable tabId="14" name="Measures"/>
    <pivotTable tabId="14" name="NetSales"/>
    <pivotTable tabId="14" name="CitySales"/>
    <pivotTable tabId="14" name="BranchProfit"/>
    <pivotTable tabId="14" name="ProductLineProfit"/>
    <pivotTable tabId="14" name="ProductLineMeasures"/>
    <pivotTable tabId="14" name="Gender"/>
    <pivotTable tabId="14" name="Inovice"/>
    <pivotTable tabId="14" name="Quantity"/>
    <pivotTable tabId="14" name="ProductLineReturns"/>
    <pivotTable tabId="14" name="RatingBranch"/>
    <pivotTable tabId="14" name="CustomerType"/>
    <pivotTable tabId="14" name="Payment"/>
    <pivotTable tabId="14" name="PivotTable22"/>
    <pivotTable tabId="14" name="BranchReturns"/>
    <pivotTable tabId="14" name="PivotTable2"/>
    <pivotTable tabId="14" name="Branch2"/>
    <pivotTable tabId="14" name="ProductLine2"/>
    <pivotTable tabId="14" name="Rating2"/>
    <pivotTable tabId="14" name="Returns2"/>
    <pivotTable tabId="14" name="ProductLine3"/>
  </pivotTables>
  <data>
    <olap pivotCacheId="8">
      <levels count="2">
        <level uniqueName="[Data].[Year].[(All)]" sourceCaption="(All)" count="0"/>
        <level uniqueName="[Data].[Year].[Year]" sourceCaption="Year" count="4">
          <ranges>
            <range startItem="0">
              <i n="[Data].[Year].&amp;[2019]" c="2019"/>
              <i n="[Data].[Year].&amp;[2020]" c="2020"/>
              <i n="[Data].[Year].&amp;[2021]" c="2021"/>
              <i n="[Data].[Year].&amp;[2022]" c="2022"/>
            </range>
          </ranges>
        </level>
      </levels>
      <selections count="1">
        <selection n="[Data].[Year].&amp;[2022]"/>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Branch_City" sourceName="[Data].[Branch City]">
  <pivotTables>
    <pivotTable tabId="14" name="Measures"/>
    <pivotTable tabId="14" name="NetSales"/>
    <pivotTable tabId="14" name="ProfitTrend"/>
    <pivotTable tabId="14" name="Sales%"/>
    <pivotTable tabId="14" name="SalesTrend"/>
    <pivotTable tabId="14" name="ProductLineProfit"/>
    <pivotTable tabId="14" name="ProductLineMeasures"/>
    <pivotTable tabId="14" name="Gender"/>
    <pivotTable tabId="14" name="Inovice"/>
    <pivotTable tabId="14" name="Quantity"/>
    <pivotTable tabId="14" name="ProductLineReturns"/>
    <pivotTable tabId="14" name="PeakHour"/>
    <pivotTable tabId="14" name="CustomerType"/>
    <pivotTable tabId="14" name="Payment"/>
    <pivotTable tabId="14" name="PivotTable22"/>
  </pivotTables>
  <data>
    <olap pivotCacheId="8">
      <levels count="2">
        <level uniqueName="[Data].[Branch City].[(All)]" sourceCaption="(All)" count="0"/>
        <level uniqueName="[Data].[Branch City].[Branch City]" sourceCaption="Branch City" count="3">
          <ranges>
            <range startItem="0">
              <i n="[Data].[Branch City].&amp;[Br. A (Yangon)]" c="Br. A (Yangon)"/>
              <i n="[Data].[Branch City].&amp;[Br. B (Mandalay)]" c="Br. B (Mandalay)"/>
              <i n="[Data].[Branch City].&amp;[Br. C (Naypyitaw)]" c="Br. C (Naypyitaw)"/>
            </range>
          </ranges>
        </level>
      </levels>
      <selections count="1">
        <selection n="[Data].[Branch Cit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roduct_line" sourceName="[Data].[Product line]">
  <pivotTables>
    <pivotTable tabId="14" name="BranchProfit"/>
    <pivotTable tabId="14" name="CitySales"/>
    <pivotTable tabId="14" name="Gender"/>
    <pivotTable tabId="14" name="Inovice"/>
    <pivotTable tabId="14" name="Measures"/>
    <pivotTable tabId="14" name="NetSales"/>
    <pivotTable tabId="14" name="ProfitTrend"/>
    <pivotTable tabId="14" name="Quantity"/>
    <pivotTable tabId="14" name="Sales%"/>
    <pivotTable tabId="14" name="SalesTrend"/>
    <pivotTable tabId="14" name="RatingBranch"/>
    <pivotTable tabId="14" name="CustomerType"/>
    <pivotTable tabId="14" name="Payment"/>
    <pivotTable tabId="14" name="PivotTable22"/>
    <pivotTable tabId="14" name="BranchReturns"/>
    <pivotTable tabId="14" name="PivotTable2"/>
    <pivotTable tabId="14" name="Branch2"/>
    <pivotTable tabId="14" name="BranchAll"/>
    <pivotTable tabId="14" name="RatingAll"/>
    <pivotTable tabId="14" name="Rating2"/>
    <pivotTable tabId="14" name="Returns2"/>
    <pivotTable tabId="14" name="ReturnsAll"/>
  </pivotTables>
  <data>
    <olap pivotCacheId="8">
      <levels count="2">
        <level uniqueName="[Data].[Product line].[(All)]" sourceCaption="(All)" count="0"/>
        <level uniqueName="[Data].[Product line].[Product line]" sourceCaption="Product line" count="6">
          <ranges>
            <range startItem="0">
              <i n="[Data].[Product line].&amp;[Electronic accessories]" c="Electronic accessories"/>
              <i n="[Data].[Product line].&amp;[Fashion accessories]" c="Fashion accessories"/>
              <i n="[Data].[Product line].&amp;[Food and beverages]" c="Food and beverages"/>
              <i n="[Data].[Product line].&amp;[Health and beauty]" c="Health and beauty"/>
              <i n="[Data].[Product line].&amp;[Home and lifestyle]" c="Home and lifestyle"/>
              <i n="[Data].[Product line].&amp;[Sports and travel]" c="Sports and travel"/>
            </range>
          </ranges>
        </level>
      </levels>
      <selections count="1">
        <selection n="[Data].[Product lin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2" cache="Slicer_Year" caption="Year" level="1" rowHeight="241300"/>
  <slicer name="Branch City 2" cache="Slicer_Branch_City" caption="Branch (City)" level="1" rowHeight="241300"/>
  <slicer name="Product line 3" cache="Slicer_Product_line" caption="Product line" level="1" rowHeight="252000"/>
</slicers>
</file>

<file path=xl/slicers/slicer2.xml><?xml version="1.0" encoding="utf-8"?>
<slicers xmlns="http://schemas.microsoft.com/office/spreadsheetml/2009/9/main" xmlns:mc="http://schemas.openxmlformats.org/markup-compatibility/2006" xmlns:x="http://schemas.openxmlformats.org/spreadsheetml/2006/main" mc:Ignorable="x">
  <slicer name="Year 4" cache="Slicer_Year" caption="Year" level="1" rowHeight="241300"/>
  <slicer name="Branch City 4" cache="Slicer_Branch_City" caption="Branch (City)" level="1" rowHeight="241300"/>
  <slicer name="Product line 5" cache="Slicer_Product_line" caption="Product line" level="1" rowHeight="252000"/>
</slicers>
</file>

<file path=xl/slicers/slicer3.xml><?xml version="1.0" encoding="utf-8"?>
<slicers xmlns="http://schemas.microsoft.com/office/spreadsheetml/2009/9/main" xmlns:mc="http://schemas.openxmlformats.org/markup-compatibility/2006" xmlns:x="http://schemas.openxmlformats.org/spreadsheetml/2006/main" mc:Ignorable="x">
  <slicer name="Year 5" cache="Slicer_Year" caption="Year" level="1" rowHeight="241300"/>
  <slicer name="Branch City 5" cache="Slicer_Branch_City" caption="Branch (City)" level="1" rowHeight="241300"/>
  <slicer name="Product line 6" cache="Slicer_Product_line" caption="Product line" level="1" rowHeight="252000"/>
</slicers>
</file>

<file path=xl/tables/table1.xml><?xml version="1.0" encoding="utf-8"?>
<table xmlns="http://schemas.openxmlformats.org/spreadsheetml/2006/main" id="2" name="Data" displayName="Data" ref="A1:T1001" totalsRowShown="0">
  <autoFilter ref="A1:T1001"/>
  <tableColumns count="20">
    <tableColumn id="1" name="Invoice ID"/>
    <tableColumn id="2" name="Branch"/>
    <tableColumn id="3" name="City"/>
    <tableColumn id="17" name="Branch City" dataDxfId="171">
      <calculatedColumnFormula>"Br. "&amp;Data[[#This Row],[Branch]]&amp;" ("&amp;Data[[#This Row],[City]]&amp;")"</calculatedColumnFormula>
    </tableColumn>
    <tableColumn id="4" name="Customer type"/>
    <tableColumn id="5" name="Gender"/>
    <tableColumn id="6" name="Product line"/>
    <tableColumn id="7" name="Unit price"/>
    <tableColumn id="8" name="Quantity"/>
    <tableColumn id="9" name="Tax 5%"/>
    <tableColumn id="10" name="Total"/>
    <tableColumn id="11" name="Date" dataDxfId="170"/>
    <tableColumn id="20" name="Day" dataDxfId="169">
      <calculatedColumnFormula>DAY(Data[[#This Row],[Date]])</calculatedColumnFormula>
    </tableColumn>
    <tableColumn id="21" name="Month" dataDxfId="168">
      <calculatedColumnFormula>MONTH(Data[[#This Row],[Date]])</calculatedColumnFormula>
    </tableColumn>
    <tableColumn id="22" name="Year" dataDxfId="167">
      <calculatedColumnFormula>YEAR(Data[[#This Row],[Date]])</calculatedColumnFormula>
    </tableColumn>
    <tableColumn id="12" name="Time" dataDxfId="166"/>
    <tableColumn id="13" name="Payment"/>
    <tableColumn id="14" name="cogs"/>
    <tableColumn id="15" name="Net Profit"/>
    <tableColumn id="16" name="Rating"/>
  </tableColumns>
  <tableStyleInfo name="TableStyleMedium1" showFirstColumn="0" showLastColumn="0" showRowStripes="1" showColumnStripes="0"/>
</table>
</file>

<file path=xl/tables/table2.xml><?xml version="1.0" encoding="utf-8"?>
<table xmlns="http://schemas.openxmlformats.org/spreadsheetml/2006/main" id="3" name="Returns" displayName="Returns" ref="A1:B140" totalsRowShown="0">
  <autoFilter ref="A1:B140"/>
  <tableColumns count="2">
    <tableColumn id="1" name="returns"/>
    <tableColumn id="2" name="Invoice ID"/>
  </tableColumns>
  <tableStyleInfo name="TableStyleMedium1" showFirstColumn="0" showLastColumn="0" showRowStripes="1" showColumnStripes="0"/>
</table>
</file>

<file path=xl/tables/table3.xml><?xml version="1.0" encoding="utf-8"?>
<table xmlns="http://schemas.openxmlformats.org/spreadsheetml/2006/main" id="4" name="REP" displayName="REP" ref="A1:B4" totalsRowShown="0">
  <autoFilter ref="A1:B4"/>
  <tableColumns count="2">
    <tableColumn id="1" name="city"/>
    <tableColumn id="2" name="Rep"/>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29" Type="http://schemas.openxmlformats.org/officeDocument/2006/relationships/pivotTable" Target="../pivotTables/pivotTable29.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10" Type="http://schemas.openxmlformats.org/officeDocument/2006/relationships/pivotTable" Target="../pivotTables/pivotTable10.xml"/><Relationship Id="rId19" Type="http://schemas.openxmlformats.org/officeDocument/2006/relationships/pivotTable" Target="../pivotTables/pivotTable19.xml"/><Relationship Id="rId31" Type="http://schemas.openxmlformats.org/officeDocument/2006/relationships/printerSettings" Target="../printerSettings/printerSettings2.bin"/><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 Id="rId30" Type="http://schemas.openxmlformats.org/officeDocument/2006/relationships/pivotTable" Target="../pivotTables/pivotTable30.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01"/>
  <sheetViews>
    <sheetView zoomScale="93" workbookViewId="0">
      <selection activeCell="T2" sqref="T2"/>
    </sheetView>
  </sheetViews>
  <sheetFormatPr defaultRowHeight="14.4" x14ac:dyDescent="0.55000000000000004"/>
  <cols>
    <col min="1" max="1" width="11.1015625" bestFit="1" customWidth="1"/>
    <col min="2" max="2" width="8.7890625" bestFit="1" customWidth="1"/>
    <col min="3" max="3" width="9.05078125" bestFit="1" customWidth="1"/>
    <col min="4" max="4" width="14.3671875" bestFit="1" customWidth="1"/>
    <col min="5" max="5" width="15" bestFit="1" customWidth="1"/>
    <col min="6" max="6" width="9.05078125" bestFit="1" customWidth="1"/>
    <col min="7" max="7" width="18.1015625" bestFit="1" customWidth="1"/>
    <col min="8" max="8" width="11" bestFit="1" customWidth="1"/>
    <col min="9" max="9" width="10.26171875" bestFit="1" customWidth="1"/>
    <col min="10" max="10" width="8.68359375" bestFit="1" customWidth="1"/>
    <col min="11" max="11" width="7.3125" bestFit="1" customWidth="1"/>
    <col min="12" max="12" width="10.15625" bestFit="1" customWidth="1"/>
    <col min="13" max="13" width="6.26171875" style="7" bestFit="1" customWidth="1"/>
    <col min="14" max="14" width="8.62890625" style="7" bestFit="1" customWidth="1"/>
    <col min="15" max="15" width="6.83984375" style="7" bestFit="1" customWidth="1"/>
    <col min="16" max="16" width="7.20703125" bestFit="1" customWidth="1"/>
    <col min="17" max="17" width="10.3125" bestFit="1" customWidth="1"/>
    <col min="18" max="18" width="7.68359375" bestFit="1" customWidth="1"/>
    <col min="19" max="19" width="11" bestFit="1" customWidth="1"/>
    <col min="20" max="20" width="8.3125" bestFit="1" customWidth="1"/>
  </cols>
  <sheetData>
    <row r="1" spans="1:25" x14ac:dyDescent="0.55000000000000004">
      <c r="A1" t="s">
        <v>0</v>
      </c>
      <c r="B1" t="s">
        <v>1</v>
      </c>
      <c r="C1" t="s">
        <v>2</v>
      </c>
      <c r="D1" t="s">
        <v>1070</v>
      </c>
      <c r="E1" t="s">
        <v>3</v>
      </c>
      <c r="F1" t="s">
        <v>4</v>
      </c>
      <c r="G1" t="s">
        <v>5</v>
      </c>
      <c r="H1" t="s">
        <v>6</v>
      </c>
      <c r="I1" t="s">
        <v>7</v>
      </c>
      <c r="J1" t="s">
        <v>8</v>
      </c>
      <c r="K1" t="s">
        <v>9</v>
      </c>
      <c r="L1" t="s">
        <v>10</v>
      </c>
      <c r="M1" s="7" t="s">
        <v>1050</v>
      </c>
      <c r="N1" s="7" t="s">
        <v>1051</v>
      </c>
      <c r="O1" s="7" t="s">
        <v>1052</v>
      </c>
      <c r="P1" t="s">
        <v>11</v>
      </c>
      <c r="Q1" t="s">
        <v>12</v>
      </c>
      <c r="R1" t="s">
        <v>13</v>
      </c>
      <c r="S1" t="s">
        <v>14</v>
      </c>
      <c r="T1" t="s">
        <v>15</v>
      </c>
    </row>
    <row r="2" spans="1:25" x14ac:dyDescent="0.55000000000000004">
      <c r="A2" t="s">
        <v>16</v>
      </c>
      <c r="B2" t="s">
        <v>17</v>
      </c>
      <c r="C2" t="s">
        <v>18</v>
      </c>
      <c r="D2" t="str">
        <f>"Br. "&amp;Data[[#This Row],[Branch]]&amp;" ("&amp;Data[[#This Row],[City]]&amp;")"</f>
        <v>Br. A (Yangon)</v>
      </c>
      <c r="E2" t="s">
        <v>19</v>
      </c>
      <c r="F2" t="s">
        <v>20</v>
      </c>
      <c r="G2" t="s">
        <v>21</v>
      </c>
      <c r="H2">
        <v>74.69</v>
      </c>
      <c r="I2">
        <v>7</v>
      </c>
      <c r="J2">
        <v>26.141500000000001</v>
      </c>
      <c r="K2">
        <v>522.83000000000004</v>
      </c>
      <c r="L2" s="1">
        <v>43586</v>
      </c>
      <c r="M2" s="7">
        <f>DAY(Data[[#This Row],[Date]])</f>
        <v>1</v>
      </c>
      <c r="N2" s="7">
        <f>MONTH(Data[[#This Row],[Date]])</f>
        <v>5</v>
      </c>
      <c r="O2" s="7">
        <f>YEAR(Data[[#This Row],[Date]])</f>
        <v>2019</v>
      </c>
      <c r="P2" s="2">
        <v>0.54722222222222228</v>
      </c>
      <c r="Q2" t="s">
        <v>22</v>
      </c>
      <c r="R2">
        <v>365.98099999999999</v>
      </c>
      <c r="S2">
        <v>130.70750000000001</v>
      </c>
      <c r="T2">
        <v>9.1</v>
      </c>
    </row>
    <row r="3" spans="1:25" x14ac:dyDescent="0.55000000000000004">
      <c r="A3" t="s">
        <v>23</v>
      </c>
      <c r="B3" t="s">
        <v>24</v>
      </c>
      <c r="C3" t="s">
        <v>25</v>
      </c>
      <c r="D3" t="str">
        <f>"Br. "&amp;Data[[#This Row],[Branch]]&amp;" ("&amp;Data[[#This Row],[City]]&amp;")"</f>
        <v>Br. C (Naypyitaw)</v>
      </c>
      <c r="E3" t="s">
        <v>26</v>
      </c>
      <c r="F3" t="s">
        <v>20</v>
      </c>
      <c r="G3" t="s">
        <v>27</v>
      </c>
      <c r="H3">
        <v>15.28</v>
      </c>
      <c r="I3">
        <v>5</v>
      </c>
      <c r="J3">
        <v>3.82</v>
      </c>
      <c r="K3">
        <v>76.400000000000006</v>
      </c>
      <c r="L3" s="1">
        <v>43586</v>
      </c>
      <c r="M3" s="7">
        <f>DAY(Data[[#This Row],[Date]])</f>
        <v>1</v>
      </c>
      <c r="N3" s="7">
        <f>MONTH(Data[[#This Row],[Date]])</f>
        <v>5</v>
      </c>
      <c r="O3" s="7">
        <f>YEAR(Data[[#This Row],[Date]])</f>
        <v>2019</v>
      </c>
      <c r="P3" s="2">
        <v>0.43680555555555556</v>
      </c>
      <c r="Q3" t="s">
        <v>28</v>
      </c>
      <c r="R3">
        <v>53.48</v>
      </c>
      <c r="S3">
        <v>19.100000000000001</v>
      </c>
      <c r="T3">
        <v>9.6</v>
      </c>
    </row>
    <row r="4" spans="1:25" x14ac:dyDescent="0.55000000000000004">
      <c r="A4" t="s">
        <v>29</v>
      </c>
      <c r="B4" t="s">
        <v>17</v>
      </c>
      <c r="C4" t="s">
        <v>18</v>
      </c>
      <c r="D4" t="str">
        <f>"Br. "&amp;Data[[#This Row],[Branch]]&amp;" ("&amp;Data[[#This Row],[City]]&amp;")"</f>
        <v>Br. A (Yangon)</v>
      </c>
      <c r="E4" t="s">
        <v>26</v>
      </c>
      <c r="F4" t="s">
        <v>30</v>
      </c>
      <c r="G4" t="s">
        <v>31</v>
      </c>
      <c r="H4">
        <v>46.33</v>
      </c>
      <c r="I4">
        <v>7</v>
      </c>
      <c r="J4">
        <v>16.215499999999999</v>
      </c>
      <c r="K4">
        <v>324.31</v>
      </c>
      <c r="L4" s="1">
        <v>43586</v>
      </c>
      <c r="M4" s="7">
        <f>DAY(Data[[#This Row],[Date]])</f>
        <v>1</v>
      </c>
      <c r="N4" s="7">
        <f>MONTH(Data[[#This Row],[Date]])</f>
        <v>5</v>
      </c>
      <c r="O4" s="7">
        <f>YEAR(Data[[#This Row],[Date]])</f>
        <v>2019</v>
      </c>
      <c r="P4" s="2">
        <v>0.55763888888888891</v>
      </c>
      <c r="Q4" t="s">
        <v>32</v>
      </c>
      <c r="R4">
        <v>227.017</v>
      </c>
      <c r="S4">
        <v>81.077500000000001</v>
      </c>
      <c r="T4">
        <v>7.4</v>
      </c>
    </row>
    <row r="5" spans="1:25" x14ac:dyDescent="0.55000000000000004">
      <c r="A5" t="s">
        <v>33</v>
      </c>
      <c r="B5" t="s">
        <v>17</v>
      </c>
      <c r="C5" t="s">
        <v>18</v>
      </c>
      <c r="D5" t="str">
        <f>"Br. "&amp;Data[[#This Row],[Branch]]&amp;" ("&amp;Data[[#This Row],[City]]&amp;")"</f>
        <v>Br. A (Yangon)</v>
      </c>
      <c r="E5" t="s">
        <v>19</v>
      </c>
      <c r="F5" t="s">
        <v>30</v>
      </c>
      <c r="G5" t="s">
        <v>21</v>
      </c>
      <c r="H5">
        <v>58.22</v>
      </c>
      <c r="I5">
        <v>8</v>
      </c>
      <c r="J5">
        <v>23.288</v>
      </c>
      <c r="K5">
        <v>465.76</v>
      </c>
      <c r="L5" s="1">
        <v>43586</v>
      </c>
      <c r="M5" s="7">
        <f>DAY(Data[[#This Row],[Date]])</f>
        <v>1</v>
      </c>
      <c r="N5" s="7">
        <f>MONTH(Data[[#This Row],[Date]])</f>
        <v>5</v>
      </c>
      <c r="O5" s="7">
        <f>YEAR(Data[[#This Row],[Date]])</f>
        <v>2019</v>
      </c>
      <c r="P5" s="2">
        <v>0.85624999999999996</v>
      </c>
      <c r="Q5" t="s">
        <v>22</v>
      </c>
      <c r="R5">
        <v>326.03199999999998</v>
      </c>
      <c r="S5">
        <v>116.44</v>
      </c>
      <c r="T5">
        <v>8.4</v>
      </c>
    </row>
    <row r="6" spans="1:25" x14ac:dyDescent="0.55000000000000004">
      <c r="A6" t="s">
        <v>34</v>
      </c>
      <c r="B6" t="s">
        <v>17</v>
      </c>
      <c r="C6" t="s">
        <v>18</v>
      </c>
      <c r="D6" t="str">
        <f>"Br. "&amp;Data[[#This Row],[Branch]]&amp;" ("&amp;Data[[#This Row],[City]]&amp;")"</f>
        <v>Br. A (Yangon)</v>
      </c>
      <c r="E6" t="s">
        <v>26</v>
      </c>
      <c r="F6" t="s">
        <v>30</v>
      </c>
      <c r="G6" t="s">
        <v>35</v>
      </c>
      <c r="H6">
        <v>86.31</v>
      </c>
      <c r="I6">
        <v>7</v>
      </c>
      <c r="J6">
        <v>30.208500000000001</v>
      </c>
      <c r="K6">
        <v>604.16999999999996</v>
      </c>
      <c r="L6" s="1">
        <v>43586</v>
      </c>
      <c r="M6" s="7">
        <f>DAY(Data[[#This Row],[Date]])</f>
        <v>1</v>
      </c>
      <c r="N6" s="7">
        <f>MONTH(Data[[#This Row],[Date]])</f>
        <v>5</v>
      </c>
      <c r="O6" s="7">
        <f>YEAR(Data[[#This Row],[Date]])</f>
        <v>2019</v>
      </c>
      <c r="P6" s="2">
        <v>0.44236111111111109</v>
      </c>
      <c r="Q6" t="s">
        <v>22</v>
      </c>
      <c r="R6">
        <v>422.91899999999998</v>
      </c>
      <c r="S6">
        <v>151.04249999999999</v>
      </c>
      <c r="T6">
        <v>5.3</v>
      </c>
    </row>
    <row r="7" spans="1:25" x14ac:dyDescent="0.55000000000000004">
      <c r="A7" t="s">
        <v>36</v>
      </c>
      <c r="B7" t="s">
        <v>24</v>
      </c>
      <c r="C7" t="s">
        <v>25</v>
      </c>
      <c r="D7" t="str">
        <f>"Br. "&amp;Data[[#This Row],[Branch]]&amp;" ("&amp;Data[[#This Row],[City]]&amp;")"</f>
        <v>Br. C (Naypyitaw)</v>
      </c>
      <c r="E7" t="s">
        <v>26</v>
      </c>
      <c r="F7" t="s">
        <v>30</v>
      </c>
      <c r="G7" t="s">
        <v>27</v>
      </c>
      <c r="H7">
        <v>85.39</v>
      </c>
      <c r="I7">
        <v>7</v>
      </c>
      <c r="J7">
        <v>29.886500000000002</v>
      </c>
      <c r="K7">
        <v>597.73</v>
      </c>
      <c r="L7" s="1">
        <v>43586</v>
      </c>
      <c r="M7" s="7">
        <f>DAY(Data[[#This Row],[Date]])</f>
        <v>1</v>
      </c>
      <c r="N7" s="7">
        <f>MONTH(Data[[#This Row],[Date]])</f>
        <v>5</v>
      </c>
      <c r="O7" s="7">
        <f>YEAR(Data[[#This Row],[Date]])</f>
        <v>2019</v>
      </c>
      <c r="P7" s="2">
        <v>0.77083333333333337</v>
      </c>
      <c r="Q7" t="s">
        <v>22</v>
      </c>
      <c r="R7">
        <v>418.411</v>
      </c>
      <c r="S7">
        <v>149.4325</v>
      </c>
      <c r="T7">
        <v>4.0999999999999996</v>
      </c>
    </row>
    <row r="8" spans="1:25" x14ac:dyDescent="0.55000000000000004">
      <c r="A8" t="s">
        <v>37</v>
      </c>
      <c r="B8" t="s">
        <v>17</v>
      </c>
      <c r="C8" t="s">
        <v>18</v>
      </c>
      <c r="D8" t="str">
        <f>"Br. "&amp;Data[[#This Row],[Branch]]&amp;" ("&amp;Data[[#This Row],[City]]&amp;")"</f>
        <v>Br. A (Yangon)</v>
      </c>
      <c r="E8" t="s">
        <v>19</v>
      </c>
      <c r="F8" t="s">
        <v>20</v>
      </c>
      <c r="G8" t="s">
        <v>27</v>
      </c>
      <c r="H8">
        <v>68.84</v>
      </c>
      <c r="I8">
        <v>6</v>
      </c>
      <c r="J8">
        <v>20.652000000000001</v>
      </c>
      <c r="K8">
        <v>413.04</v>
      </c>
      <c r="L8" s="1">
        <v>43586</v>
      </c>
      <c r="M8" s="7">
        <f>DAY(Data[[#This Row],[Date]])</f>
        <v>1</v>
      </c>
      <c r="N8" s="7">
        <f>MONTH(Data[[#This Row],[Date]])</f>
        <v>5</v>
      </c>
      <c r="O8" s="7">
        <f>YEAR(Data[[#This Row],[Date]])</f>
        <v>2019</v>
      </c>
      <c r="P8" s="2">
        <v>0.60833333333333328</v>
      </c>
      <c r="Q8" t="s">
        <v>22</v>
      </c>
      <c r="R8">
        <v>289.12799999999999</v>
      </c>
      <c r="S8">
        <v>103.26</v>
      </c>
      <c r="T8">
        <v>5.8</v>
      </c>
      <c r="X8" t="s">
        <v>9</v>
      </c>
      <c r="Y8" t="s">
        <v>1042</v>
      </c>
    </row>
    <row r="9" spans="1:25" x14ac:dyDescent="0.55000000000000004">
      <c r="A9" t="s">
        <v>38</v>
      </c>
      <c r="B9" t="s">
        <v>24</v>
      </c>
      <c r="C9" t="s">
        <v>25</v>
      </c>
      <c r="D9" t="str">
        <f>"Br. "&amp;Data[[#This Row],[Branch]]&amp;" ("&amp;Data[[#This Row],[City]]&amp;")"</f>
        <v>Br. C (Naypyitaw)</v>
      </c>
      <c r="E9" t="s">
        <v>26</v>
      </c>
      <c r="F9" t="s">
        <v>20</v>
      </c>
      <c r="G9" t="s">
        <v>31</v>
      </c>
      <c r="H9">
        <v>73.56</v>
      </c>
      <c r="I9">
        <v>10</v>
      </c>
      <c r="J9">
        <v>36.78</v>
      </c>
      <c r="K9">
        <v>735.6</v>
      </c>
      <c r="L9" s="1">
        <v>43586</v>
      </c>
      <c r="M9" s="7">
        <f>DAY(Data[[#This Row],[Date]])</f>
        <v>1</v>
      </c>
      <c r="N9" s="7">
        <f>MONTH(Data[[#This Row],[Date]])</f>
        <v>5</v>
      </c>
      <c r="O9" s="7">
        <f>YEAR(Data[[#This Row],[Date]])</f>
        <v>2019</v>
      </c>
      <c r="P9" s="2">
        <v>0.48472222222222222</v>
      </c>
      <c r="Q9" t="s">
        <v>22</v>
      </c>
      <c r="R9">
        <v>514.91999999999996</v>
      </c>
      <c r="S9">
        <v>183.9</v>
      </c>
      <c r="T9">
        <v>8</v>
      </c>
      <c r="X9" t="s">
        <v>1043</v>
      </c>
      <c r="Y9" t="s">
        <v>1044</v>
      </c>
    </row>
    <row r="10" spans="1:25" x14ac:dyDescent="0.55000000000000004">
      <c r="A10" t="s">
        <v>39</v>
      </c>
      <c r="B10" t="s">
        <v>17</v>
      </c>
      <c r="C10" t="s">
        <v>18</v>
      </c>
      <c r="D10" t="str">
        <f>"Br. "&amp;Data[[#This Row],[Branch]]&amp;" ("&amp;Data[[#This Row],[City]]&amp;")"</f>
        <v>Br. A (Yangon)</v>
      </c>
      <c r="E10" t="s">
        <v>19</v>
      </c>
      <c r="F10" t="s">
        <v>20</v>
      </c>
      <c r="G10" t="s">
        <v>21</v>
      </c>
      <c r="H10">
        <v>36.26</v>
      </c>
      <c r="I10">
        <v>2</v>
      </c>
      <c r="J10">
        <v>3.6259999999999999</v>
      </c>
      <c r="K10">
        <v>72.52</v>
      </c>
      <c r="L10" s="1">
        <v>43586</v>
      </c>
      <c r="M10" s="7">
        <f>DAY(Data[[#This Row],[Date]])</f>
        <v>1</v>
      </c>
      <c r="N10" s="7">
        <f>MONTH(Data[[#This Row],[Date]])</f>
        <v>5</v>
      </c>
      <c r="O10" s="7">
        <f>YEAR(Data[[#This Row],[Date]])</f>
        <v>2019</v>
      </c>
      <c r="P10" s="2">
        <v>0.71875</v>
      </c>
      <c r="Q10" t="s">
        <v>32</v>
      </c>
      <c r="R10">
        <v>50.764000000000003</v>
      </c>
      <c r="S10">
        <v>18.13</v>
      </c>
      <c r="T10">
        <v>7.2</v>
      </c>
    </row>
    <row r="11" spans="1:25" x14ac:dyDescent="0.55000000000000004">
      <c r="A11" t="s">
        <v>40</v>
      </c>
      <c r="B11" t="s">
        <v>41</v>
      </c>
      <c r="C11" t="s">
        <v>42</v>
      </c>
      <c r="D11" t="str">
        <f>"Br. "&amp;Data[[#This Row],[Branch]]&amp;" ("&amp;Data[[#This Row],[City]]&amp;")"</f>
        <v>Br. B (Mandalay)</v>
      </c>
      <c r="E11" t="s">
        <v>19</v>
      </c>
      <c r="F11" t="s">
        <v>20</v>
      </c>
      <c r="G11" t="s">
        <v>43</v>
      </c>
      <c r="H11">
        <v>54.84</v>
      </c>
      <c r="I11">
        <v>3</v>
      </c>
      <c r="J11">
        <v>8.2260000000000009</v>
      </c>
      <c r="K11">
        <v>164.52</v>
      </c>
      <c r="L11" s="1">
        <v>43586</v>
      </c>
      <c r="M11" s="7">
        <f>DAY(Data[[#This Row],[Date]])</f>
        <v>1</v>
      </c>
      <c r="N11" s="7">
        <f>MONTH(Data[[#This Row],[Date]])</f>
        <v>5</v>
      </c>
      <c r="O11" s="7">
        <f>YEAR(Data[[#This Row],[Date]])</f>
        <v>2019</v>
      </c>
      <c r="P11" s="2">
        <v>0.56041666666666667</v>
      </c>
      <c r="Q11" t="s">
        <v>32</v>
      </c>
      <c r="R11">
        <v>115.164</v>
      </c>
      <c r="S11">
        <v>41.13</v>
      </c>
      <c r="T11">
        <v>5.9</v>
      </c>
    </row>
    <row r="12" spans="1:25" x14ac:dyDescent="0.55000000000000004">
      <c r="A12" t="s">
        <v>44</v>
      </c>
      <c r="B12" t="s">
        <v>41</v>
      </c>
      <c r="C12" t="s">
        <v>42</v>
      </c>
      <c r="D12" t="str">
        <f>"Br. "&amp;Data[[#This Row],[Branch]]&amp;" ("&amp;Data[[#This Row],[City]]&amp;")"</f>
        <v>Br. B (Mandalay)</v>
      </c>
      <c r="E12" t="s">
        <v>19</v>
      </c>
      <c r="F12" t="s">
        <v>20</v>
      </c>
      <c r="G12" t="s">
        <v>45</v>
      </c>
      <c r="H12">
        <v>14.48</v>
      </c>
      <c r="I12">
        <v>4</v>
      </c>
      <c r="J12">
        <v>2.8959999999999999</v>
      </c>
      <c r="K12">
        <v>57.92</v>
      </c>
      <c r="L12" s="1">
        <v>43586</v>
      </c>
      <c r="M12" s="7">
        <f>DAY(Data[[#This Row],[Date]])</f>
        <v>1</v>
      </c>
      <c r="N12" s="7">
        <f>MONTH(Data[[#This Row],[Date]])</f>
        <v>5</v>
      </c>
      <c r="O12" s="7">
        <f>YEAR(Data[[#This Row],[Date]])</f>
        <v>2019</v>
      </c>
      <c r="P12" s="2">
        <v>0.75486111111111109</v>
      </c>
      <c r="Q12" t="s">
        <v>22</v>
      </c>
      <c r="R12">
        <v>40.543999999999997</v>
      </c>
      <c r="S12">
        <v>14.48</v>
      </c>
      <c r="T12">
        <v>4.5</v>
      </c>
    </row>
    <row r="13" spans="1:25" x14ac:dyDescent="0.55000000000000004">
      <c r="A13" t="s">
        <v>46</v>
      </c>
      <c r="B13" t="s">
        <v>41</v>
      </c>
      <c r="C13" t="s">
        <v>42</v>
      </c>
      <c r="D13" t="str">
        <f>"Br. "&amp;Data[[#This Row],[Branch]]&amp;" ("&amp;Data[[#This Row],[City]]&amp;")"</f>
        <v>Br. B (Mandalay)</v>
      </c>
      <c r="E13" t="s">
        <v>19</v>
      </c>
      <c r="F13" t="s">
        <v>30</v>
      </c>
      <c r="G13" t="s">
        <v>27</v>
      </c>
      <c r="H13">
        <v>25.51</v>
      </c>
      <c r="I13">
        <v>4</v>
      </c>
      <c r="J13">
        <v>5.1020000000000003</v>
      </c>
      <c r="K13">
        <v>102.04</v>
      </c>
      <c r="L13" s="1">
        <v>43586</v>
      </c>
      <c r="M13" s="7">
        <f>DAY(Data[[#This Row],[Date]])</f>
        <v>1</v>
      </c>
      <c r="N13" s="7">
        <f>MONTH(Data[[#This Row],[Date]])</f>
        <v>5</v>
      </c>
      <c r="O13" s="7">
        <f>YEAR(Data[[#This Row],[Date]])</f>
        <v>2019</v>
      </c>
      <c r="P13" s="2">
        <v>0.7104166666666667</v>
      </c>
      <c r="Q13" t="s">
        <v>28</v>
      </c>
      <c r="R13">
        <v>71.427999999999997</v>
      </c>
      <c r="S13">
        <v>25.51</v>
      </c>
      <c r="T13">
        <v>6.8</v>
      </c>
    </row>
    <row r="14" spans="1:25" x14ac:dyDescent="0.55000000000000004">
      <c r="A14" t="s">
        <v>47</v>
      </c>
      <c r="B14" t="s">
        <v>17</v>
      </c>
      <c r="C14" t="s">
        <v>18</v>
      </c>
      <c r="D14" t="str">
        <f>"Br. "&amp;Data[[#This Row],[Branch]]&amp;" ("&amp;Data[[#This Row],[City]]&amp;")"</f>
        <v>Br. A (Yangon)</v>
      </c>
      <c r="E14" t="s">
        <v>26</v>
      </c>
      <c r="F14" t="s">
        <v>20</v>
      </c>
      <c r="G14" t="s">
        <v>27</v>
      </c>
      <c r="H14">
        <v>46.95</v>
      </c>
      <c r="I14">
        <v>5</v>
      </c>
      <c r="J14">
        <v>11.737500000000001</v>
      </c>
      <c r="K14">
        <v>234.75</v>
      </c>
      <c r="L14" s="1">
        <v>43586</v>
      </c>
      <c r="M14" s="7">
        <f>DAY(Data[[#This Row],[Date]])</f>
        <v>1</v>
      </c>
      <c r="N14" s="7">
        <f>MONTH(Data[[#This Row],[Date]])</f>
        <v>5</v>
      </c>
      <c r="O14" s="7">
        <f>YEAR(Data[[#This Row],[Date]])</f>
        <v>2019</v>
      </c>
      <c r="P14" s="2">
        <v>0.43402777777777779</v>
      </c>
      <c r="Q14" t="s">
        <v>22</v>
      </c>
      <c r="R14">
        <v>164.32499999999999</v>
      </c>
      <c r="S14">
        <v>58.6875</v>
      </c>
      <c r="T14">
        <v>7.1</v>
      </c>
    </row>
    <row r="15" spans="1:25" x14ac:dyDescent="0.55000000000000004">
      <c r="A15" t="s">
        <v>48</v>
      </c>
      <c r="B15" t="s">
        <v>17</v>
      </c>
      <c r="C15" t="s">
        <v>18</v>
      </c>
      <c r="D15" t="str">
        <f>"Br. "&amp;Data[[#This Row],[Branch]]&amp;" ("&amp;Data[[#This Row],[City]]&amp;")"</f>
        <v>Br. A (Yangon)</v>
      </c>
      <c r="E15" t="s">
        <v>26</v>
      </c>
      <c r="F15" t="s">
        <v>30</v>
      </c>
      <c r="G15" t="s">
        <v>43</v>
      </c>
      <c r="H15">
        <v>43.19</v>
      </c>
      <c r="I15">
        <v>10</v>
      </c>
      <c r="J15">
        <v>21.594999999999999</v>
      </c>
      <c r="K15">
        <v>431.9</v>
      </c>
      <c r="L15" s="1">
        <v>43586</v>
      </c>
      <c r="M15" s="7">
        <f>DAY(Data[[#This Row],[Date]])</f>
        <v>1</v>
      </c>
      <c r="N15" s="7">
        <f>MONTH(Data[[#This Row],[Date]])</f>
        <v>5</v>
      </c>
      <c r="O15" s="7">
        <f>YEAR(Data[[#This Row],[Date]])</f>
        <v>2019</v>
      </c>
      <c r="P15" s="2">
        <v>0.7</v>
      </c>
      <c r="Q15" t="s">
        <v>22</v>
      </c>
      <c r="R15">
        <v>302.33</v>
      </c>
      <c r="S15">
        <v>107.97499999999999</v>
      </c>
      <c r="T15">
        <v>8.1999999999999993</v>
      </c>
    </row>
    <row r="16" spans="1:25" x14ac:dyDescent="0.55000000000000004">
      <c r="A16" t="s">
        <v>49</v>
      </c>
      <c r="B16" t="s">
        <v>17</v>
      </c>
      <c r="C16" t="s">
        <v>18</v>
      </c>
      <c r="D16" t="str">
        <f>"Br. "&amp;Data[[#This Row],[Branch]]&amp;" ("&amp;Data[[#This Row],[City]]&amp;")"</f>
        <v>Br. A (Yangon)</v>
      </c>
      <c r="E16" t="s">
        <v>26</v>
      </c>
      <c r="F16" t="s">
        <v>20</v>
      </c>
      <c r="G16" t="s">
        <v>21</v>
      </c>
      <c r="H16">
        <v>71.38</v>
      </c>
      <c r="I16">
        <v>10</v>
      </c>
      <c r="J16">
        <v>35.69</v>
      </c>
      <c r="K16">
        <v>713.8</v>
      </c>
      <c r="L16" s="1">
        <v>43586</v>
      </c>
      <c r="M16" s="7">
        <f>DAY(Data[[#This Row],[Date]])</f>
        <v>1</v>
      </c>
      <c r="N16" s="7">
        <f>MONTH(Data[[#This Row],[Date]])</f>
        <v>5</v>
      </c>
      <c r="O16" s="7">
        <f>YEAR(Data[[#This Row],[Date]])</f>
        <v>2019</v>
      </c>
      <c r="P16" s="2">
        <v>0.80625000000000002</v>
      </c>
      <c r="Q16" t="s">
        <v>28</v>
      </c>
      <c r="R16">
        <v>499.66</v>
      </c>
      <c r="S16">
        <v>178.45</v>
      </c>
      <c r="T16">
        <v>5.7</v>
      </c>
    </row>
    <row r="17" spans="1:20" x14ac:dyDescent="0.55000000000000004">
      <c r="A17" t="s">
        <v>50</v>
      </c>
      <c r="B17" t="s">
        <v>41</v>
      </c>
      <c r="C17" t="s">
        <v>42</v>
      </c>
      <c r="D17" t="str">
        <f>"Br. "&amp;Data[[#This Row],[Branch]]&amp;" ("&amp;Data[[#This Row],[City]]&amp;")"</f>
        <v>Br. B (Mandalay)</v>
      </c>
      <c r="E17" t="s">
        <v>19</v>
      </c>
      <c r="F17" t="s">
        <v>20</v>
      </c>
      <c r="G17" t="s">
        <v>35</v>
      </c>
      <c r="H17">
        <v>93.72</v>
      </c>
      <c r="I17">
        <v>6</v>
      </c>
      <c r="J17">
        <v>28.116</v>
      </c>
      <c r="K17">
        <v>562.32000000000005</v>
      </c>
      <c r="L17" s="1">
        <v>43586</v>
      </c>
      <c r="M17" s="7">
        <f>DAY(Data[[#This Row],[Date]])</f>
        <v>1</v>
      </c>
      <c r="N17" s="7">
        <f>MONTH(Data[[#This Row],[Date]])</f>
        <v>5</v>
      </c>
      <c r="O17" s="7">
        <f>YEAR(Data[[#This Row],[Date]])</f>
        <v>2019</v>
      </c>
      <c r="P17" s="2">
        <v>0.67986111111111114</v>
      </c>
      <c r="Q17" t="s">
        <v>28</v>
      </c>
      <c r="R17">
        <v>393.62400000000002</v>
      </c>
      <c r="S17">
        <v>140.58000000000001</v>
      </c>
      <c r="T17">
        <v>4.5</v>
      </c>
    </row>
    <row r="18" spans="1:20" x14ac:dyDescent="0.55000000000000004">
      <c r="A18" t="s">
        <v>51</v>
      </c>
      <c r="B18" t="s">
        <v>17</v>
      </c>
      <c r="C18" t="s">
        <v>18</v>
      </c>
      <c r="D18" t="str">
        <f>"Br. "&amp;Data[[#This Row],[Branch]]&amp;" ("&amp;Data[[#This Row],[City]]&amp;")"</f>
        <v>Br. A (Yangon)</v>
      </c>
      <c r="E18" t="s">
        <v>19</v>
      </c>
      <c r="F18" t="s">
        <v>20</v>
      </c>
      <c r="G18" t="s">
        <v>21</v>
      </c>
      <c r="H18">
        <v>68.930000000000007</v>
      </c>
      <c r="I18">
        <v>7</v>
      </c>
      <c r="J18">
        <v>24.125499999999999</v>
      </c>
      <c r="K18">
        <v>482.51</v>
      </c>
      <c r="L18" s="1">
        <v>43586</v>
      </c>
      <c r="M18" s="7">
        <f>DAY(Data[[#This Row],[Date]])</f>
        <v>1</v>
      </c>
      <c r="N18" s="7">
        <f>MONTH(Data[[#This Row],[Date]])</f>
        <v>5</v>
      </c>
      <c r="O18" s="7">
        <f>YEAR(Data[[#This Row],[Date]])</f>
        <v>2019</v>
      </c>
      <c r="P18" s="2">
        <v>0.46041666666666664</v>
      </c>
      <c r="Q18" t="s">
        <v>32</v>
      </c>
      <c r="R18">
        <v>337.75700000000001</v>
      </c>
      <c r="S18">
        <v>120.6275</v>
      </c>
      <c r="T18">
        <v>4.5999999999999996</v>
      </c>
    </row>
    <row r="19" spans="1:20" x14ac:dyDescent="0.55000000000000004">
      <c r="A19" t="s">
        <v>52</v>
      </c>
      <c r="B19" t="s">
        <v>17</v>
      </c>
      <c r="C19" t="s">
        <v>18</v>
      </c>
      <c r="D19" t="str">
        <f>"Br. "&amp;Data[[#This Row],[Branch]]&amp;" ("&amp;Data[[#This Row],[City]]&amp;")"</f>
        <v>Br. A (Yangon)</v>
      </c>
      <c r="E19" t="s">
        <v>26</v>
      </c>
      <c r="F19" t="s">
        <v>30</v>
      </c>
      <c r="G19" t="s">
        <v>35</v>
      </c>
      <c r="H19">
        <v>72.61</v>
      </c>
      <c r="I19">
        <v>6</v>
      </c>
      <c r="J19">
        <v>21.783000000000001</v>
      </c>
      <c r="K19">
        <v>435.66</v>
      </c>
      <c r="L19" s="1">
        <v>43586</v>
      </c>
      <c r="M19" s="7">
        <f>DAY(Data[[#This Row],[Date]])</f>
        <v>1</v>
      </c>
      <c r="N19" s="7">
        <f>MONTH(Data[[#This Row],[Date]])</f>
        <v>5</v>
      </c>
      <c r="O19" s="7">
        <f>YEAR(Data[[#This Row],[Date]])</f>
        <v>2019</v>
      </c>
      <c r="P19" s="2">
        <v>0.44374999999999998</v>
      </c>
      <c r="Q19" t="s">
        <v>32</v>
      </c>
      <c r="R19">
        <v>304.96199999999999</v>
      </c>
      <c r="S19">
        <v>108.91500000000001</v>
      </c>
      <c r="T19">
        <v>6.9</v>
      </c>
    </row>
    <row r="20" spans="1:20" x14ac:dyDescent="0.55000000000000004">
      <c r="A20" t="s">
        <v>53</v>
      </c>
      <c r="B20" t="s">
        <v>17</v>
      </c>
      <c r="C20" t="s">
        <v>18</v>
      </c>
      <c r="D20" t="str">
        <f>"Br. "&amp;Data[[#This Row],[Branch]]&amp;" ("&amp;Data[[#This Row],[City]]&amp;")"</f>
        <v>Br. A (Yangon)</v>
      </c>
      <c r="E20" t="s">
        <v>26</v>
      </c>
      <c r="F20" t="s">
        <v>30</v>
      </c>
      <c r="G20" t="s">
        <v>43</v>
      </c>
      <c r="H20">
        <v>54.67</v>
      </c>
      <c r="I20">
        <v>3</v>
      </c>
      <c r="J20">
        <v>8.2004999999999999</v>
      </c>
      <c r="K20">
        <v>164.01</v>
      </c>
      <c r="L20" s="1">
        <v>43586</v>
      </c>
      <c r="M20" s="7">
        <f>DAY(Data[[#This Row],[Date]])</f>
        <v>1</v>
      </c>
      <c r="N20" s="7">
        <f>MONTH(Data[[#This Row],[Date]])</f>
        <v>5</v>
      </c>
      <c r="O20" s="7">
        <f>YEAR(Data[[#This Row],[Date]])</f>
        <v>2019</v>
      </c>
      <c r="P20" s="2">
        <v>0.75</v>
      </c>
      <c r="Q20" t="s">
        <v>32</v>
      </c>
      <c r="R20">
        <v>114.807</v>
      </c>
      <c r="S20">
        <v>41.002499999999998</v>
      </c>
      <c r="T20">
        <v>8.6</v>
      </c>
    </row>
    <row r="21" spans="1:20" x14ac:dyDescent="0.55000000000000004">
      <c r="A21" t="s">
        <v>54</v>
      </c>
      <c r="B21" t="s">
        <v>41</v>
      </c>
      <c r="C21" t="s">
        <v>42</v>
      </c>
      <c r="D21" t="str">
        <f>"Br. "&amp;Data[[#This Row],[Branch]]&amp;" ("&amp;Data[[#This Row],[City]]&amp;")"</f>
        <v>Br. B (Mandalay)</v>
      </c>
      <c r="E21" t="s">
        <v>26</v>
      </c>
      <c r="F21" t="s">
        <v>20</v>
      </c>
      <c r="G21" t="s">
        <v>31</v>
      </c>
      <c r="H21">
        <v>40.299999999999997</v>
      </c>
      <c r="I21">
        <v>2</v>
      </c>
      <c r="J21">
        <v>4.03</v>
      </c>
      <c r="K21">
        <v>80.599999999999994</v>
      </c>
      <c r="L21" s="1">
        <v>43586</v>
      </c>
      <c r="M21" s="7">
        <f>DAY(Data[[#This Row],[Date]])</f>
        <v>1</v>
      </c>
      <c r="N21" s="7">
        <f>MONTH(Data[[#This Row],[Date]])</f>
        <v>5</v>
      </c>
      <c r="O21" s="7">
        <f>YEAR(Data[[#This Row],[Date]])</f>
        <v>2019</v>
      </c>
      <c r="P21" s="2">
        <v>0.64583333333333337</v>
      </c>
      <c r="Q21" t="s">
        <v>22</v>
      </c>
      <c r="R21">
        <v>56.42</v>
      </c>
      <c r="S21">
        <v>20.149999999999999</v>
      </c>
      <c r="T21">
        <v>4.4000000000000004</v>
      </c>
    </row>
    <row r="22" spans="1:20" x14ac:dyDescent="0.55000000000000004">
      <c r="A22" t="s">
        <v>55</v>
      </c>
      <c r="B22" t="s">
        <v>24</v>
      </c>
      <c r="C22" t="s">
        <v>25</v>
      </c>
      <c r="D22" t="str">
        <f>"Br. "&amp;Data[[#This Row],[Branch]]&amp;" ("&amp;Data[[#This Row],[City]]&amp;")"</f>
        <v>Br. C (Naypyitaw)</v>
      </c>
      <c r="E22" t="s">
        <v>19</v>
      </c>
      <c r="F22" t="s">
        <v>30</v>
      </c>
      <c r="G22" t="s">
        <v>27</v>
      </c>
      <c r="H22">
        <v>86.04</v>
      </c>
      <c r="I22">
        <v>5</v>
      </c>
      <c r="J22">
        <v>21.51</v>
      </c>
      <c r="K22">
        <v>430.2</v>
      </c>
      <c r="L22" s="1">
        <v>43586</v>
      </c>
      <c r="M22" s="7">
        <f>DAY(Data[[#This Row],[Date]])</f>
        <v>1</v>
      </c>
      <c r="N22" s="7">
        <f>MONTH(Data[[#This Row],[Date]])</f>
        <v>5</v>
      </c>
      <c r="O22" s="7">
        <f>YEAR(Data[[#This Row],[Date]])</f>
        <v>2019</v>
      </c>
      <c r="P22" s="2">
        <v>0.47499999999999998</v>
      </c>
      <c r="Q22" t="s">
        <v>22</v>
      </c>
      <c r="R22">
        <v>301.14</v>
      </c>
      <c r="S22">
        <v>107.55</v>
      </c>
      <c r="T22">
        <v>4.8</v>
      </c>
    </row>
    <row r="23" spans="1:20" x14ac:dyDescent="0.55000000000000004">
      <c r="A23" t="s">
        <v>56</v>
      </c>
      <c r="B23" t="s">
        <v>41</v>
      </c>
      <c r="C23" t="s">
        <v>42</v>
      </c>
      <c r="D23" t="str">
        <f>"Br. "&amp;Data[[#This Row],[Branch]]&amp;" ("&amp;Data[[#This Row],[City]]&amp;")"</f>
        <v>Br. B (Mandalay)</v>
      </c>
      <c r="E23" t="s">
        <v>26</v>
      </c>
      <c r="F23" t="s">
        <v>30</v>
      </c>
      <c r="G23" t="s">
        <v>21</v>
      </c>
      <c r="H23">
        <v>87.98</v>
      </c>
      <c r="I23">
        <v>3</v>
      </c>
      <c r="J23">
        <v>13.196999999999999</v>
      </c>
      <c r="K23">
        <v>263.94</v>
      </c>
      <c r="L23" s="1">
        <v>43586</v>
      </c>
      <c r="M23" s="7">
        <f>DAY(Data[[#This Row],[Date]])</f>
        <v>1</v>
      </c>
      <c r="N23" s="7">
        <f>MONTH(Data[[#This Row],[Date]])</f>
        <v>5</v>
      </c>
      <c r="O23" s="7">
        <f>YEAR(Data[[#This Row],[Date]])</f>
        <v>2019</v>
      </c>
      <c r="P23" s="2">
        <v>0.44444444444444442</v>
      </c>
      <c r="Q23" t="s">
        <v>22</v>
      </c>
      <c r="R23">
        <v>184.75800000000001</v>
      </c>
      <c r="S23">
        <v>65.984999999999999</v>
      </c>
      <c r="T23">
        <v>5.0999999999999996</v>
      </c>
    </row>
    <row r="24" spans="1:20" x14ac:dyDescent="0.55000000000000004">
      <c r="A24" t="s">
        <v>57</v>
      </c>
      <c r="B24" t="s">
        <v>41</v>
      </c>
      <c r="C24" t="s">
        <v>42</v>
      </c>
      <c r="D24" t="str">
        <f>"Br. "&amp;Data[[#This Row],[Branch]]&amp;" ("&amp;Data[[#This Row],[City]]&amp;")"</f>
        <v>Br. B (Mandalay)</v>
      </c>
      <c r="E24" t="s">
        <v>26</v>
      </c>
      <c r="F24" t="s">
        <v>30</v>
      </c>
      <c r="G24" t="s">
        <v>31</v>
      </c>
      <c r="H24">
        <v>33.200000000000003</v>
      </c>
      <c r="I24">
        <v>2</v>
      </c>
      <c r="J24">
        <v>3.32</v>
      </c>
      <c r="K24">
        <v>66.400000000000006</v>
      </c>
      <c r="L24" s="1">
        <v>43586</v>
      </c>
      <c r="M24" s="7">
        <f>DAY(Data[[#This Row],[Date]])</f>
        <v>1</v>
      </c>
      <c r="N24" s="7">
        <f>MONTH(Data[[#This Row],[Date]])</f>
        <v>5</v>
      </c>
      <c r="O24" s="7">
        <f>YEAR(Data[[#This Row],[Date]])</f>
        <v>2019</v>
      </c>
      <c r="P24" s="2">
        <v>0.51388888888888884</v>
      </c>
      <c r="Q24" t="s">
        <v>32</v>
      </c>
      <c r="R24">
        <v>46.48</v>
      </c>
      <c r="S24">
        <v>16.600000000000001</v>
      </c>
      <c r="T24">
        <v>4.4000000000000004</v>
      </c>
    </row>
    <row r="25" spans="1:20" x14ac:dyDescent="0.55000000000000004">
      <c r="A25" t="s">
        <v>58</v>
      </c>
      <c r="B25" t="s">
        <v>17</v>
      </c>
      <c r="C25" t="s">
        <v>18</v>
      </c>
      <c r="D25" t="str">
        <f>"Br. "&amp;Data[[#This Row],[Branch]]&amp;" ("&amp;Data[[#This Row],[City]]&amp;")"</f>
        <v>Br. A (Yangon)</v>
      </c>
      <c r="E25" t="s">
        <v>26</v>
      </c>
      <c r="F25" t="s">
        <v>30</v>
      </c>
      <c r="G25" t="s">
        <v>27</v>
      </c>
      <c r="H25">
        <v>34.56</v>
      </c>
      <c r="I25">
        <v>5</v>
      </c>
      <c r="J25">
        <v>8.64</v>
      </c>
      <c r="K25">
        <v>172.8</v>
      </c>
      <c r="L25" s="1">
        <v>43586</v>
      </c>
      <c r="M25" s="7">
        <f>DAY(Data[[#This Row],[Date]])</f>
        <v>1</v>
      </c>
      <c r="N25" s="7">
        <f>MONTH(Data[[#This Row],[Date]])</f>
        <v>5</v>
      </c>
      <c r="O25" s="7">
        <f>YEAR(Data[[#This Row],[Date]])</f>
        <v>2019</v>
      </c>
      <c r="P25" s="2">
        <v>0.46875</v>
      </c>
      <c r="Q25" t="s">
        <v>22</v>
      </c>
      <c r="R25">
        <v>120.96</v>
      </c>
      <c r="S25">
        <v>43.2</v>
      </c>
      <c r="T25">
        <v>9.9</v>
      </c>
    </row>
    <row r="26" spans="1:20" x14ac:dyDescent="0.55000000000000004">
      <c r="A26" t="s">
        <v>59</v>
      </c>
      <c r="B26" t="s">
        <v>17</v>
      </c>
      <c r="C26" t="s">
        <v>18</v>
      </c>
      <c r="D26" t="str">
        <f>"Br. "&amp;Data[[#This Row],[Branch]]&amp;" ("&amp;Data[[#This Row],[City]]&amp;")"</f>
        <v>Br. A (Yangon)</v>
      </c>
      <c r="E26" t="s">
        <v>19</v>
      </c>
      <c r="F26" t="s">
        <v>30</v>
      </c>
      <c r="G26" t="s">
        <v>35</v>
      </c>
      <c r="H26">
        <v>88.63</v>
      </c>
      <c r="I26">
        <v>3</v>
      </c>
      <c r="J26">
        <v>13.294499999999999</v>
      </c>
      <c r="K26">
        <v>265.89</v>
      </c>
      <c r="L26" s="1">
        <v>43586</v>
      </c>
      <c r="M26" s="7">
        <f>DAY(Data[[#This Row],[Date]])</f>
        <v>1</v>
      </c>
      <c r="N26" s="7">
        <f>MONTH(Data[[#This Row],[Date]])</f>
        <v>5</v>
      </c>
      <c r="O26" s="7">
        <f>YEAR(Data[[#This Row],[Date]])</f>
        <v>2019</v>
      </c>
      <c r="P26" s="2">
        <v>0.73333333333333328</v>
      </c>
      <c r="Q26" t="s">
        <v>22</v>
      </c>
      <c r="R26">
        <v>186.12299999999999</v>
      </c>
      <c r="S26">
        <v>66.472499999999997</v>
      </c>
      <c r="T26">
        <v>6</v>
      </c>
    </row>
    <row r="27" spans="1:20" x14ac:dyDescent="0.55000000000000004">
      <c r="A27" t="s">
        <v>60</v>
      </c>
      <c r="B27" t="s">
        <v>17</v>
      </c>
      <c r="C27" t="s">
        <v>18</v>
      </c>
      <c r="D27" t="str">
        <f>"Br. "&amp;Data[[#This Row],[Branch]]&amp;" ("&amp;Data[[#This Row],[City]]&amp;")"</f>
        <v>Br. A (Yangon)</v>
      </c>
      <c r="E27" t="s">
        <v>19</v>
      </c>
      <c r="F27" t="s">
        <v>20</v>
      </c>
      <c r="G27" t="s">
        <v>31</v>
      </c>
      <c r="H27">
        <v>52.59</v>
      </c>
      <c r="I27">
        <v>8</v>
      </c>
      <c r="J27">
        <v>21.036000000000001</v>
      </c>
      <c r="K27">
        <v>420.72</v>
      </c>
      <c r="L27" s="1">
        <v>43586</v>
      </c>
      <c r="M27" s="7">
        <f>DAY(Data[[#This Row],[Date]])</f>
        <v>1</v>
      </c>
      <c r="N27" s="7">
        <f>MONTH(Data[[#This Row],[Date]])</f>
        <v>5</v>
      </c>
      <c r="O27" s="7">
        <f>YEAR(Data[[#This Row],[Date]])</f>
        <v>2019</v>
      </c>
      <c r="P27" s="2">
        <v>0.80555555555555558</v>
      </c>
      <c r="Q27" t="s">
        <v>32</v>
      </c>
      <c r="R27">
        <v>294.50400000000002</v>
      </c>
      <c r="S27">
        <v>105.18</v>
      </c>
      <c r="T27">
        <v>8.5</v>
      </c>
    </row>
    <row r="28" spans="1:20" x14ac:dyDescent="0.55000000000000004">
      <c r="A28" t="s">
        <v>61</v>
      </c>
      <c r="B28" t="s">
        <v>41</v>
      </c>
      <c r="C28" t="s">
        <v>42</v>
      </c>
      <c r="D28" t="str">
        <f>"Br. "&amp;Data[[#This Row],[Branch]]&amp;" ("&amp;Data[[#This Row],[City]]&amp;")"</f>
        <v>Br. B (Mandalay)</v>
      </c>
      <c r="E28" t="s">
        <v>26</v>
      </c>
      <c r="F28" t="s">
        <v>30</v>
      </c>
      <c r="G28" t="s">
        <v>45</v>
      </c>
      <c r="H28">
        <v>33.520000000000003</v>
      </c>
      <c r="I28">
        <v>1</v>
      </c>
      <c r="J28">
        <v>1.6759999999999999</v>
      </c>
      <c r="K28">
        <v>33.520000000000003</v>
      </c>
      <c r="L28" s="1">
        <v>43586</v>
      </c>
      <c r="M28" s="7">
        <f>DAY(Data[[#This Row],[Date]])</f>
        <v>1</v>
      </c>
      <c r="N28" s="7">
        <f>MONTH(Data[[#This Row],[Date]])</f>
        <v>5</v>
      </c>
      <c r="O28" s="7">
        <f>YEAR(Data[[#This Row],[Date]])</f>
        <v>2019</v>
      </c>
      <c r="P28" s="2">
        <v>0.64652777777777781</v>
      </c>
      <c r="Q28" t="s">
        <v>28</v>
      </c>
      <c r="R28">
        <v>23.463999999999999</v>
      </c>
      <c r="S28">
        <v>8.3800000000000008</v>
      </c>
      <c r="T28">
        <v>6.7</v>
      </c>
    </row>
    <row r="29" spans="1:20" x14ac:dyDescent="0.55000000000000004">
      <c r="A29" t="s">
        <v>62</v>
      </c>
      <c r="B29" t="s">
        <v>17</v>
      </c>
      <c r="C29" t="s">
        <v>18</v>
      </c>
      <c r="D29" t="str">
        <f>"Br. "&amp;Data[[#This Row],[Branch]]&amp;" ("&amp;Data[[#This Row],[City]]&amp;")"</f>
        <v>Br. A (Yangon)</v>
      </c>
      <c r="E29" t="s">
        <v>26</v>
      </c>
      <c r="F29" t="s">
        <v>20</v>
      </c>
      <c r="G29" t="s">
        <v>45</v>
      </c>
      <c r="H29">
        <v>87.67</v>
      </c>
      <c r="I29">
        <v>2</v>
      </c>
      <c r="J29">
        <v>8.7669999999999995</v>
      </c>
      <c r="K29">
        <v>175.34</v>
      </c>
      <c r="L29" s="1">
        <v>43586</v>
      </c>
      <c r="M29" s="7">
        <f>DAY(Data[[#This Row],[Date]])</f>
        <v>1</v>
      </c>
      <c r="N29" s="7">
        <f>MONTH(Data[[#This Row],[Date]])</f>
        <v>5</v>
      </c>
      <c r="O29" s="7">
        <f>YEAR(Data[[#This Row],[Date]])</f>
        <v>2019</v>
      </c>
      <c r="P29" s="2">
        <v>0.51180555555555551</v>
      </c>
      <c r="Q29" t="s">
        <v>32</v>
      </c>
      <c r="R29">
        <v>122.738</v>
      </c>
      <c r="S29">
        <v>43.835000000000001</v>
      </c>
      <c r="T29">
        <v>7.7</v>
      </c>
    </row>
    <row r="30" spans="1:20" x14ac:dyDescent="0.55000000000000004">
      <c r="A30" t="s">
        <v>63</v>
      </c>
      <c r="B30" t="s">
        <v>41</v>
      </c>
      <c r="C30" t="s">
        <v>42</v>
      </c>
      <c r="D30" t="str">
        <f>"Br. "&amp;Data[[#This Row],[Branch]]&amp;" ("&amp;Data[[#This Row],[City]]&amp;")"</f>
        <v>Br. B (Mandalay)</v>
      </c>
      <c r="E30" t="s">
        <v>26</v>
      </c>
      <c r="F30" t="s">
        <v>20</v>
      </c>
      <c r="G30" t="s">
        <v>43</v>
      </c>
      <c r="H30">
        <v>88.36</v>
      </c>
      <c r="I30">
        <v>5</v>
      </c>
      <c r="J30">
        <v>22.09</v>
      </c>
      <c r="K30">
        <v>441.8</v>
      </c>
      <c r="L30" s="1">
        <v>43586</v>
      </c>
      <c r="M30" s="7">
        <f>DAY(Data[[#This Row],[Date]])</f>
        <v>1</v>
      </c>
      <c r="N30" s="7">
        <f>MONTH(Data[[#This Row],[Date]])</f>
        <v>5</v>
      </c>
      <c r="O30" s="7">
        <f>YEAR(Data[[#This Row],[Date]])</f>
        <v>2019</v>
      </c>
      <c r="P30" s="2">
        <v>0.82499999999999996</v>
      </c>
      <c r="Q30" t="s">
        <v>28</v>
      </c>
      <c r="R30">
        <v>309.26</v>
      </c>
      <c r="S30">
        <v>110.45</v>
      </c>
      <c r="T30">
        <v>9.6</v>
      </c>
    </row>
    <row r="31" spans="1:20" x14ac:dyDescent="0.55000000000000004">
      <c r="A31" t="s">
        <v>64</v>
      </c>
      <c r="B31" t="s">
        <v>17</v>
      </c>
      <c r="C31" t="s">
        <v>18</v>
      </c>
      <c r="D31" t="str">
        <f>"Br. "&amp;Data[[#This Row],[Branch]]&amp;" ("&amp;Data[[#This Row],[City]]&amp;")"</f>
        <v>Br. A (Yangon)</v>
      </c>
      <c r="E31" t="s">
        <v>26</v>
      </c>
      <c r="F31" t="s">
        <v>30</v>
      </c>
      <c r="G31" t="s">
        <v>21</v>
      </c>
      <c r="H31">
        <v>24.89</v>
      </c>
      <c r="I31">
        <v>9</v>
      </c>
      <c r="J31">
        <v>11.2005</v>
      </c>
      <c r="K31">
        <v>224.01</v>
      </c>
      <c r="L31" s="1">
        <v>43586</v>
      </c>
      <c r="M31" s="7">
        <f>DAY(Data[[#This Row],[Date]])</f>
        <v>1</v>
      </c>
      <c r="N31" s="7">
        <f>MONTH(Data[[#This Row],[Date]])</f>
        <v>5</v>
      </c>
      <c r="O31" s="7">
        <f>YEAR(Data[[#This Row],[Date]])</f>
        <v>2019</v>
      </c>
      <c r="P31" s="2">
        <v>0.65</v>
      </c>
      <c r="Q31" t="s">
        <v>28</v>
      </c>
      <c r="R31">
        <v>156.80699999999999</v>
      </c>
      <c r="S31">
        <v>56.002499999999998</v>
      </c>
      <c r="T31">
        <v>7.4</v>
      </c>
    </row>
    <row r="32" spans="1:20" x14ac:dyDescent="0.55000000000000004">
      <c r="A32" t="s">
        <v>65</v>
      </c>
      <c r="B32" t="s">
        <v>41</v>
      </c>
      <c r="C32" t="s">
        <v>42</v>
      </c>
      <c r="D32" t="str">
        <f>"Br. "&amp;Data[[#This Row],[Branch]]&amp;" ("&amp;Data[[#This Row],[City]]&amp;")"</f>
        <v>Br. B (Mandalay)</v>
      </c>
      <c r="E32" t="s">
        <v>26</v>
      </c>
      <c r="F32" t="s">
        <v>30</v>
      </c>
      <c r="G32" t="s">
        <v>45</v>
      </c>
      <c r="H32">
        <v>94.13</v>
      </c>
      <c r="I32">
        <v>5</v>
      </c>
      <c r="J32">
        <v>23.532499999999999</v>
      </c>
      <c r="K32">
        <v>470.65</v>
      </c>
      <c r="L32" s="1">
        <v>43586</v>
      </c>
      <c r="M32" s="7">
        <f>DAY(Data[[#This Row],[Date]])</f>
        <v>1</v>
      </c>
      <c r="N32" s="7">
        <f>MONTH(Data[[#This Row],[Date]])</f>
        <v>5</v>
      </c>
      <c r="O32" s="7">
        <f>YEAR(Data[[#This Row],[Date]])</f>
        <v>2019</v>
      </c>
      <c r="P32" s="2">
        <v>0.81874999999999998</v>
      </c>
      <c r="Q32" t="s">
        <v>32</v>
      </c>
      <c r="R32">
        <v>329.45499999999998</v>
      </c>
      <c r="S32">
        <v>117.66249999999999</v>
      </c>
      <c r="T32">
        <v>4.8</v>
      </c>
    </row>
    <row r="33" spans="1:20" x14ac:dyDescent="0.55000000000000004">
      <c r="A33" t="s">
        <v>66</v>
      </c>
      <c r="B33" t="s">
        <v>41</v>
      </c>
      <c r="C33" t="s">
        <v>42</v>
      </c>
      <c r="D33" t="str">
        <f>"Br. "&amp;Data[[#This Row],[Branch]]&amp;" ("&amp;Data[[#This Row],[City]]&amp;")"</f>
        <v>Br. B (Mandalay)</v>
      </c>
      <c r="E33" t="s">
        <v>19</v>
      </c>
      <c r="F33" t="s">
        <v>30</v>
      </c>
      <c r="G33" t="s">
        <v>35</v>
      </c>
      <c r="H33">
        <v>78.069999999999993</v>
      </c>
      <c r="I33">
        <v>9</v>
      </c>
      <c r="J33">
        <v>35.131500000000003</v>
      </c>
      <c r="K33">
        <v>702.63</v>
      </c>
      <c r="L33" s="1">
        <v>43586</v>
      </c>
      <c r="M33" s="7">
        <f>DAY(Data[[#This Row],[Date]])</f>
        <v>1</v>
      </c>
      <c r="N33" s="7">
        <f>MONTH(Data[[#This Row],[Date]])</f>
        <v>5</v>
      </c>
      <c r="O33" s="7">
        <f>YEAR(Data[[#This Row],[Date]])</f>
        <v>2019</v>
      </c>
      <c r="P33" s="2">
        <v>0.52986111111111112</v>
      </c>
      <c r="Q33" t="s">
        <v>28</v>
      </c>
      <c r="R33">
        <v>491.84100000000001</v>
      </c>
      <c r="S33">
        <v>175.6575</v>
      </c>
      <c r="T33">
        <v>4.5</v>
      </c>
    </row>
    <row r="34" spans="1:20" x14ac:dyDescent="0.55000000000000004">
      <c r="A34" t="s">
        <v>67</v>
      </c>
      <c r="B34" t="s">
        <v>41</v>
      </c>
      <c r="C34" t="s">
        <v>42</v>
      </c>
      <c r="D34" t="str">
        <f>"Br. "&amp;Data[[#This Row],[Branch]]&amp;" ("&amp;Data[[#This Row],[City]]&amp;")"</f>
        <v>Br. B (Mandalay)</v>
      </c>
      <c r="E34" t="s">
        <v>26</v>
      </c>
      <c r="F34" t="s">
        <v>30</v>
      </c>
      <c r="G34" t="s">
        <v>35</v>
      </c>
      <c r="H34">
        <v>83.78</v>
      </c>
      <c r="I34">
        <v>8</v>
      </c>
      <c r="J34">
        <v>33.512</v>
      </c>
      <c r="K34">
        <v>670.24</v>
      </c>
      <c r="L34" s="1">
        <v>43586</v>
      </c>
      <c r="M34" s="7">
        <f>DAY(Data[[#This Row],[Date]])</f>
        <v>1</v>
      </c>
      <c r="N34" s="7">
        <f>MONTH(Data[[#This Row],[Date]])</f>
        <v>5</v>
      </c>
      <c r="O34" s="7">
        <f>YEAR(Data[[#This Row],[Date]])</f>
        <v>2019</v>
      </c>
      <c r="P34" s="2">
        <v>0.61736111111111114</v>
      </c>
      <c r="Q34" t="s">
        <v>28</v>
      </c>
      <c r="R34">
        <v>469.16800000000001</v>
      </c>
      <c r="S34">
        <v>167.56</v>
      </c>
      <c r="T34">
        <v>5.0999999999999996</v>
      </c>
    </row>
    <row r="35" spans="1:20" x14ac:dyDescent="0.55000000000000004">
      <c r="A35" t="s">
        <v>68</v>
      </c>
      <c r="B35" t="s">
        <v>17</v>
      </c>
      <c r="C35" t="s">
        <v>18</v>
      </c>
      <c r="D35" t="str">
        <f>"Br. "&amp;Data[[#This Row],[Branch]]&amp;" ("&amp;Data[[#This Row],[City]]&amp;")"</f>
        <v>Br. A (Yangon)</v>
      </c>
      <c r="E35" t="s">
        <v>26</v>
      </c>
      <c r="F35" t="s">
        <v>30</v>
      </c>
      <c r="G35" t="s">
        <v>21</v>
      </c>
      <c r="H35">
        <v>96.58</v>
      </c>
      <c r="I35">
        <v>2</v>
      </c>
      <c r="J35">
        <v>9.6579999999999995</v>
      </c>
      <c r="K35">
        <v>193.16</v>
      </c>
      <c r="L35" s="1">
        <v>43586</v>
      </c>
      <c r="M35" s="7">
        <f>DAY(Data[[#This Row],[Date]])</f>
        <v>1</v>
      </c>
      <c r="N35" s="7">
        <f>MONTH(Data[[#This Row],[Date]])</f>
        <v>5</v>
      </c>
      <c r="O35" s="7">
        <f>YEAR(Data[[#This Row],[Date]])</f>
        <v>2019</v>
      </c>
      <c r="P35" s="2">
        <v>0.42499999999999999</v>
      </c>
      <c r="Q35" t="s">
        <v>32</v>
      </c>
      <c r="R35">
        <v>135.21199999999999</v>
      </c>
      <c r="S35">
        <v>48.29</v>
      </c>
      <c r="T35">
        <v>5.0999999999999996</v>
      </c>
    </row>
    <row r="36" spans="1:20" x14ac:dyDescent="0.55000000000000004">
      <c r="A36" t="s">
        <v>69</v>
      </c>
      <c r="B36" t="s">
        <v>24</v>
      </c>
      <c r="C36" t="s">
        <v>25</v>
      </c>
      <c r="D36" t="str">
        <f>"Br. "&amp;Data[[#This Row],[Branch]]&amp;" ("&amp;Data[[#This Row],[City]]&amp;")"</f>
        <v>Br. C (Naypyitaw)</v>
      </c>
      <c r="E36" t="s">
        <v>19</v>
      </c>
      <c r="F36" t="s">
        <v>20</v>
      </c>
      <c r="G36" t="s">
        <v>43</v>
      </c>
      <c r="H36">
        <v>99.42</v>
      </c>
      <c r="I36">
        <v>4</v>
      </c>
      <c r="J36">
        <v>19.884</v>
      </c>
      <c r="K36">
        <v>397.68</v>
      </c>
      <c r="L36" s="1">
        <v>43586</v>
      </c>
      <c r="M36" s="7">
        <f>DAY(Data[[#This Row],[Date]])</f>
        <v>1</v>
      </c>
      <c r="N36" s="7">
        <f>MONTH(Data[[#This Row],[Date]])</f>
        <v>5</v>
      </c>
      <c r="O36" s="7">
        <f>YEAR(Data[[#This Row],[Date]])</f>
        <v>2019</v>
      </c>
      <c r="P36" s="2">
        <v>0.44583333333333336</v>
      </c>
      <c r="Q36" t="s">
        <v>22</v>
      </c>
      <c r="R36">
        <v>278.37599999999998</v>
      </c>
      <c r="S36">
        <v>99.42</v>
      </c>
      <c r="T36">
        <v>7.5</v>
      </c>
    </row>
    <row r="37" spans="1:20" x14ac:dyDescent="0.55000000000000004">
      <c r="A37" t="s">
        <v>70</v>
      </c>
      <c r="B37" t="s">
        <v>24</v>
      </c>
      <c r="C37" t="s">
        <v>25</v>
      </c>
      <c r="D37" t="str">
        <f>"Br. "&amp;Data[[#This Row],[Branch]]&amp;" ("&amp;Data[[#This Row],[City]]&amp;")"</f>
        <v>Br. C (Naypyitaw)</v>
      </c>
      <c r="E37" t="s">
        <v>19</v>
      </c>
      <c r="F37" t="s">
        <v>20</v>
      </c>
      <c r="G37" t="s">
        <v>35</v>
      </c>
      <c r="H37">
        <v>68.12</v>
      </c>
      <c r="I37">
        <v>1</v>
      </c>
      <c r="J37">
        <v>3.4060000000000001</v>
      </c>
      <c r="K37">
        <v>68.12</v>
      </c>
      <c r="L37" s="1">
        <v>43586</v>
      </c>
      <c r="M37" s="7">
        <f>DAY(Data[[#This Row],[Date]])</f>
        <v>1</v>
      </c>
      <c r="N37" s="7">
        <f>MONTH(Data[[#This Row],[Date]])</f>
        <v>5</v>
      </c>
      <c r="O37" s="7">
        <f>YEAR(Data[[#This Row],[Date]])</f>
        <v>2019</v>
      </c>
      <c r="P37" s="2">
        <v>0.51944444444444449</v>
      </c>
      <c r="Q37" t="s">
        <v>22</v>
      </c>
      <c r="R37">
        <v>47.683999999999997</v>
      </c>
      <c r="S37">
        <v>17.03</v>
      </c>
      <c r="T37">
        <v>6.8</v>
      </c>
    </row>
    <row r="38" spans="1:20" x14ac:dyDescent="0.55000000000000004">
      <c r="A38" t="s">
        <v>71</v>
      </c>
      <c r="B38" t="s">
        <v>17</v>
      </c>
      <c r="C38" t="s">
        <v>18</v>
      </c>
      <c r="D38" t="str">
        <f>"Br. "&amp;Data[[#This Row],[Branch]]&amp;" ("&amp;Data[[#This Row],[City]]&amp;")"</f>
        <v>Br. A (Yangon)</v>
      </c>
      <c r="E38" t="s">
        <v>19</v>
      </c>
      <c r="F38" t="s">
        <v>30</v>
      </c>
      <c r="G38" t="s">
        <v>35</v>
      </c>
      <c r="H38">
        <v>62.62</v>
      </c>
      <c r="I38">
        <v>5</v>
      </c>
      <c r="J38">
        <v>15.654999999999999</v>
      </c>
      <c r="K38">
        <v>313.10000000000002</v>
      </c>
      <c r="L38" s="1">
        <v>43586</v>
      </c>
      <c r="M38" s="7">
        <f>DAY(Data[[#This Row],[Date]])</f>
        <v>1</v>
      </c>
      <c r="N38" s="7">
        <f>MONTH(Data[[#This Row],[Date]])</f>
        <v>5</v>
      </c>
      <c r="O38" s="7">
        <f>YEAR(Data[[#This Row],[Date]])</f>
        <v>2019</v>
      </c>
      <c r="P38" s="2">
        <v>0.80208333333333337</v>
      </c>
      <c r="Q38" t="s">
        <v>22</v>
      </c>
      <c r="R38">
        <v>219.17</v>
      </c>
      <c r="S38">
        <v>78.275000000000006</v>
      </c>
      <c r="T38">
        <v>7</v>
      </c>
    </row>
    <row r="39" spans="1:20" x14ac:dyDescent="0.55000000000000004">
      <c r="A39" t="s">
        <v>72</v>
      </c>
      <c r="B39" t="s">
        <v>17</v>
      </c>
      <c r="C39" t="s">
        <v>18</v>
      </c>
      <c r="D39" t="str">
        <f>"Br. "&amp;Data[[#This Row],[Branch]]&amp;" ("&amp;Data[[#This Row],[City]]&amp;")"</f>
        <v>Br. A (Yangon)</v>
      </c>
      <c r="E39" t="s">
        <v>26</v>
      </c>
      <c r="F39" t="s">
        <v>20</v>
      </c>
      <c r="G39" t="s">
        <v>27</v>
      </c>
      <c r="H39">
        <v>60.88</v>
      </c>
      <c r="I39">
        <v>9</v>
      </c>
      <c r="J39">
        <v>27.396000000000001</v>
      </c>
      <c r="K39">
        <v>547.91999999999996</v>
      </c>
      <c r="L39" s="1">
        <v>43586</v>
      </c>
      <c r="M39" s="7">
        <f>DAY(Data[[#This Row],[Date]])</f>
        <v>1</v>
      </c>
      <c r="N39" s="7">
        <f>MONTH(Data[[#This Row],[Date]])</f>
        <v>5</v>
      </c>
      <c r="O39" s="7">
        <f>YEAR(Data[[#This Row],[Date]])</f>
        <v>2019</v>
      </c>
      <c r="P39" s="2">
        <v>0.72013888888888888</v>
      </c>
      <c r="Q39" t="s">
        <v>22</v>
      </c>
      <c r="R39">
        <v>383.54399999999998</v>
      </c>
      <c r="S39">
        <v>136.97999999999999</v>
      </c>
      <c r="T39">
        <v>4.7</v>
      </c>
    </row>
    <row r="40" spans="1:20" x14ac:dyDescent="0.55000000000000004">
      <c r="A40" t="s">
        <v>73</v>
      </c>
      <c r="B40" t="s">
        <v>24</v>
      </c>
      <c r="C40" t="s">
        <v>25</v>
      </c>
      <c r="D40" t="str">
        <f>"Br. "&amp;Data[[#This Row],[Branch]]&amp;" ("&amp;Data[[#This Row],[City]]&amp;")"</f>
        <v>Br. C (Naypyitaw)</v>
      </c>
      <c r="E40" t="s">
        <v>26</v>
      </c>
      <c r="F40" t="s">
        <v>20</v>
      </c>
      <c r="G40" t="s">
        <v>21</v>
      </c>
      <c r="H40">
        <v>54.92</v>
      </c>
      <c r="I40">
        <v>8</v>
      </c>
      <c r="J40">
        <v>21.968</v>
      </c>
      <c r="K40">
        <v>439.36</v>
      </c>
      <c r="L40" s="1">
        <v>43586</v>
      </c>
      <c r="M40" s="7">
        <f>DAY(Data[[#This Row],[Date]])</f>
        <v>1</v>
      </c>
      <c r="N40" s="7">
        <f>MONTH(Data[[#This Row],[Date]])</f>
        <v>5</v>
      </c>
      <c r="O40" s="7">
        <f>YEAR(Data[[#This Row],[Date]])</f>
        <v>2019</v>
      </c>
      <c r="P40" s="2">
        <v>0.55833333333333335</v>
      </c>
      <c r="Q40" t="s">
        <v>22</v>
      </c>
      <c r="R40">
        <v>307.55200000000002</v>
      </c>
      <c r="S40">
        <v>109.84</v>
      </c>
      <c r="T40">
        <v>7.6</v>
      </c>
    </row>
    <row r="41" spans="1:20" x14ac:dyDescent="0.55000000000000004">
      <c r="A41" t="s">
        <v>74</v>
      </c>
      <c r="B41" t="s">
        <v>41</v>
      </c>
      <c r="C41" t="s">
        <v>42</v>
      </c>
      <c r="D41" t="str">
        <f>"Br. "&amp;Data[[#This Row],[Branch]]&amp;" ("&amp;Data[[#This Row],[City]]&amp;")"</f>
        <v>Br. B (Mandalay)</v>
      </c>
      <c r="E41" t="s">
        <v>19</v>
      </c>
      <c r="F41" t="s">
        <v>30</v>
      </c>
      <c r="G41" t="s">
        <v>31</v>
      </c>
      <c r="H41">
        <v>30.12</v>
      </c>
      <c r="I41">
        <v>8</v>
      </c>
      <c r="J41">
        <v>12.048</v>
      </c>
      <c r="K41">
        <v>240.96</v>
      </c>
      <c r="L41" s="1">
        <v>43586</v>
      </c>
      <c r="M41" s="7">
        <f>DAY(Data[[#This Row],[Date]])</f>
        <v>1</v>
      </c>
      <c r="N41" s="7">
        <f>MONTH(Data[[#This Row],[Date]])</f>
        <v>5</v>
      </c>
      <c r="O41" s="7">
        <f>YEAR(Data[[#This Row],[Date]])</f>
        <v>2019</v>
      </c>
      <c r="P41" s="2">
        <v>0.54236111111111107</v>
      </c>
      <c r="Q41" t="s">
        <v>28</v>
      </c>
      <c r="R41">
        <v>168.672</v>
      </c>
      <c r="S41">
        <v>60.24</v>
      </c>
      <c r="T41">
        <v>7.7</v>
      </c>
    </row>
    <row r="42" spans="1:20" x14ac:dyDescent="0.55000000000000004">
      <c r="A42" t="s">
        <v>75</v>
      </c>
      <c r="B42" t="s">
        <v>41</v>
      </c>
      <c r="C42" t="s">
        <v>42</v>
      </c>
      <c r="D42" t="str">
        <f>"Br. "&amp;Data[[#This Row],[Branch]]&amp;" ("&amp;Data[[#This Row],[City]]&amp;")"</f>
        <v>Br. B (Mandalay)</v>
      </c>
      <c r="E42" t="s">
        <v>19</v>
      </c>
      <c r="F42" t="s">
        <v>20</v>
      </c>
      <c r="G42" t="s">
        <v>31</v>
      </c>
      <c r="H42">
        <v>86.72</v>
      </c>
      <c r="I42">
        <v>1</v>
      </c>
      <c r="J42">
        <v>4.3360000000000003</v>
      </c>
      <c r="K42">
        <v>86.72</v>
      </c>
      <c r="L42" s="1">
        <v>43586</v>
      </c>
      <c r="M42" s="7">
        <f>DAY(Data[[#This Row],[Date]])</f>
        <v>1</v>
      </c>
      <c r="N42" s="7">
        <f>MONTH(Data[[#This Row],[Date]])</f>
        <v>5</v>
      </c>
      <c r="O42" s="7">
        <f>YEAR(Data[[#This Row],[Date]])</f>
        <v>2019</v>
      </c>
      <c r="P42" s="2">
        <v>0.78125</v>
      </c>
      <c r="Q42" t="s">
        <v>22</v>
      </c>
      <c r="R42">
        <v>60.704000000000001</v>
      </c>
      <c r="S42">
        <v>21.68</v>
      </c>
      <c r="T42">
        <v>7.9</v>
      </c>
    </row>
    <row r="43" spans="1:20" x14ac:dyDescent="0.55000000000000004">
      <c r="A43" t="s">
        <v>76</v>
      </c>
      <c r="B43" t="s">
        <v>24</v>
      </c>
      <c r="C43" t="s">
        <v>25</v>
      </c>
      <c r="D43" t="str">
        <f>"Br. "&amp;Data[[#This Row],[Branch]]&amp;" ("&amp;Data[[#This Row],[City]]&amp;")"</f>
        <v>Br. C (Naypyitaw)</v>
      </c>
      <c r="E43" t="s">
        <v>19</v>
      </c>
      <c r="F43" t="s">
        <v>30</v>
      </c>
      <c r="G43" t="s">
        <v>31</v>
      </c>
      <c r="H43">
        <v>56.11</v>
      </c>
      <c r="I43">
        <v>2</v>
      </c>
      <c r="J43">
        <v>5.6109999999999998</v>
      </c>
      <c r="K43">
        <v>112.22</v>
      </c>
      <c r="L43" s="1">
        <v>43586</v>
      </c>
      <c r="M43" s="7">
        <f>DAY(Data[[#This Row],[Date]])</f>
        <v>1</v>
      </c>
      <c r="N43" s="7">
        <f>MONTH(Data[[#This Row],[Date]])</f>
        <v>5</v>
      </c>
      <c r="O43" s="7">
        <f>YEAR(Data[[#This Row],[Date]])</f>
        <v>2019</v>
      </c>
      <c r="P43" s="2">
        <v>0.42430555555555555</v>
      </c>
      <c r="Q43" t="s">
        <v>28</v>
      </c>
      <c r="R43">
        <v>78.554000000000002</v>
      </c>
      <c r="S43">
        <v>28.055</v>
      </c>
      <c r="T43">
        <v>6.3</v>
      </c>
    </row>
    <row r="44" spans="1:20" x14ac:dyDescent="0.55000000000000004">
      <c r="A44" t="s">
        <v>77</v>
      </c>
      <c r="B44" t="s">
        <v>41</v>
      </c>
      <c r="C44" t="s">
        <v>42</v>
      </c>
      <c r="D44" t="str">
        <f>"Br. "&amp;Data[[#This Row],[Branch]]&amp;" ("&amp;Data[[#This Row],[City]]&amp;")"</f>
        <v>Br. B (Mandalay)</v>
      </c>
      <c r="E44" t="s">
        <v>19</v>
      </c>
      <c r="F44" t="s">
        <v>20</v>
      </c>
      <c r="G44" t="s">
        <v>35</v>
      </c>
      <c r="H44">
        <v>69.12</v>
      </c>
      <c r="I44">
        <v>6</v>
      </c>
      <c r="J44">
        <v>20.736000000000001</v>
      </c>
      <c r="K44">
        <v>414.72</v>
      </c>
      <c r="L44" s="1">
        <v>43586</v>
      </c>
      <c r="M44" s="7">
        <f>DAY(Data[[#This Row],[Date]])</f>
        <v>1</v>
      </c>
      <c r="N44" s="7">
        <f>MONTH(Data[[#This Row],[Date]])</f>
        <v>5</v>
      </c>
      <c r="O44" s="7">
        <f>YEAR(Data[[#This Row],[Date]])</f>
        <v>2019</v>
      </c>
      <c r="P44" s="2">
        <v>0.54374999999999996</v>
      </c>
      <c r="Q44" t="s">
        <v>28</v>
      </c>
      <c r="R44">
        <v>290.30399999999997</v>
      </c>
      <c r="S44">
        <v>103.68</v>
      </c>
      <c r="T44">
        <v>5.6</v>
      </c>
    </row>
    <row r="45" spans="1:20" x14ac:dyDescent="0.55000000000000004">
      <c r="A45" t="s">
        <v>78</v>
      </c>
      <c r="B45" t="s">
        <v>24</v>
      </c>
      <c r="C45" t="s">
        <v>25</v>
      </c>
      <c r="D45" t="str">
        <f>"Br. "&amp;Data[[#This Row],[Branch]]&amp;" ("&amp;Data[[#This Row],[City]]&amp;")"</f>
        <v>Br. C (Naypyitaw)</v>
      </c>
      <c r="E45" t="s">
        <v>19</v>
      </c>
      <c r="F45" t="s">
        <v>20</v>
      </c>
      <c r="G45" t="s">
        <v>43</v>
      </c>
      <c r="H45">
        <v>98.7</v>
      </c>
      <c r="I45">
        <v>8</v>
      </c>
      <c r="J45">
        <v>39.479999999999997</v>
      </c>
      <c r="K45">
        <v>789.6</v>
      </c>
      <c r="L45" s="1">
        <v>43586</v>
      </c>
      <c r="M45" s="7">
        <f>DAY(Data[[#This Row],[Date]])</f>
        <v>1</v>
      </c>
      <c r="N45" s="7">
        <f>MONTH(Data[[#This Row],[Date]])</f>
        <v>5</v>
      </c>
      <c r="O45" s="7">
        <f>YEAR(Data[[#This Row],[Date]])</f>
        <v>2019</v>
      </c>
      <c r="P45" s="2">
        <v>0.86041666666666672</v>
      </c>
      <c r="Q45" t="s">
        <v>28</v>
      </c>
      <c r="R45">
        <v>552.72</v>
      </c>
      <c r="S45">
        <v>197.4</v>
      </c>
      <c r="T45">
        <v>7.6</v>
      </c>
    </row>
    <row r="46" spans="1:20" x14ac:dyDescent="0.55000000000000004">
      <c r="A46" t="s">
        <v>79</v>
      </c>
      <c r="B46" t="s">
        <v>24</v>
      </c>
      <c r="C46" t="s">
        <v>25</v>
      </c>
      <c r="D46" t="str">
        <f>"Br. "&amp;Data[[#This Row],[Branch]]&amp;" ("&amp;Data[[#This Row],[City]]&amp;")"</f>
        <v>Br. C (Naypyitaw)</v>
      </c>
      <c r="E46" t="s">
        <v>19</v>
      </c>
      <c r="F46" t="s">
        <v>30</v>
      </c>
      <c r="G46" t="s">
        <v>21</v>
      </c>
      <c r="H46">
        <v>15.37</v>
      </c>
      <c r="I46">
        <v>2</v>
      </c>
      <c r="J46">
        <v>1.5369999999999999</v>
      </c>
      <c r="K46">
        <v>30.74</v>
      </c>
      <c r="L46" s="1">
        <v>43586</v>
      </c>
      <c r="M46" s="7">
        <f>DAY(Data[[#This Row],[Date]])</f>
        <v>1</v>
      </c>
      <c r="N46" s="7">
        <f>MONTH(Data[[#This Row],[Date]])</f>
        <v>5</v>
      </c>
      <c r="O46" s="7">
        <f>YEAR(Data[[#This Row],[Date]])</f>
        <v>2019</v>
      </c>
      <c r="P46" s="2">
        <v>0.82430555555555551</v>
      </c>
      <c r="Q46" t="s">
        <v>28</v>
      </c>
      <c r="R46">
        <v>21.518000000000001</v>
      </c>
      <c r="S46">
        <v>7.6849999999999996</v>
      </c>
      <c r="T46">
        <v>7.2</v>
      </c>
    </row>
    <row r="47" spans="1:20" x14ac:dyDescent="0.55000000000000004">
      <c r="A47" t="s">
        <v>80</v>
      </c>
      <c r="B47" t="s">
        <v>41</v>
      </c>
      <c r="C47" t="s">
        <v>42</v>
      </c>
      <c r="D47" t="str">
        <f>"Br. "&amp;Data[[#This Row],[Branch]]&amp;" ("&amp;Data[[#This Row],[City]]&amp;")"</f>
        <v>Br. B (Mandalay)</v>
      </c>
      <c r="E47" t="s">
        <v>19</v>
      </c>
      <c r="F47" t="s">
        <v>20</v>
      </c>
      <c r="G47" t="s">
        <v>27</v>
      </c>
      <c r="H47">
        <v>93.96</v>
      </c>
      <c r="I47">
        <v>4</v>
      </c>
      <c r="J47">
        <v>18.792000000000002</v>
      </c>
      <c r="K47">
        <v>375.84</v>
      </c>
      <c r="L47" s="1">
        <v>43586</v>
      </c>
      <c r="M47" s="7">
        <f>DAY(Data[[#This Row],[Date]])</f>
        <v>1</v>
      </c>
      <c r="N47" s="7">
        <f>MONTH(Data[[#This Row],[Date]])</f>
        <v>5</v>
      </c>
      <c r="O47" s="7">
        <f>YEAR(Data[[#This Row],[Date]])</f>
        <v>2019</v>
      </c>
      <c r="P47" s="2">
        <v>0.75</v>
      </c>
      <c r="Q47" t="s">
        <v>28</v>
      </c>
      <c r="R47">
        <v>263.08800000000002</v>
      </c>
      <c r="S47">
        <v>93.96</v>
      </c>
      <c r="T47">
        <v>9.5</v>
      </c>
    </row>
    <row r="48" spans="1:20" x14ac:dyDescent="0.55000000000000004">
      <c r="A48" t="s">
        <v>81</v>
      </c>
      <c r="B48" t="s">
        <v>41</v>
      </c>
      <c r="C48" t="s">
        <v>42</v>
      </c>
      <c r="D48" t="str">
        <f>"Br. "&amp;Data[[#This Row],[Branch]]&amp;" ("&amp;Data[[#This Row],[City]]&amp;")"</f>
        <v>Br. B (Mandalay)</v>
      </c>
      <c r="E48" t="s">
        <v>19</v>
      </c>
      <c r="F48" t="s">
        <v>30</v>
      </c>
      <c r="G48" t="s">
        <v>21</v>
      </c>
      <c r="H48">
        <v>56.69</v>
      </c>
      <c r="I48">
        <v>9</v>
      </c>
      <c r="J48">
        <v>25.5105</v>
      </c>
      <c r="K48">
        <v>510.21</v>
      </c>
      <c r="L48" s="1">
        <v>43586</v>
      </c>
      <c r="M48" s="7">
        <f>DAY(Data[[#This Row],[Date]])</f>
        <v>1</v>
      </c>
      <c r="N48" s="7">
        <f>MONTH(Data[[#This Row],[Date]])</f>
        <v>5</v>
      </c>
      <c r="O48" s="7">
        <f>YEAR(Data[[#This Row],[Date]])</f>
        <v>2019</v>
      </c>
      <c r="P48" s="2">
        <v>0.72499999999999998</v>
      </c>
      <c r="Q48" t="s">
        <v>32</v>
      </c>
      <c r="R48">
        <v>357.14699999999999</v>
      </c>
      <c r="S48">
        <v>127.55249999999999</v>
      </c>
      <c r="T48">
        <v>8.4</v>
      </c>
    </row>
    <row r="49" spans="1:20" x14ac:dyDescent="0.55000000000000004">
      <c r="A49" t="s">
        <v>82</v>
      </c>
      <c r="B49" t="s">
        <v>41</v>
      </c>
      <c r="C49" t="s">
        <v>42</v>
      </c>
      <c r="D49" t="str">
        <f>"Br. "&amp;Data[[#This Row],[Branch]]&amp;" ("&amp;Data[[#This Row],[City]]&amp;")"</f>
        <v>Br. B (Mandalay)</v>
      </c>
      <c r="E49" t="s">
        <v>19</v>
      </c>
      <c r="F49" t="s">
        <v>20</v>
      </c>
      <c r="G49" t="s">
        <v>43</v>
      </c>
      <c r="H49">
        <v>20.010000000000002</v>
      </c>
      <c r="I49">
        <v>9</v>
      </c>
      <c r="J49">
        <v>9.0045000000000002</v>
      </c>
      <c r="K49">
        <v>180.09</v>
      </c>
      <c r="L49" s="1">
        <v>43586</v>
      </c>
      <c r="M49" s="7">
        <f>DAY(Data[[#This Row],[Date]])</f>
        <v>1</v>
      </c>
      <c r="N49" s="7">
        <f>MONTH(Data[[#This Row],[Date]])</f>
        <v>5</v>
      </c>
      <c r="O49" s="7">
        <f>YEAR(Data[[#This Row],[Date]])</f>
        <v>2019</v>
      </c>
      <c r="P49" s="2">
        <v>0.65763888888888888</v>
      </c>
      <c r="Q49" t="s">
        <v>22</v>
      </c>
      <c r="R49">
        <v>126.063</v>
      </c>
      <c r="S49">
        <v>45.022500000000001</v>
      </c>
      <c r="T49">
        <v>4.0999999999999996</v>
      </c>
    </row>
    <row r="50" spans="1:20" x14ac:dyDescent="0.55000000000000004">
      <c r="A50" t="s">
        <v>83</v>
      </c>
      <c r="B50" t="s">
        <v>41</v>
      </c>
      <c r="C50" t="s">
        <v>42</v>
      </c>
      <c r="D50" t="str">
        <f>"Br. "&amp;Data[[#This Row],[Branch]]&amp;" ("&amp;Data[[#This Row],[City]]&amp;")"</f>
        <v>Br. B (Mandalay)</v>
      </c>
      <c r="E50" t="s">
        <v>19</v>
      </c>
      <c r="F50" t="s">
        <v>30</v>
      </c>
      <c r="G50" t="s">
        <v>27</v>
      </c>
      <c r="H50">
        <v>18.93</v>
      </c>
      <c r="I50">
        <v>6</v>
      </c>
      <c r="J50">
        <v>5.6790000000000003</v>
      </c>
      <c r="K50">
        <v>113.58</v>
      </c>
      <c r="L50" s="1">
        <v>43586</v>
      </c>
      <c r="M50" s="7">
        <f>DAY(Data[[#This Row],[Date]])</f>
        <v>1</v>
      </c>
      <c r="N50" s="7">
        <f>MONTH(Data[[#This Row],[Date]])</f>
        <v>5</v>
      </c>
      <c r="O50" s="7">
        <f>YEAR(Data[[#This Row],[Date]])</f>
        <v>2019</v>
      </c>
      <c r="P50" s="2">
        <v>0.53125</v>
      </c>
      <c r="Q50" t="s">
        <v>32</v>
      </c>
      <c r="R50">
        <v>79.506</v>
      </c>
      <c r="S50">
        <v>28.395</v>
      </c>
      <c r="T50">
        <v>8.1</v>
      </c>
    </row>
    <row r="51" spans="1:20" x14ac:dyDescent="0.55000000000000004">
      <c r="A51" t="s">
        <v>84</v>
      </c>
      <c r="B51" t="s">
        <v>24</v>
      </c>
      <c r="C51" t="s">
        <v>25</v>
      </c>
      <c r="D51" t="str">
        <f>"Br. "&amp;Data[[#This Row],[Branch]]&amp;" ("&amp;Data[[#This Row],[City]]&amp;")"</f>
        <v>Br. C (Naypyitaw)</v>
      </c>
      <c r="E51" t="s">
        <v>19</v>
      </c>
      <c r="F51" t="s">
        <v>20</v>
      </c>
      <c r="G51" t="s">
        <v>45</v>
      </c>
      <c r="H51">
        <v>82.63</v>
      </c>
      <c r="I51">
        <v>10</v>
      </c>
      <c r="J51">
        <v>41.314999999999998</v>
      </c>
      <c r="K51">
        <v>826.3</v>
      </c>
      <c r="L51" s="1">
        <v>43586</v>
      </c>
      <c r="M51" s="7">
        <f>DAY(Data[[#This Row],[Date]])</f>
        <v>1</v>
      </c>
      <c r="N51" s="7">
        <f>MONTH(Data[[#This Row],[Date]])</f>
        <v>5</v>
      </c>
      <c r="O51" s="7">
        <f>YEAR(Data[[#This Row],[Date]])</f>
        <v>2019</v>
      </c>
      <c r="P51" s="2">
        <v>0.71388888888888891</v>
      </c>
      <c r="Q51" t="s">
        <v>22</v>
      </c>
      <c r="R51">
        <v>578.41</v>
      </c>
      <c r="S51">
        <v>206.57499999999999</v>
      </c>
      <c r="T51">
        <v>7.9</v>
      </c>
    </row>
    <row r="52" spans="1:20" x14ac:dyDescent="0.55000000000000004">
      <c r="A52" t="s">
        <v>85</v>
      </c>
      <c r="B52" t="s">
        <v>24</v>
      </c>
      <c r="C52" t="s">
        <v>25</v>
      </c>
      <c r="D52" t="str">
        <f>"Br. "&amp;Data[[#This Row],[Branch]]&amp;" ("&amp;Data[[#This Row],[City]]&amp;")"</f>
        <v>Br. C (Naypyitaw)</v>
      </c>
      <c r="E52" t="s">
        <v>19</v>
      </c>
      <c r="F52" t="s">
        <v>30</v>
      </c>
      <c r="G52" t="s">
        <v>43</v>
      </c>
      <c r="H52">
        <v>91.4</v>
      </c>
      <c r="I52">
        <v>7</v>
      </c>
      <c r="J52">
        <v>31.99</v>
      </c>
      <c r="K52">
        <v>639.79999999999995</v>
      </c>
      <c r="L52" s="1">
        <v>43586</v>
      </c>
      <c r="M52" s="7">
        <f>DAY(Data[[#This Row],[Date]])</f>
        <v>1</v>
      </c>
      <c r="N52" s="7">
        <f>MONTH(Data[[#This Row],[Date]])</f>
        <v>5</v>
      </c>
      <c r="O52" s="7">
        <f>YEAR(Data[[#This Row],[Date]])</f>
        <v>2019</v>
      </c>
      <c r="P52" s="2">
        <v>0.42986111111111114</v>
      </c>
      <c r="Q52" t="s">
        <v>28</v>
      </c>
      <c r="R52">
        <v>447.86</v>
      </c>
      <c r="S52">
        <v>159.94999999999999</v>
      </c>
      <c r="T52">
        <v>9.5</v>
      </c>
    </row>
    <row r="53" spans="1:20" x14ac:dyDescent="0.55000000000000004">
      <c r="A53" t="s">
        <v>86</v>
      </c>
      <c r="B53" t="s">
        <v>17</v>
      </c>
      <c r="C53" t="s">
        <v>18</v>
      </c>
      <c r="D53" t="str">
        <f>"Br. "&amp;Data[[#This Row],[Branch]]&amp;" ("&amp;Data[[#This Row],[City]]&amp;")"</f>
        <v>Br. A (Yangon)</v>
      </c>
      <c r="E53" t="s">
        <v>19</v>
      </c>
      <c r="F53" t="s">
        <v>20</v>
      </c>
      <c r="G53" t="s">
        <v>43</v>
      </c>
      <c r="H53">
        <v>44.59</v>
      </c>
      <c r="I53">
        <v>5</v>
      </c>
      <c r="J53">
        <v>11.147500000000001</v>
      </c>
      <c r="K53">
        <v>222.95</v>
      </c>
      <c r="L53" s="1">
        <v>43586</v>
      </c>
      <c r="M53" s="7">
        <f>DAY(Data[[#This Row],[Date]])</f>
        <v>1</v>
      </c>
      <c r="N53" s="7">
        <f>MONTH(Data[[#This Row],[Date]])</f>
        <v>5</v>
      </c>
      <c r="O53" s="7">
        <f>YEAR(Data[[#This Row],[Date]])</f>
        <v>2019</v>
      </c>
      <c r="P53" s="2">
        <v>0.63194444444444442</v>
      </c>
      <c r="Q53" t="s">
        <v>28</v>
      </c>
      <c r="R53">
        <v>156.065</v>
      </c>
      <c r="S53">
        <v>55.737499999999997</v>
      </c>
      <c r="T53">
        <v>8.5</v>
      </c>
    </row>
    <row r="54" spans="1:20" x14ac:dyDescent="0.55000000000000004">
      <c r="A54" t="s">
        <v>87</v>
      </c>
      <c r="B54" t="s">
        <v>41</v>
      </c>
      <c r="C54" t="s">
        <v>42</v>
      </c>
      <c r="D54" t="str">
        <f>"Br. "&amp;Data[[#This Row],[Branch]]&amp;" ("&amp;Data[[#This Row],[City]]&amp;")"</f>
        <v>Br. B (Mandalay)</v>
      </c>
      <c r="E54" t="s">
        <v>19</v>
      </c>
      <c r="F54" t="s">
        <v>20</v>
      </c>
      <c r="G54" t="s">
        <v>45</v>
      </c>
      <c r="H54">
        <v>17.87</v>
      </c>
      <c r="I54">
        <v>4</v>
      </c>
      <c r="J54">
        <v>3.5739999999999998</v>
      </c>
      <c r="K54">
        <v>71.48</v>
      </c>
      <c r="L54" s="1">
        <v>43586</v>
      </c>
      <c r="M54" s="7">
        <f>DAY(Data[[#This Row],[Date]])</f>
        <v>1</v>
      </c>
      <c r="N54" s="7">
        <f>MONTH(Data[[#This Row],[Date]])</f>
        <v>5</v>
      </c>
      <c r="O54" s="7">
        <f>YEAR(Data[[#This Row],[Date]])</f>
        <v>2019</v>
      </c>
      <c r="P54" s="2">
        <v>0.61250000000000004</v>
      </c>
      <c r="Q54" t="s">
        <v>22</v>
      </c>
      <c r="R54">
        <v>50.036000000000001</v>
      </c>
      <c r="S54">
        <v>17.87</v>
      </c>
      <c r="T54">
        <v>6.5</v>
      </c>
    </row>
    <row r="55" spans="1:20" x14ac:dyDescent="0.55000000000000004">
      <c r="A55" t="s">
        <v>88</v>
      </c>
      <c r="B55" t="s">
        <v>24</v>
      </c>
      <c r="C55" t="s">
        <v>25</v>
      </c>
      <c r="D55" t="str">
        <f>"Br. "&amp;Data[[#This Row],[Branch]]&amp;" ("&amp;Data[[#This Row],[City]]&amp;")"</f>
        <v>Br. C (Naypyitaw)</v>
      </c>
      <c r="E55" t="s">
        <v>19</v>
      </c>
      <c r="F55" t="s">
        <v>30</v>
      </c>
      <c r="G55" t="s">
        <v>45</v>
      </c>
      <c r="H55">
        <v>15.43</v>
      </c>
      <c r="I55">
        <v>1</v>
      </c>
      <c r="J55">
        <v>0.77149999999999996</v>
      </c>
      <c r="K55">
        <v>15.43</v>
      </c>
      <c r="L55" s="1">
        <v>43586</v>
      </c>
      <c r="M55" s="7">
        <f>DAY(Data[[#This Row],[Date]])</f>
        <v>1</v>
      </c>
      <c r="N55" s="7">
        <f>MONTH(Data[[#This Row],[Date]])</f>
        <v>5</v>
      </c>
      <c r="O55" s="7">
        <f>YEAR(Data[[#This Row],[Date]])</f>
        <v>2019</v>
      </c>
      <c r="P55" s="2">
        <v>0.65694444444444444</v>
      </c>
      <c r="Q55" t="s">
        <v>32</v>
      </c>
      <c r="R55">
        <v>10.801</v>
      </c>
      <c r="S55">
        <v>3.8574999999999999</v>
      </c>
      <c r="T55">
        <v>6.1</v>
      </c>
    </row>
    <row r="56" spans="1:20" x14ac:dyDescent="0.55000000000000004">
      <c r="A56" t="s">
        <v>89</v>
      </c>
      <c r="B56" t="s">
        <v>41</v>
      </c>
      <c r="C56" t="s">
        <v>42</v>
      </c>
      <c r="D56" t="str">
        <f>"Br. "&amp;Data[[#This Row],[Branch]]&amp;" ("&amp;Data[[#This Row],[City]]&amp;")"</f>
        <v>Br. B (Mandalay)</v>
      </c>
      <c r="E56" t="s">
        <v>26</v>
      </c>
      <c r="F56" t="s">
        <v>30</v>
      </c>
      <c r="G56" t="s">
        <v>31</v>
      </c>
      <c r="H56">
        <v>16.16</v>
      </c>
      <c r="I56">
        <v>2</v>
      </c>
      <c r="J56">
        <v>1.6160000000000001</v>
      </c>
      <c r="K56">
        <v>32.32</v>
      </c>
      <c r="L56" s="1">
        <v>43586</v>
      </c>
      <c r="M56" s="7">
        <f>DAY(Data[[#This Row],[Date]])</f>
        <v>1</v>
      </c>
      <c r="N56" s="7">
        <f>MONTH(Data[[#This Row],[Date]])</f>
        <v>5</v>
      </c>
      <c r="O56" s="7">
        <f>YEAR(Data[[#This Row],[Date]])</f>
        <v>2019</v>
      </c>
      <c r="P56" s="2">
        <v>0.49236111111111114</v>
      </c>
      <c r="Q56" t="s">
        <v>22</v>
      </c>
      <c r="R56">
        <v>22.623999999999999</v>
      </c>
      <c r="S56">
        <v>8.08</v>
      </c>
      <c r="T56">
        <v>6.5</v>
      </c>
    </row>
    <row r="57" spans="1:20" x14ac:dyDescent="0.55000000000000004">
      <c r="A57" t="s">
        <v>90</v>
      </c>
      <c r="B57" t="s">
        <v>24</v>
      </c>
      <c r="C57" t="s">
        <v>25</v>
      </c>
      <c r="D57" t="str">
        <f>"Br. "&amp;Data[[#This Row],[Branch]]&amp;" ("&amp;Data[[#This Row],[City]]&amp;")"</f>
        <v>Br. C (Naypyitaw)</v>
      </c>
      <c r="E57" t="s">
        <v>26</v>
      </c>
      <c r="F57" t="s">
        <v>20</v>
      </c>
      <c r="G57" t="s">
        <v>27</v>
      </c>
      <c r="H57">
        <v>85.98</v>
      </c>
      <c r="I57">
        <v>8</v>
      </c>
      <c r="J57">
        <v>34.392000000000003</v>
      </c>
      <c r="K57">
        <v>687.84</v>
      </c>
      <c r="L57" s="1">
        <v>43586</v>
      </c>
      <c r="M57" s="7">
        <f>DAY(Data[[#This Row],[Date]])</f>
        <v>1</v>
      </c>
      <c r="N57" s="7">
        <f>MONTH(Data[[#This Row],[Date]])</f>
        <v>5</v>
      </c>
      <c r="O57" s="7">
        <f>YEAR(Data[[#This Row],[Date]])</f>
        <v>2019</v>
      </c>
      <c r="P57" s="2">
        <v>0.79236111111111107</v>
      </c>
      <c r="Q57" t="s">
        <v>28</v>
      </c>
      <c r="R57">
        <v>481.488</v>
      </c>
      <c r="S57">
        <v>171.96</v>
      </c>
      <c r="T57">
        <v>8.1999999999999993</v>
      </c>
    </row>
    <row r="58" spans="1:20" x14ac:dyDescent="0.55000000000000004">
      <c r="A58" t="s">
        <v>91</v>
      </c>
      <c r="B58" t="s">
        <v>17</v>
      </c>
      <c r="C58" t="s">
        <v>18</v>
      </c>
      <c r="D58" t="str">
        <f>"Br. "&amp;Data[[#This Row],[Branch]]&amp;" ("&amp;Data[[#This Row],[City]]&amp;")"</f>
        <v>Br. A (Yangon)</v>
      </c>
      <c r="E58" t="s">
        <v>19</v>
      </c>
      <c r="F58" t="s">
        <v>30</v>
      </c>
      <c r="G58" t="s">
        <v>31</v>
      </c>
      <c r="H58">
        <v>44.34</v>
      </c>
      <c r="I58">
        <v>2</v>
      </c>
      <c r="J58">
        <v>4.4340000000000002</v>
      </c>
      <c r="K58">
        <v>88.68</v>
      </c>
      <c r="L58" s="1">
        <v>43586</v>
      </c>
      <c r="M58" s="7">
        <f>DAY(Data[[#This Row],[Date]])</f>
        <v>1</v>
      </c>
      <c r="N58" s="7">
        <f>MONTH(Data[[#This Row],[Date]])</f>
        <v>5</v>
      </c>
      <c r="O58" s="7">
        <f>YEAR(Data[[#This Row],[Date]])</f>
        <v>2019</v>
      </c>
      <c r="P58" s="2">
        <v>0.47638888888888886</v>
      </c>
      <c r="Q58" t="s">
        <v>28</v>
      </c>
      <c r="R58">
        <v>62.076000000000001</v>
      </c>
      <c r="S58">
        <v>22.17</v>
      </c>
      <c r="T58">
        <v>5.8</v>
      </c>
    </row>
    <row r="59" spans="1:20" x14ac:dyDescent="0.55000000000000004">
      <c r="A59" t="s">
        <v>92</v>
      </c>
      <c r="B59" t="s">
        <v>17</v>
      </c>
      <c r="C59" t="s">
        <v>18</v>
      </c>
      <c r="D59" t="str">
        <f>"Br. "&amp;Data[[#This Row],[Branch]]&amp;" ("&amp;Data[[#This Row],[City]]&amp;")"</f>
        <v>Br. A (Yangon)</v>
      </c>
      <c r="E59" t="s">
        <v>26</v>
      </c>
      <c r="F59" t="s">
        <v>30</v>
      </c>
      <c r="G59" t="s">
        <v>21</v>
      </c>
      <c r="H59">
        <v>89.6</v>
      </c>
      <c r="I59">
        <v>8</v>
      </c>
      <c r="J59">
        <v>35.840000000000003</v>
      </c>
      <c r="K59">
        <v>716.8</v>
      </c>
      <c r="L59" s="1">
        <v>43586</v>
      </c>
      <c r="M59" s="7">
        <f>DAY(Data[[#This Row],[Date]])</f>
        <v>1</v>
      </c>
      <c r="N59" s="7">
        <f>MONTH(Data[[#This Row],[Date]])</f>
        <v>5</v>
      </c>
      <c r="O59" s="7">
        <f>YEAR(Data[[#This Row],[Date]])</f>
        <v>2019</v>
      </c>
      <c r="P59" s="2">
        <v>0.4777777777777778</v>
      </c>
      <c r="Q59" t="s">
        <v>22</v>
      </c>
      <c r="R59">
        <v>501.76</v>
      </c>
      <c r="S59">
        <v>179.2</v>
      </c>
      <c r="T59">
        <v>6.6</v>
      </c>
    </row>
    <row r="60" spans="1:20" x14ac:dyDescent="0.55000000000000004">
      <c r="A60" t="s">
        <v>93</v>
      </c>
      <c r="B60" t="s">
        <v>17</v>
      </c>
      <c r="C60" t="s">
        <v>18</v>
      </c>
      <c r="D60" t="str">
        <f>"Br. "&amp;Data[[#This Row],[Branch]]&amp;" ("&amp;Data[[#This Row],[City]]&amp;")"</f>
        <v>Br. A (Yangon)</v>
      </c>
      <c r="E60" t="s">
        <v>19</v>
      </c>
      <c r="F60" t="s">
        <v>20</v>
      </c>
      <c r="G60" t="s">
        <v>31</v>
      </c>
      <c r="H60">
        <v>72.349999999999994</v>
      </c>
      <c r="I60">
        <v>10</v>
      </c>
      <c r="J60">
        <v>36.174999999999997</v>
      </c>
      <c r="K60">
        <v>723.5</v>
      </c>
      <c r="L60" s="1">
        <v>43586</v>
      </c>
      <c r="M60" s="7">
        <f>DAY(Data[[#This Row],[Date]])</f>
        <v>1</v>
      </c>
      <c r="N60" s="7">
        <f>MONTH(Data[[#This Row],[Date]])</f>
        <v>5</v>
      </c>
      <c r="O60" s="7">
        <f>YEAR(Data[[#This Row],[Date]])</f>
        <v>2019</v>
      </c>
      <c r="P60" s="2">
        <v>0.66319444444444442</v>
      </c>
      <c r="Q60" t="s">
        <v>28</v>
      </c>
      <c r="R60">
        <v>506.45</v>
      </c>
      <c r="S60">
        <v>180.875</v>
      </c>
      <c r="T60">
        <v>5.4</v>
      </c>
    </row>
    <row r="61" spans="1:20" x14ac:dyDescent="0.55000000000000004">
      <c r="A61" t="s">
        <v>94</v>
      </c>
      <c r="B61" t="s">
        <v>24</v>
      </c>
      <c r="C61" t="s">
        <v>25</v>
      </c>
      <c r="D61" t="str">
        <f>"Br. "&amp;Data[[#This Row],[Branch]]&amp;" ("&amp;Data[[#This Row],[City]]&amp;")"</f>
        <v>Br. C (Naypyitaw)</v>
      </c>
      <c r="E61" t="s">
        <v>26</v>
      </c>
      <c r="F61" t="s">
        <v>30</v>
      </c>
      <c r="G61" t="s">
        <v>27</v>
      </c>
      <c r="H61">
        <v>30.61</v>
      </c>
      <c r="I61">
        <v>6</v>
      </c>
      <c r="J61">
        <v>9.1829999999999998</v>
      </c>
      <c r="K61">
        <v>183.66</v>
      </c>
      <c r="L61" s="1">
        <v>43586</v>
      </c>
      <c r="M61" s="7">
        <f>DAY(Data[[#This Row],[Date]])</f>
        <v>1</v>
      </c>
      <c r="N61" s="7">
        <f>MONTH(Data[[#This Row],[Date]])</f>
        <v>5</v>
      </c>
      <c r="O61" s="7">
        <f>YEAR(Data[[#This Row],[Date]])</f>
        <v>2019</v>
      </c>
      <c r="P61" s="2">
        <v>0.85833333333333328</v>
      </c>
      <c r="Q61" t="s">
        <v>28</v>
      </c>
      <c r="R61">
        <v>128.56200000000001</v>
      </c>
      <c r="S61">
        <v>45.914999999999999</v>
      </c>
      <c r="T61">
        <v>9.3000000000000007</v>
      </c>
    </row>
    <row r="62" spans="1:20" x14ac:dyDescent="0.55000000000000004">
      <c r="A62" t="s">
        <v>95</v>
      </c>
      <c r="B62" t="s">
        <v>24</v>
      </c>
      <c r="C62" t="s">
        <v>25</v>
      </c>
      <c r="D62" t="str">
        <f>"Br. "&amp;Data[[#This Row],[Branch]]&amp;" ("&amp;Data[[#This Row],[City]]&amp;")"</f>
        <v>Br. C (Naypyitaw)</v>
      </c>
      <c r="E62" t="s">
        <v>19</v>
      </c>
      <c r="F62" t="s">
        <v>20</v>
      </c>
      <c r="G62" t="s">
        <v>35</v>
      </c>
      <c r="H62">
        <v>24.74</v>
      </c>
      <c r="I62">
        <v>3</v>
      </c>
      <c r="J62">
        <v>3.7109999999999999</v>
      </c>
      <c r="K62">
        <v>74.22</v>
      </c>
      <c r="L62" s="1">
        <v>43586</v>
      </c>
      <c r="M62" s="7">
        <f>DAY(Data[[#This Row],[Date]])</f>
        <v>1</v>
      </c>
      <c r="N62" s="7">
        <f>MONTH(Data[[#This Row],[Date]])</f>
        <v>5</v>
      </c>
      <c r="O62" s="7">
        <f>YEAR(Data[[#This Row],[Date]])</f>
        <v>2019</v>
      </c>
      <c r="P62" s="2">
        <v>0.74097222222222225</v>
      </c>
      <c r="Q62" t="s">
        <v>32</v>
      </c>
      <c r="R62">
        <v>51.954000000000001</v>
      </c>
      <c r="S62">
        <v>18.555</v>
      </c>
      <c r="T62">
        <v>10</v>
      </c>
    </row>
    <row r="63" spans="1:20" x14ac:dyDescent="0.55000000000000004">
      <c r="A63" t="s">
        <v>96</v>
      </c>
      <c r="B63" t="s">
        <v>24</v>
      </c>
      <c r="C63" t="s">
        <v>25</v>
      </c>
      <c r="D63" t="str">
        <f>"Br. "&amp;Data[[#This Row],[Branch]]&amp;" ("&amp;Data[[#This Row],[City]]&amp;")"</f>
        <v>Br. C (Naypyitaw)</v>
      </c>
      <c r="E63" t="s">
        <v>26</v>
      </c>
      <c r="F63" t="s">
        <v>30</v>
      </c>
      <c r="G63" t="s">
        <v>31</v>
      </c>
      <c r="H63">
        <v>55.73</v>
      </c>
      <c r="I63">
        <v>6</v>
      </c>
      <c r="J63">
        <v>16.719000000000001</v>
      </c>
      <c r="K63">
        <v>334.38</v>
      </c>
      <c r="L63" s="1">
        <v>43586</v>
      </c>
      <c r="M63" s="7">
        <f>DAY(Data[[#This Row],[Date]])</f>
        <v>1</v>
      </c>
      <c r="N63" s="7">
        <f>MONTH(Data[[#This Row],[Date]])</f>
        <v>5</v>
      </c>
      <c r="O63" s="7">
        <f>YEAR(Data[[#This Row],[Date]])</f>
        <v>2019</v>
      </c>
      <c r="P63" s="2">
        <v>0.4548611111111111</v>
      </c>
      <c r="Q63" t="s">
        <v>22</v>
      </c>
      <c r="R63">
        <v>234.066</v>
      </c>
      <c r="S63">
        <v>83.594999999999999</v>
      </c>
      <c r="T63">
        <v>7</v>
      </c>
    </row>
    <row r="64" spans="1:20" x14ac:dyDescent="0.55000000000000004">
      <c r="A64" t="s">
        <v>97</v>
      </c>
      <c r="B64" t="s">
        <v>41</v>
      </c>
      <c r="C64" t="s">
        <v>42</v>
      </c>
      <c r="D64" t="str">
        <f>"Br. "&amp;Data[[#This Row],[Branch]]&amp;" ("&amp;Data[[#This Row],[City]]&amp;")"</f>
        <v>Br. B (Mandalay)</v>
      </c>
      <c r="E64" t="s">
        <v>19</v>
      </c>
      <c r="F64" t="s">
        <v>20</v>
      </c>
      <c r="G64" t="s">
        <v>35</v>
      </c>
      <c r="H64">
        <v>55.07</v>
      </c>
      <c r="I64">
        <v>9</v>
      </c>
      <c r="J64">
        <v>24.781500000000001</v>
      </c>
      <c r="K64">
        <v>495.63</v>
      </c>
      <c r="L64" s="1">
        <v>43586</v>
      </c>
      <c r="M64" s="7">
        <f>DAY(Data[[#This Row],[Date]])</f>
        <v>1</v>
      </c>
      <c r="N64" s="7">
        <f>MONTH(Data[[#This Row],[Date]])</f>
        <v>5</v>
      </c>
      <c r="O64" s="7">
        <f>YEAR(Data[[#This Row],[Date]])</f>
        <v>2019</v>
      </c>
      <c r="P64" s="2">
        <v>0.56944444444444442</v>
      </c>
      <c r="Q64" t="s">
        <v>22</v>
      </c>
      <c r="R64">
        <v>346.94099999999997</v>
      </c>
      <c r="S64">
        <v>123.9075</v>
      </c>
      <c r="T64">
        <v>10</v>
      </c>
    </row>
    <row r="65" spans="1:20" x14ac:dyDescent="0.55000000000000004">
      <c r="A65" t="s">
        <v>98</v>
      </c>
      <c r="B65" t="s">
        <v>17</v>
      </c>
      <c r="C65" t="s">
        <v>18</v>
      </c>
      <c r="D65" t="str">
        <f>"Br. "&amp;Data[[#This Row],[Branch]]&amp;" ("&amp;Data[[#This Row],[City]]&amp;")"</f>
        <v>Br. A (Yangon)</v>
      </c>
      <c r="E65" t="s">
        <v>19</v>
      </c>
      <c r="F65" t="s">
        <v>30</v>
      </c>
      <c r="G65" t="s">
        <v>35</v>
      </c>
      <c r="H65">
        <v>15.81</v>
      </c>
      <c r="I65">
        <v>10</v>
      </c>
      <c r="J65">
        <v>7.9050000000000002</v>
      </c>
      <c r="K65">
        <v>158.1</v>
      </c>
      <c r="L65" s="1">
        <v>43586</v>
      </c>
      <c r="M65" s="7">
        <f>DAY(Data[[#This Row],[Date]])</f>
        <v>1</v>
      </c>
      <c r="N65" s="7">
        <f>MONTH(Data[[#This Row],[Date]])</f>
        <v>5</v>
      </c>
      <c r="O65" s="7">
        <f>YEAR(Data[[#This Row],[Date]])</f>
        <v>2019</v>
      </c>
      <c r="P65" s="2">
        <v>0.51875000000000004</v>
      </c>
      <c r="Q65" t="s">
        <v>32</v>
      </c>
      <c r="R65">
        <v>110.67</v>
      </c>
      <c r="S65">
        <v>39.524999999999999</v>
      </c>
      <c r="T65">
        <v>8.6</v>
      </c>
    </row>
    <row r="66" spans="1:20" x14ac:dyDescent="0.55000000000000004">
      <c r="A66" t="s">
        <v>99</v>
      </c>
      <c r="B66" t="s">
        <v>41</v>
      </c>
      <c r="C66" t="s">
        <v>42</v>
      </c>
      <c r="D66" t="str">
        <f>"Br. "&amp;Data[[#This Row],[Branch]]&amp;" ("&amp;Data[[#This Row],[City]]&amp;")"</f>
        <v>Br. B (Mandalay)</v>
      </c>
      <c r="E66" t="s">
        <v>19</v>
      </c>
      <c r="F66" t="s">
        <v>30</v>
      </c>
      <c r="G66" t="s">
        <v>21</v>
      </c>
      <c r="H66">
        <v>75.739999999999995</v>
      </c>
      <c r="I66">
        <v>4</v>
      </c>
      <c r="J66">
        <v>15.148</v>
      </c>
      <c r="K66">
        <v>302.95999999999998</v>
      </c>
      <c r="L66" s="1">
        <v>43586</v>
      </c>
      <c r="M66" s="7">
        <f>DAY(Data[[#This Row],[Date]])</f>
        <v>1</v>
      </c>
      <c r="N66" s="7">
        <f>MONTH(Data[[#This Row],[Date]])</f>
        <v>5</v>
      </c>
      <c r="O66" s="7">
        <f>YEAR(Data[[#This Row],[Date]])</f>
        <v>2019</v>
      </c>
      <c r="P66" s="2">
        <v>0.60763888888888884</v>
      </c>
      <c r="Q66" t="s">
        <v>28</v>
      </c>
      <c r="R66">
        <v>212.072</v>
      </c>
      <c r="S66">
        <v>75.739999999999995</v>
      </c>
      <c r="T66">
        <v>7.6</v>
      </c>
    </row>
    <row r="67" spans="1:20" x14ac:dyDescent="0.55000000000000004">
      <c r="A67" t="s">
        <v>100</v>
      </c>
      <c r="B67" t="s">
        <v>17</v>
      </c>
      <c r="C67" t="s">
        <v>18</v>
      </c>
      <c r="D67" t="str">
        <f>"Br. "&amp;Data[[#This Row],[Branch]]&amp;" ("&amp;Data[[#This Row],[City]]&amp;")"</f>
        <v>Br. A (Yangon)</v>
      </c>
      <c r="E67" t="s">
        <v>19</v>
      </c>
      <c r="F67" t="s">
        <v>30</v>
      </c>
      <c r="G67" t="s">
        <v>21</v>
      </c>
      <c r="H67">
        <v>15.87</v>
      </c>
      <c r="I67">
        <v>10</v>
      </c>
      <c r="J67">
        <v>7.9349999999999996</v>
      </c>
      <c r="K67">
        <v>158.69999999999999</v>
      </c>
      <c r="L67" s="1">
        <v>43586</v>
      </c>
      <c r="M67" s="7">
        <f>DAY(Data[[#This Row],[Date]])</f>
        <v>1</v>
      </c>
      <c r="N67" s="7">
        <f>MONTH(Data[[#This Row],[Date]])</f>
        <v>5</v>
      </c>
      <c r="O67" s="7">
        <f>YEAR(Data[[#This Row],[Date]])</f>
        <v>2019</v>
      </c>
      <c r="P67" s="2">
        <v>0.69444444444444442</v>
      </c>
      <c r="Q67" t="s">
        <v>28</v>
      </c>
      <c r="R67">
        <v>111.09</v>
      </c>
      <c r="S67">
        <v>39.674999999999997</v>
      </c>
      <c r="T67">
        <v>5.8</v>
      </c>
    </row>
    <row r="68" spans="1:20" x14ac:dyDescent="0.55000000000000004">
      <c r="A68" t="s">
        <v>101</v>
      </c>
      <c r="B68" t="s">
        <v>24</v>
      </c>
      <c r="C68" t="s">
        <v>25</v>
      </c>
      <c r="D68" t="str">
        <f>"Br. "&amp;Data[[#This Row],[Branch]]&amp;" ("&amp;Data[[#This Row],[City]]&amp;")"</f>
        <v>Br. C (Naypyitaw)</v>
      </c>
      <c r="E68" t="s">
        <v>26</v>
      </c>
      <c r="F68" t="s">
        <v>20</v>
      </c>
      <c r="G68" t="s">
        <v>21</v>
      </c>
      <c r="H68">
        <v>33.47</v>
      </c>
      <c r="I68">
        <v>2</v>
      </c>
      <c r="J68">
        <v>3.347</v>
      </c>
      <c r="K68">
        <v>66.94</v>
      </c>
      <c r="L68" s="1">
        <v>43586</v>
      </c>
      <c r="M68" s="7">
        <f>DAY(Data[[#This Row],[Date]])</f>
        <v>1</v>
      </c>
      <c r="N68" s="7">
        <f>MONTH(Data[[#This Row],[Date]])</f>
        <v>5</v>
      </c>
      <c r="O68" s="7">
        <f>YEAR(Data[[#This Row],[Date]])</f>
        <v>2019</v>
      </c>
      <c r="P68" s="2">
        <v>0.65486111111111112</v>
      </c>
      <c r="Q68" t="s">
        <v>22</v>
      </c>
      <c r="R68">
        <v>46.857999999999997</v>
      </c>
      <c r="S68">
        <v>16.734999999999999</v>
      </c>
      <c r="T68">
        <v>6.7</v>
      </c>
    </row>
    <row r="69" spans="1:20" x14ac:dyDescent="0.55000000000000004">
      <c r="A69" t="s">
        <v>102</v>
      </c>
      <c r="B69" t="s">
        <v>41</v>
      </c>
      <c r="C69" t="s">
        <v>42</v>
      </c>
      <c r="D69" t="str">
        <f>"Br. "&amp;Data[[#This Row],[Branch]]&amp;" ("&amp;Data[[#This Row],[City]]&amp;")"</f>
        <v>Br. B (Mandalay)</v>
      </c>
      <c r="E69" t="s">
        <v>19</v>
      </c>
      <c r="F69" t="s">
        <v>20</v>
      </c>
      <c r="G69" t="s">
        <v>45</v>
      </c>
      <c r="H69">
        <v>97.61</v>
      </c>
      <c r="I69">
        <v>6</v>
      </c>
      <c r="J69">
        <v>29.283000000000001</v>
      </c>
      <c r="K69">
        <v>585.66</v>
      </c>
      <c r="L69" s="1">
        <v>43586</v>
      </c>
      <c r="M69" s="7">
        <f>DAY(Data[[#This Row],[Date]])</f>
        <v>1</v>
      </c>
      <c r="N69" s="7">
        <f>MONTH(Data[[#This Row],[Date]])</f>
        <v>5</v>
      </c>
      <c r="O69" s="7">
        <f>YEAR(Data[[#This Row],[Date]])</f>
        <v>2019</v>
      </c>
      <c r="P69" s="2">
        <v>0.62569444444444444</v>
      </c>
      <c r="Q69" t="s">
        <v>22</v>
      </c>
      <c r="R69">
        <v>409.96199999999999</v>
      </c>
      <c r="S69">
        <v>146.41499999999999</v>
      </c>
      <c r="T69">
        <v>9.9</v>
      </c>
    </row>
    <row r="70" spans="1:20" x14ac:dyDescent="0.55000000000000004">
      <c r="A70" t="s">
        <v>103</v>
      </c>
      <c r="B70" t="s">
        <v>17</v>
      </c>
      <c r="C70" t="s">
        <v>18</v>
      </c>
      <c r="D70" t="str">
        <f>"Br. "&amp;Data[[#This Row],[Branch]]&amp;" ("&amp;Data[[#This Row],[City]]&amp;")"</f>
        <v>Br. A (Yangon)</v>
      </c>
      <c r="E70" t="s">
        <v>26</v>
      </c>
      <c r="F70" t="s">
        <v>30</v>
      </c>
      <c r="G70" t="s">
        <v>35</v>
      </c>
      <c r="H70">
        <v>78.77</v>
      </c>
      <c r="I70">
        <v>10</v>
      </c>
      <c r="J70">
        <v>39.384999999999998</v>
      </c>
      <c r="K70">
        <v>787.7</v>
      </c>
      <c r="L70" s="1">
        <v>43586</v>
      </c>
      <c r="M70" s="7">
        <f>DAY(Data[[#This Row],[Date]])</f>
        <v>1</v>
      </c>
      <c r="N70" s="7">
        <f>MONTH(Data[[#This Row],[Date]])</f>
        <v>5</v>
      </c>
      <c r="O70" s="7">
        <f>YEAR(Data[[#This Row],[Date]])</f>
        <v>2019</v>
      </c>
      <c r="P70" s="2">
        <v>0.41944444444444445</v>
      </c>
      <c r="Q70" t="s">
        <v>28</v>
      </c>
      <c r="R70">
        <v>551.39</v>
      </c>
      <c r="S70">
        <v>196.92500000000001</v>
      </c>
      <c r="T70">
        <v>6.4</v>
      </c>
    </row>
    <row r="71" spans="1:20" x14ac:dyDescent="0.55000000000000004">
      <c r="A71" t="s">
        <v>104</v>
      </c>
      <c r="B71" t="s">
        <v>17</v>
      </c>
      <c r="C71" t="s">
        <v>18</v>
      </c>
      <c r="D71" t="str">
        <f>"Br. "&amp;Data[[#This Row],[Branch]]&amp;" ("&amp;Data[[#This Row],[City]]&amp;")"</f>
        <v>Br. A (Yangon)</v>
      </c>
      <c r="E71" t="s">
        <v>19</v>
      </c>
      <c r="F71" t="s">
        <v>20</v>
      </c>
      <c r="G71" t="s">
        <v>21</v>
      </c>
      <c r="H71">
        <v>18.329999999999998</v>
      </c>
      <c r="I71">
        <v>1</v>
      </c>
      <c r="J71">
        <v>0.91649999999999998</v>
      </c>
      <c r="K71">
        <v>18.329999999999998</v>
      </c>
      <c r="L71" s="1">
        <v>43586</v>
      </c>
      <c r="M71" s="7">
        <f>DAY(Data[[#This Row],[Date]])</f>
        <v>1</v>
      </c>
      <c r="N71" s="7">
        <f>MONTH(Data[[#This Row],[Date]])</f>
        <v>5</v>
      </c>
      <c r="O71" s="7">
        <f>YEAR(Data[[#This Row],[Date]])</f>
        <v>2019</v>
      </c>
      <c r="P71" s="2">
        <v>0.78472222222222221</v>
      </c>
      <c r="Q71" t="s">
        <v>28</v>
      </c>
      <c r="R71">
        <v>12.831</v>
      </c>
      <c r="S71">
        <v>4.5824999999999996</v>
      </c>
      <c r="T71">
        <v>4.3</v>
      </c>
    </row>
    <row r="72" spans="1:20" x14ac:dyDescent="0.55000000000000004">
      <c r="A72" t="s">
        <v>105</v>
      </c>
      <c r="B72" t="s">
        <v>24</v>
      </c>
      <c r="C72" t="s">
        <v>25</v>
      </c>
      <c r="D72" t="str">
        <f>"Br. "&amp;Data[[#This Row],[Branch]]&amp;" ("&amp;Data[[#This Row],[City]]&amp;")"</f>
        <v>Br. C (Naypyitaw)</v>
      </c>
      <c r="E72" t="s">
        <v>26</v>
      </c>
      <c r="F72" t="s">
        <v>30</v>
      </c>
      <c r="G72" t="s">
        <v>43</v>
      </c>
      <c r="H72">
        <v>89.48</v>
      </c>
      <c r="I72">
        <v>10</v>
      </c>
      <c r="J72">
        <v>44.74</v>
      </c>
      <c r="K72">
        <v>894.8</v>
      </c>
      <c r="L72" s="1">
        <v>43586</v>
      </c>
      <c r="M72" s="7">
        <f>DAY(Data[[#This Row],[Date]])</f>
        <v>1</v>
      </c>
      <c r="N72" s="7">
        <f>MONTH(Data[[#This Row],[Date]])</f>
        <v>5</v>
      </c>
      <c r="O72" s="7">
        <f>YEAR(Data[[#This Row],[Date]])</f>
        <v>2019</v>
      </c>
      <c r="P72" s="2">
        <v>0.53194444444444444</v>
      </c>
      <c r="Q72" t="s">
        <v>32</v>
      </c>
      <c r="R72">
        <v>626.36</v>
      </c>
      <c r="S72">
        <v>223.7</v>
      </c>
      <c r="T72">
        <v>9.6</v>
      </c>
    </row>
    <row r="73" spans="1:20" x14ac:dyDescent="0.55000000000000004">
      <c r="A73" t="s">
        <v>106</v>
      </c>
      <c r="B73" t="s">
        <v>24</v>
      </c>
      <c r="C73" t="s">
        <v>25</v>
      </c>
      <c r="D73" t="str">
        <f>"Br. "&amp;Data[[#This Row],[Branch]]&amp;" ("&amp;Data[[#This Row],[City]]&amp;")"</f>
        <v>Br. C (Naypyitaw)</v>
      </c>
      <c r="E73" t="s">
        <v>26</v>
      </c>
      <c r="F73" t="s">
        <v>30</v>
      </c>
      <c r="G73" t="s">
        <v>45</v>
      </c>
      <c r="H73">
        <v>62.12</v>
      </c>
      <c r="I73">
        <v>10</v>
      </c>
      <c r="J73">
        <v>31.06</v>
      </c>
      <c r="K73">
        <v>621.20000000000005</v>
      </c>
      <c r="L73" s="1">
        <v>43586</v>
      </c>
      <c r="M73" s="7">
        <f>DAY(Data[[#This Row],[Date]])</f>
        <v>1</v>
      </c>
      <c r="N73" s="7">
        <f>MONTH(Data[[#This Row],[Date]])</f>
        <v>5</v>
      </c>
      <c r="O73" s="7">
        <f>YEAR(Data[[#This Row],[Date]])</f>
        <v>2019</v>
      </c>
      <c r="P73" s="2">
        <v>0.67986111111111114</v>
      </c>
      <c r="Q73" t="s">
        <v>28</v>
      </c>
      <c r="R73">
        <v>434.84</v>
      </c>
      <c r="S73">
        <v>155.30000000000001</v>
      </c>
      <c r="T73">
        <v>5.9</v>
      </c>
    </row>
    <row r="74" spans="1:20" x14ac:dyDescent="0.55000000000000004">
      <c r="A74" t="s">
        <v>107</v>
      </c>
      <c r="B74" t="s">
        <v>41</v>
      </c>
      <c r="C74" t="s">
        <v>42</v>
      </c>
      <c r="D74" t="str">
        <f>"Br. "&amp;Data[[#This Row],[Branch]]&amp;" ("&amp;Data[[#This Row],[City]]&amp;")"</f>
        <v>Br. B (Mandalay)</v>
      </c>
      <c r="E74" t="s">
        <v>19</v>
      </c>
      <c r="F74" t="s">
        <v>20</v>
      </c>
      <c r="G74" t="s">
        <v>43</v>
      </c>
      <c r="H74">
        <v>48.52</v>
      </c>
      <c r="I74">
        <v>3</v>
      </c>
      <c r="J74">
        <v>7.2779999999999996</v>
      </c>
      <c r="K74">
        <v>145.56</v>
      </c>
      <c r="L74" s="1">
        <v>43586</v>
      </c>
      <c r="M74" s="7">
        <f>DAY(Data[[#This Row],[Date]])</f>
        <v>1</v>
      </c>
      <c r="N74" s="7">
        <f>MONTH(Data[[#This Row],[Date]])</f>
        <v>5</v>
      </c>
      <c r="O74" s="7">
        <f>YEAR(Data[[#This Row],[Date]])</f>
        <v>2019</v>
      </c>
      <c r="P74" s="2">
        <v>0.76180555555555551</v>
      </c>
      <c r="Q74" t="s">
        <v>22</v>
      </c>
      <c r="R74">
        <v>101.892</v>
      </c>
      <c r="S74">
        <v>36.39</v>
      </c>
      <c r="T74">
        <v>4</v>
      </c>
    </row>
    <row r="75" spans="1:20" x14ac:dyDescent="0.55000000000000004">
      <c r="A75" t="s">
        <v>108</v>
      </c>
      <c r="B75" t="s">
        <v>24</v>
      </c>
      <c r="C75" t="s">
        <v>25</v>
      </c>
      <c r="D75" t="str">
        <f>"Br. "&amp;Data[[#This Row],[Branch]]&amp;" ("&amp;Data[[#This Row],[City]]&amp;")"</f>
        <v>Br. C (Naypyitaw)</v>
      </c>
      <c r="E75" t="s">
        <v>26</v>
      </c>
      <c r="F75" t="s">
        <v>20</v>
      </c>
      <c r="G75" t="s">
        <v>27</v>
      </c>
      <c r="H75">
        <v>75.91</v>
      </c>
      <c r="I75">
        <v>6</v>
      </c>
      <c r="J75">
        <v>22.773</v>
      </c>
      <c r="K75">
        <v>455.46</v>
      </c>
      <c r="L75" s="1">
        <v>43586</v>
      </c>
      <c r="M75" s="7">
        <f>DAY(Data[[#This Row],[Date]])</f>
        <v>1</v>
      </c>
      <c r="N75" s="7">
        <f>MONTH(Data[[#This Row],[Date]])</f>
        <v>5</v>
      </c>
      <c r="O75" s="7">
        <f>YEAR(Data[[#This Row],[Date]])</f>
        <v>2019</v>
      </c>
      <c r="P75" s="2">
        <v>0.76458333333333328</v>
      </c>
      <c r="Q75" t="s">
        <v>28</v>
      </c>
      <c r="R75">
        <v>318.822</v>
      </c>
      <c r="S75">
        <v>113.86499999999999</v>
      </c>
      <c r="T75">
        <v>8.6999999999999993</v>
      </c>
    </row>
    <row r="76" spans="1:20" x14ac:dyDescent="0.55000000000000004">
      <c r="A76" t="s">
        <v>109</v>
      </c>
      <c r="B76" t="s">
        <v>17</v>
      </c>
      <c r="C76" t="s">
        <v>18</v>
      </c>
      <c r="D76" t="str">
        <f>"Br. "&amp;Data[[#This Row],[Branch]]&amp;" ("&amp;Data[[#This Row],[City]]&amp;")"</f>
        <v>Br. A (Yangon)</v>
      </c>
      <c r="E76" t="s">
        <v>26</v>
      </c>
      <c r="F76" t="s">
        <v>30</v>
      </c>
      <c r="G76" t="s">
        <v>31</v>
      </c>
      <c r="H76">
        <v>74.67</v>
      </c>
      <c r="I76">
        <v>9</v>
      </c>
      <c r="J76">
        <v>33.601500000000001</v>
      </c>
      <c r="K76">
        <v>672.03</v>
      </c>
      <c r="L76" s="1">
        <v>43586</v>
      </c>
      <c r="M76" s="7">
        <f>DAY(Data[[#This Row],[Date]])</f>
        <v>1</v>
      </c>
      <c r="N76" s="7">
        <f>MONTH(Data[[#This Row],[Date]])</f>
        <v>5</v>
      </c>
      <c r="O76" s="7">
        <f>YEAR(Data[[#This Row],[Date]])</f>
        <v>2019</v>
      </c>
      <c r="P76" s="2">
        <v>0.4548611111111111</v>
      </c>
      <c r="Q76" t="s">
        <v>22</v>
      </c>
      <c r="R76">
        <v>470.42099999999999</v>
      </c>
      <c r="S76">
        <v>168.00749999999999</v>
      </c>
      <c r="T76">
        <v>9.4</v>
      </c>
    </row>
    <row r="77" spans="1:20" x14ac:dyDescent="0.55000000000000004">
      <c r="A77" t="s">
        <v>110</v>
      </c>
      <c r="B77" t="s">
        <v>24</v>
      </c>
      <c r="C77" t="s">
        <v>25</v>
      </c>
      <c r="D77" t="str">
        <f>"Br. "&amp;Data[[#This Row],[Branch]]&amp;" ("&amp;Data[[#This Row],[City]]&amp;")"</f>
        <v>Br. C (Naypyitaw)</v>
      </c>
      <c r="E77" t="s">
        <v>26</v>
      </c>
      <c r="F77" t="s">
        <v>20</v>
      </c>
      <c r="G77" t="s">
        <v>27</v>
      </c>
      <c r="H77">
        <v>41.65</v>
      </c>
      <c r="I77">
        <v>10</v>
      </c>
      <c r="J77">
        <v>20.824999999999999</v>
      </c>
      <c r="K77">
        <v>416.5</v>
      </c>
      <c r="L77" s="1">
        <v>43586</v>
      </c>
      <c r="M77" s="7">
        <f>DAY(Data[[#This Row],[Date]])</f>
        <v>1</v>
      </c>
      <c r="N77" s="7">
        <f>MONTH(Data[[#This Row],[Date]])</f>
        <v>5</v>
      </c>
      <c r="O77" s="7">
        <f>YEAR(Data[[#This Row],[Date]])</f>
        <v>2019</v>
      </c>
      <c r="P77" s="2">
        <v>0.71111111111111114</v>
      </c>
      <c r="Q77" t="s">
        <v>32</v>
      </c>
      <c r="R77">
        <v>291.55</v>
      </c>
      <c r="S77">
        <v>104.125</v>
      </c>
      <c r="T77">
        <v>5.4</v>
      </c>
    </row>
    <row r="78" spans="1:20" x14ac:dyDescent="0.55000000000000004">
      <c r="A78" t="s">
        <v>111</v>
      </c>
      <c r="B78" t="s">
        <v>24</v>
      </c>
      <c r="C78" t="s">
        <v>25</v>
      </c>
      <c r="D78" t="str">
        <f>"Br. "&amp;Data[[#This Row],[Branch]]&amp;" ("&amp;Data[[#This Row],[City]]&amp;")"</f>
        <v>Br. C (Naypyitaw)</v>
      </c>
      <c r="E78" t="s">
        <v>19</v>
      </c>
      <c r="F78" t="s">
        <v>30</v>
      </c>
      <c r="G78" t="s">
        <v>45</v>
      </c>
      <c r="H78">
        <v>49.04</v>
      </c>
      <c r="I78">
        <v>9</v>
      </c>
      <c r="J78">
        <v>22.068000000000001</v>
      </c>
      <c r="K78">
        <v>441.36</v>
      </c>
      <c r="L78" s="1">
        <v>43586</v>
      </c>
      <c r="M78" s="7">
        <f>DAY(Data[[#This Row],[Date]])</f>
        <v>1</v>
      </c>
      <c r="N78" s="7">
        <f>MONTH(Data[[#This Row],[Date]])</f>
        <v>5</v>
      </c>
      <c r="O78" s="7">
        <f>YEAR(Data[[#This Row],[Date]])</f>
        <v>2019</v>
      </c>
      <c r="P78" s="2">
        <v>0.59722222222222221</v>
      </c>
      <c r="Q78" t="s">
        <v>32</v>
      </c>
      <c r="R78">
        <v>308.952</v>
      </c>
      <c r="S78">
        <v>110.34</v>
      </c>
      <c r="T78">
        <v>8.6</v>
      </c>
    </row>
    <row r="79" spans="1:20" x14ac:dyDescent="0.55000000000000004">
      <c r="A79" t="s">
        <v>112</v>
      </c>
      <c r="B79" t="s">
        <v>17</v>
      </c>
      <c r="C79" t="s">
        <v>18</v>
      </c>
      <c r="D79" t="str">
        <f>"Br. "&amp;Data[[#This Row],[Branch]]&amp;" ("&amp;Data[[#This Row],[City]]&amp;")"</f>
        <v>Br. A (Yangon)</v>
      </c>
      <c r="E79" t="s">
        <v>19</v>
      </c>
      <c r="F79" t="s">
        <v>20</v>
      </c>
      <c r="G79" t="s">
        <v>45</v>
      </c>
      <c r="H79">
        <v>20.010000000000002</v>
      </c>
      <c r="I79">
        <v>9</v>
      </c>
      <c r="J79">
        <v>9.0045000000000002</v>
      </c>
      <c r="K79">
        <v>180.09</v>
      </c>
      <c r="L79" s="1">
        <v>43586</v>
      </c>
      <c r="M79" s="7">
        <f>DAY(Data[[#This Row],[Date]])</f>
        <v>1</v>
      </c>
      <c r="N79" s="7">
        <f>MONTH(Data[[#This Row],[Date]])</f>
        <v>5</v>
      </c>
      <c r="O79" s="7">
        <f>YEAR(Data[[#This Row],[Date]])</f>
        <v>2019</v>
      </c>
      <c r="P79" s="2">
        <v>0.65833333333333333</v>
      </c>
      <c r="Q79" t="s">
        <v>32</v>
      </c>
      <c r="R79">
        <v>126.063</v>
      </c>
      <c r="S79">
        <v>45.022500000000001</v>
      </c>
      <c r="T79">
        <v>5.7</v>
      </c>
    </row>
    <row r="80" spans="1:20" x14ac:dyDescent="0.55000000000000004">
      <c r="A80" t="s">
        <v>113</v>
      </c>
      <c r="B80" t="s">
        <v>24</v>
      </c>
      <c r="C80" t="s">
        <v>25</v>
      </c>
      <c r="D80" t="str">
        <f>"Br. "&amp;Data[[#This Row],[Branch]]&amp;" ("&amp;Data[[#This Row],[City]]&amp;")"</f>
        <v>Br. C (Naypyitaw)</v>
      </c>
      <c r="E80" t="s">
        <v>19</v>
      </c>
      <c r="F80" t="s">
        <v>20</v>
      </c>
      <c r="G80" t="s">
        <v>43</v>
      </c>
      <c r="H80">
        <v>78.31</v>
      </c>
      <c r="I80">
        <v>10</v>
      </c>
      <c r="J80">
        <v>39.155000000000001</v>
      </c>
      <c r="K80">
        <v>783.1</v>
      </c>
      <c r="L80" s="1">
        <v>43586</v>
      </c>
      <c r="M80" s="7">
        <f>DAY(Data[[#This Row],[Date]])</f>
        <v>1</v>
      </c>
      <c r="N80" s="7">
        <f>MONTH(Data[[#This Row],[Date]])</f>
        <v>5</v>
      </c>
      <c r="O80" s="7">
        <f>YEAR(Data[[#This Row],[Date]])</f>
        <v>2019</v>
      </c>
      <c r="P80" s="2">
        <v>0.68333333333333335</v>
      </c>
      <c r="Q80" t="s">
        <v>22</v>
      </c>
      <c r="R80">
        <v>548.16999999999996</v>
      </c>
      <c r="S80">
        <v>195.77500000000001</v>
      </c>
      <c r="T80">
        <v>6.6</v>
      </c>
    </row>
    <row r="81" spans="1:20" x14ac:dyDescent="0.55000000000000004">
      <c r="A81" t="s">
        <v>114</v>
      </c>
      <c r="B81" t="s">
        <v>24</v>
      </c>
      <c r="C81" t="s">
        <v>25</v>
      </c>
      <c r="D81" t="str">
        <f>"Br. "&amp;Data[[#This Row],[Branch]]&amp;" ("&amp;Data[[#This Row],[City]]&amp;")"</f>
        <v>Br. C (Naypyitaw)</v>
      </c>
      <c r="E81" t="s">
        <v>26</v>
      </c>
      <c r="F81" t="s">
        <v>20</v>
      </c>
      <c r="G81" t="s">
        <v>21</v>
      </c>
      <c r="H81">
        <v>20.38</v>
      </c>
      <c r="I81">
        <v>5</v>
      </c>
      <c r="J81">
        <v>5.0949999999999998</v>
      </c>
      <c r="K81">
        <v>101.9</v>
      </c>
      <c r="L81" s="1">
        <v>43586</v>
      </c>
      <c r="M81" s="7">
        <f>DAY(Data[[#This Row],[Date]])</f>
        <v>1</v>
      </c>
      <c r="N81" s="7">
        <f>MONTH(Data[[#This Row],[Date]])</f>
        <v>5</v>
      </c>
      <c r="O81" s="7">
        <f>YEAR(Data[[#This Row],[Date]])</f>
        <v>2019</v>
      </c>
      <c r="P81" s="2">
        <v>0.78888888888888886</v>
      </c>
      <c r="Q81" t="s">
        <v>28</v>
      </c>
      <c r="R81">
        <v>71.33</v>
      </c>
      <c r="S81">
        <v>25.475000000000001</v>
      </c>
      <c r="T81">
        <v>6</v>
      </c>
    </row>
    <row r="82" spans="1:20" x14ac:dyDescent="0.55000000000000004">
      <c r="A82" t="s">
        <v>115</v>
      </c>
      <c r="B82" t="s">
        <v>24</v>
      </c>
      <c r="C82" t="s">
        <v>25</v>
      </c>
      <c r="D82" t="str">
        <f>"Br. "&amp;Data[[#This Row],[Branch]]&amp;" ("&amp;Data[[#This Row],[City]]&amp;")"</f>
        <v>Br. C (Naypyitaw)</v>
      </c>
      <c r="E82" t="s">
        <v>26</v>
      </c>
      <c r="F82" t="s">
        <v>20</v>
      </c>
      <c r="G82" t="s">
        <v>21</v>
      </c>
      <c r="H82">
        <v>99.19</v>
      </c>
      <c r="I82">
        <v>6</v>
      </c>
      <c r="J82">
        <v>29.757000000000001</v>
      </c>
      <c r="K82">
        <v>595.14</v>
      </c>
      <c r="L82" s="1">
        <v>43586</v>
      </c>
      <c r="M82" s="7">
        <f>DAY(Data[[#This Row],[Date]])</f>
        <v>1</v>
      </c>
      <c r="N82" s="7">
        <f>MONTH(Data[[#This Row],[Date]])</f>
        <v>5</v>
      </c>
      <c r="O82" s="7">
        <f>YEAR(Data[[#This Row],[Date]])</f>
        <v>2019</v>
      </c>
      <c r="P82" s="2">
        <v>0.61250000000000004</v>
      </c>
      <c r="Q82" t="s">
        <v>32</v>
      </c>
      <c r="R82">
        <v>416.59800000000001</v>
      </c>
      <c r="S82">
        <v>148.785</v>
      </c>
      <c r="T82">
        <v>5.5</v>
      </c>
    </row>
    <row r="83" spans="1:20" x14ac:dyDescent="0.55000000000000004">
      <c r="A83" t="s">
        <v>116</v>
      </c>
      <c r="B83" t="s">
        <v>41</v>
      </c>
      <c r="C83" t="s">
        <v>42</v>
      </c>
      <c r="D83" t="str">
        <f>"Br. "&amp;Data[[#This Row],[Branch]]&amp;" ("&amp;Data[[#This Row],[City]]&amp;")"</f>
        <v>Br. B (Mandalay)</v>
      </c>
      <c r="E83" t="s">
        <v>26</v>
      </c>
      <c r="F83" t="s">
        <v>20</v>
      </c>
      <c r="G83" t="s">
        <v>43</v>
      </c>
      <c r="H83">
        <v>96.68</v>
      </c>
      <c r="I83">
        <v>3</v>
      </c>
      <c r="J83">
        <v>14.502000000000001</v>
      </c>
      <c r="K83">
        <v>290.04000000000002</v>
      </c>
      <c r="L83" s="1">
        <v>43586</v>
      </c>
      <c r="M83" s="7">
        <f>DAY(Data[[#This Row],[Date]])</f>
        <v>1</v>
      </c>
      <c r="N83" s="7">
        <f>MONTH(Data[[#This Row],[Date]])</f>
        <v>5</v>
      </c>
      <c r="O83" s="7">
        <f>YEAR(Data[[#This Row],[Date]])</f>
        <v>2019</v>
      </c>
      <c r="P83" s="2">
        <v>0.8305555555555556</v>
      </c>
      <c r="Q83" t="s">
        <v>22</v>
      </c>
      <c r="R83">
        <v>203.02799999999999</v>
      </c>
      <c r="S83">
        <v>72.510000000000005</v>
      </c>
      <c r="T83">
        <v>6.4</v>
      </c>
    </row>
    <row r="84" spans="1:20" x14ac:dyDescent="0.55000000000000004">
      <c r="A84" t="s">
        <v>117</v>
      </c>
      <c r="B84" t="s">
        <v>24</v>
      </c>
      <c r="C84" t="s">
        <v>25</v>
      </c>
      <c r="D84" t="str">
        <f>"Br. "&amp;Data[[#This Row],[Branch]]&amp;" ("&amp;Data[[#This Row],[City]]&amp;")"</f>
        <v>Br. C (Naypyitaw)</v>
      </c>
      <c r="E84" t="s">
        <v>26</v>
      </c>
      <c r="F84" t="s">
        <v>30</v>
      </c>
      <c r="G84" t="s">
        <v>43</v>
      </c>
      <c r="H84">
        <v>19.25</v>
      </c>
      <c r="I84">
        <v>8</v>
      </c>
      <c r="J84">
        <v>7.7</v>
      </c>
      <c r="K84">
        <v>154</v>
      </c>
      <c r="L84" s="1">
        <v>43586</v>
      </c>
      <c r="M84" s="7">
        <f>DAY(Data[[#This Row],[Date]])</f>
        <v>1</v>
      </c>
      <c r="N84" s="7">
        <f>MONTH(Data[[#This Row],[Date]])</f>
        <v>5</v>
      </c>
      <c r="O84" s="7">
        <f>YEAR(Data[[#This Row],[Date]])</f>
        <v>2019</v>
      </c>
      <c r="P84" s="2">
        <v>0.77569444444444446</v>
      </c>
      <c r="Q84" t="s">
        <v>22</v>
      </c>
      <c r="R84">
        <v>107.8</v>
      </c>
      <c r="S84">
        <v>38.5</v>
      </c>
      <c r="T84">
        <v>6.6</v>
      </c>
    </row>
    <row r="85" spans="1:20" x14ac:dyDescent="0.55000000000000004">
      <c r="A85" t="s">
        <v>118</v>
      </c>
      <c r="B85" t="s">
        <v>24</v>
      </c>
      <c r="C85" t="s">
        <v>25</v>
      </c>
      <c r="D85" t="str">
        <f>"Br. "&amp;Data[[#This Row],[Branch]]&amp;" ("&amp;Data[[#This Row],[City]]&amp;")"</f>
        <v>Br. C (Naypyitaw)</v>
      </c>
      <c r="E85" t="s">
        <v>19</v>
      </c>
      <c r="F85" t="s">
        <v>20</v>
      </c>
      <c r="G85" t="s">
        <v>43</v>
      </c>
      <c r="H85">
        <v>80.36</v>
      </c>
      <c r="I85">
        <v>4</v>
      </c>
      <c r="J85">
        <v>16.071999999999999</v>
      </c>
      <c r="K85">
        <v>321.44</v>
      </c>
      <c r="L85" s="1">
        <v>43586</v>
      </c>
      <c r="M85" s="7">
        <f>DAY(Data[[#This Row],[Date]])</f>
        <v>1</v>
      </c>
      <c r="N85" s="7">
        <f>MONTH(Data[[#This Row],[Date]])</f>
        <v>5</v>
      </c>
      <c r="O85" s="7">
        <f>YEAR(Data[[#This Row],[Date]])</f>
        <v>2019</v>
      </c>
      <c r="P85" s="2">
        <v>0.78125</v>
      </c>
      <c r="Q85" t="s">
        <v>32</v>
      </c>
      <c r="R85">
        <v>225.00800000000001</v>
      </c>
      <c r="S85">
        <v>80.36</v>
      </c>
      <c r="T85">
        <v>8.3000000000000007</v>
      </c>
    </row>
    <row r="86" spans="1:20" x14ac:dyDescent="0.55000000000000004">
      <c r="A86" t="s">
        <v>119</v>
      </c>
      <c r="B86" t="s">
        <v>24</v>
      </c>
      <c r="C86" t="s">
        <v>25</v>
      </c>
      <c r="D86" t="str">
        <f>"Br. "&amp;Data[[#This Row],[Branch]]&amp;" ("&amp;Data[[#This Row],[City]]&amp;")"</f>
        <v>Br. C (Naypyitaw)</v>
      </c>
      <c r="E86" t="s">
        <v>19</v>
      </c>
      <c r="F86" t="s">
        <v>30</v>
      </c>
      <c r="G86" t="s">
        <v>35</v>
      </c>
      <c r="H86">
        <v>48.91</v>
      </c>
      <c r="I86">
        <v>5</v>
      </c>
      <c r="J86">
        <v>12.227499999999999</v>
      </c>
      <c r="K86">
        <v>244.55</v>
      </c>
      <c r="L86" s="1">
        <v>43586</v>
      </c>
      <c r="M86" s="7">
        <f>DAY(Data[[#This Row],[Date]])</f>
        <v>1</v>
      </c>
      <c r="N86" s="7">
        <f>MONTH(Data[[#This Row],[Date]])</f>
        <v>5</v>
      </c>
      <c r="O86" s="7">
        <f>YEAR(Data[[#This Row],[Date]])</f>
        <v>2019</v>
      </c>
      <c r="P86" s="2">
        <v>0.4284722222222222</v>
      </c>
      <c r="Q86" t="s">
        <v>28</v>
      </c>
      <c r="R86">
        <v>171.185</v>
      </c>
      <c r="S86">
        <v>61.137500000000003</v>
      </c>
      <c r="T86">
        <v>6.6</v>
      </c>
    </row>
    <row r="87" spans="1:20" x14ac:dyDescent="0.55000000000000004">
      <c r="A87" t="s">
        <v>120</v>
      </c>
      <c r="B87" t="s">
        <v>24</v>
      </c>
      <c r="C87" t="s">
        <v>25</v>
      </c>
      <c r="D87" t="str">
        <f>"Br. "&amp;Data[[#This Row],[Branch]]&amp;" ("&amp;Data[[#This Row],[City]]&amp;")"</f>
        <v>Br. C (Naypyitaw)</v>
      </c>
      <c r="E87" t="s">
        <v>26</v>
      </c>
      <c r="F87" t="s">
        <v>20</v>
      </c>
      <c r="G87" t="s">
        <v>35</v>
      </c>
      <c r="H87">
        <v>83.06</v>
      </c>
      <c r="I87">
        <v>7</v>
      </c>
      <c r="J87">
        <v>29.071000000000002</v>
      </c>
      <c r="K87">
        <v>581.41999999999996</v>
      </c>
      <c r="L87" s="1">
        <v>43586</v>
      </c>
      <c r="M87" s="7">
        <f>DAY(Data[[#This Row],[Date]])</f>
        <v>1</v>
      </c>
      <c r="N87" s="7">
        <f>MONTH(Data[[#This Row],[Date]])</f>
        <v>5</v>
      </c>
      <c r="O87" s="7">
        <f>YEAR(Data[[#This Row],[Date]])</f>
        <v>2019</v>
      </c>
      <c r="P87" s="2">
        <v>0.60486111111111107</v>
      </c>
      <c r="Q87" t="s">
        <v>22</v>
      </c>
      <c r="R87">
        <v>406.99400000000003</v>
      </c>
      <c r="S87">
        <v>145.35499999999999</v>
      </c>
      <c r="T87">
        <v>4</v>
      </c>
    </row>
    <row r="88" spans="1:20" x14ac:dyDescent="0.55000000000000004">
      <c r="A88" t="s">
        <v>121</v>
      </c>
      <c r="B88" t="s">
        <v>24</v>
      </c>
      <c r="C88" t="s">
        <v>25</v>
      </c>
      <c r="D88" t="str">
        <f>"Br. "&amp;Data[[#This Row],[Branch]]&amp;" ("&amp;Data[[#This Row],[City]]&amp;")"</f>
        <v>Br. C (Naypyitaw)</v>
      </c>
      <c r="E88" t="s">
        <v>26</v>
      </c>
      <c r="F88" t="s">
        <v>30</v>
      </c>
      <c r="G88" t="s">
        <v>45</v>
      </c>
      <c r="H88">
        <v>76.52</v>
      </c>
      <c r="I88">
        <v>5</v>
      </c>
      <c r="J88">
        <v>19.13</v>
      </c>
      <c r="K88">
        <v>382.6</v>
      </c>
      <c r="L88" s="1">
        <v>43586</v>
      </c>
      <c r="M88" s="7">
        <f>DAY(Data[[#This Row],[Date]])</f>
        <v>1</v>
      </c>
      <c r="N88" s="7">
        <f>MONTH(Data[[#This Row],[Date]])</f>
        <v>5</v>
      </c>
      <c r="O88" s="7">
        <f>YEAR(Data[[#This Row],[Date]])</f>
        <v>2019</v>
      </c>
      <c r="P88" s="2">
        <v>0.43263888888888891</v>
      </c>
      <c r="Q88" t="s">
        <v>28</v>
      </c>
      <c r="R88">
        <v>267.82</v>
      </c>
      <c r="S88">
        <v>95.65</v>
      </c>
      <c r="T88">
        <v>9.9</v>
      </c>
    </row>
    <row r="89" spans="1:20" x14ac:dyDescent="0.55000000000000004">
      <c r="A89" t="s">
        <v>122</v>
      </c>
      <c r="B89" t="s">
        <v>17</v>
      </c>
      <c r="C89" t="s">
        <v>18</v>
      </c>
      <c r="D89" t="str">
        <f>"Br. "&amp;Data[[#This Row],[Branch]]&amp;" ("&amp;Data[[#This Row],[City]]&amp;")"</f>
        <v>Br. A (Yangon)</v>
      </c>
      <c r="E89" t="s">
        <v>19</v>
      </c>
      <c r="F89" t="s">
        <v>30</v>
      </c>
      <c r="G89" t="s">
        <v>43</v>
      </c>
      <c r="H89">
        <v>49.38</v>
      </c>
      <c r="I89">
        <v>7</v>
      </c>
      <c r="J89">
        <v>17.283000000000001</v>
      </c>
      <c r="K89">
        <v>345.66</v>
      </c>
      <c r="L89" s="1">
        <v>43586</v>
      </c>
      <c r="M89" s="7">
        <f>DAY(Data[[#This Row],[Date]])</f>
        <v>1</v>
      </c>
      <c r="N89" s="7">
        <f>MONTH(Data[[#This Row],[Date]])</f>
        <v>5</v>
      </c>
      <c r="O89" s="7">
        <f>YEAR(Data[[#This Row],[Date]])</f>
        <v>2019</v>
      </c>
      <c r="P89" s="2">
        <v>0.85763888888888884</v>
      </c>
      <c r="Q89" t="s">
        <v>32</v>
      </c>
      <c r="R89">
        <v>241.96199999999999</v>
      </c>
      <c r="S89">
        <v>86.415000000000006</v>
      </c>
      <c r="T89">
        <v>7.3</v>
      </c>
    </row>
    <row r="90" spans="1:20" x14ac:dyDescent="0.55000000000000004">
      <c r="A90" t="s">
        <v>123</v>
      </c>
      <c r="B90" t="s">
        <v>17</v>
      </c>
      <c r="C90" t="s">
        <v>18</v>
      </c>
      <c r="D90" t="str">
        <f>"Br. "&amp;Data[[#This Row],[Branch]]&amp;" ("&amp;Data[[#This Row],[City]]&amp;")"</f>
        <v>Br. A (Yangon)</v>
      </c>
      <c r="E90" t="s">
        <v>26</v>
      </c>
      <c r="F90" t="s">
        <v>30</v>
      </c>
      <c r="G90" t="s">
        <v>35</v>
      </c>
      <c r="H90">
        <v>42.47</v>
      </c>
      <c r="I90">
        <v>1</v>
      </c>
      <c r="J90">
        <v>2.1234999999999999</v>
      </c>
      <c r="K90">
        <v>42.47</v>
      </c>
      <c r="L90" s="1">
        <v>43586</v>
      </c>
      <c r="M90" s="7">
        <f>DAY(Data[[#This Row],[Date]])</f>
        <v>1</v>
      </c>
      <c r="N90" s="7">
        <f>MONTH(Data[[#This Row],[Date]])</f>
        <v>5</v>
      </c>
      <c r="O90" s="7">
        <f>YEAR(Data[[#This Row],[Date]])</f>
        <v>2019</v>
      </c>
      <c r="P90" s="2">
        <v>0.70625000000000004</v>
      </c>
      <c r="Q90" t="s">
        <v>28</v>
      </c>
      <c r="R90">
        <v>29.728999999999999</v>
      </c>
      <c r="S90">
        <v>10.6175</v>
      </c>
      <c r="T90">
        <v>5.7</v>
      </c>
    </row>
    <row r="91" spans="1:20" x14ac:dyDescent="0.55000000000000004">
      <c r="A91" t="s">
        <v>124</v>
      </c>
      <c r="B91" t="s">
        <v>41</v>
      </c>
      <c r="C91" t="s">
        <v>42</v>
      </c>
      <c r="D91" t="str">
        <f>"Br. "&amp;Data[[#This Row],[Branch]]&amp;" ("&amp;Data[[#This Row],[City]]&amp;")"</f>
        <v>Br. B (Mandalay)</v>
      </c>
      <c r="E91" t="s">
        <v>26</v>
      </c>
      <c r="F91" t="s">
        <v>20</v>
      </c>
      <c r="G91" t="s">
        <v>21</v>
      </c>
      <c r="H91">
        <v>76.989999999999995</v>
      </c>
      <c r="I91">
        <v>6</v>
      </c>
      <c r="J91">
        <v>23.097000000000001</v>
      </c>
      <c r="K91">
        <v>461.94</v>
      </c>
      <c r="L91" s="1">
        <v>43586</v>
      </c>
      <c r="M91" s="7">
        <f>DAY(Data[[#This Row],[Date]])</f>
        <v>1</v>
      </c>
      <c r="N91" s="7">
        <f>MONTH(Data[[#This Row],[Date]])</f>
        <v>5</v>
      </c>
      <c r="O91" s="7">
        <f>YEAR(Data[[#This Row],[Date]])</f>
        <v>2019</v>
      </c>
      <c r="P91" s="2">
        <v>0.74652777777777779</v>
      </c>
      <c r="Q91" t="s">
        <v>28</v>
      </c>
      <c r="R91">
        <v>323.358</v>
      </c>
      <c r="S91">
        <v>115.485</v>
      </c>
      <c r="T91">
        <v>6.1</v>
      </c>
    </row>
    <row r="92" spans="1:20" x14ac:dyDescent="0.55000000000000004">
      <c r="A92" t="s">
        <v>125</v>
      </c>
      <c r="B92" t="s">
        <v>24</v>
      </c>
      <c r="C92" t="s">
        <v>25</v>
      </c>
      <c r="D92" t="str">
        <f>"Br. "&amp;Data[[#This Row],[Branch]]&amp;" ("&amp;Data[[#This Row],[City]]&amp;")"</f>
        <v>Br. C (Naypyitaw)</v>
      </c>
      <c r="E92" t="s">
        <v>19</v>
      </c>
      <c r="F92" t="s">
        <v>20</v>
      </c>
      <c r="G92" t="s">
        <v>31</v>
      </c>
      <c r="H92">
        <v>47.38</v>
      </c>
      <c r="I92">
        <v>4</v>
      </c>
      <c r="J92">
        <v>9.4760000000000009</v>
      </c>
      <c r="K92">
        <v>189.52</v>
      </c>
      <c r="L92" s="1">
        <v>43586</v>
      </c>
      <c r="M92" s="7">
        <f>DAY(Data[[#This Row],[Date]])</f>
        <v>1</v>
      </c>
      <c r="N92" s="7">
        <f>MONTH(Data[[#This Row],[Date]])</f>
        <v>5</v>
      </c>
      <c r="O92" s="7">
        <f>YEAR(Data[[#This Row],[Date]])</f>
        <v>2019</v>
      </c>
      <c r="P92" s="2">
        <v>0.43402777777777779</v>
      </c>
      <c r="Q92" t="s">
        <v>28</v>
      </c>
      <c r="R92">
        <v>132.66399999999999</v>
      </c>
      <c r="S92">
        <v>47.38</v>
      </c>
      <c r="T92">
        <v>7.1</v>
      </c>
    </row>
    <row r="93" spans="1:20" x14ac:dyDescent="0.55000000000000004">
      <c r="A93" t="s">
        <v>126</v>
      </c>
      <c r="B93" t="s">
        <v>24</v>
      </c>
      <c r="C93" t="s">
        <v>25</v>
      </c>
      <c r="D93" t="str">
        <f>"Br. "&amp;Data[[#This Row],[Branch]]&amp;" ("&amp;Data[[#This Row],[City]]&amp;")"</f>
        <v>Br. C (Naypyitaw)</v>
      </c>
      <c r="E93" t="s">
        <v>26</v>
      </c>
      <c r="F93" t="s">
        <v>20</v>
      </c>
      <c r="G93" t="s">
        <v>35</v>
      </c>
      <c r="H93">
        <v>44.86</v>
      </c>
      <c r="I93">
        <v>10</v>
      </c>
      <c r="J93">
        <v>22.43</v>
      </c>
      <c r="K93">
        <v>448.6</v>
      </c>
      <c r="L93" s="1">
        <v>43586</v>
      </c>
      <c r="M93" s="7">
        <f>DAY(Data[[#This Row],[Date]])</f>
        <v>1</v>
      </c>
      <c r="N93" s="7">
        <f>MONTH(Data[[#This Row],[Date]])</f>
        <v>5</v>
      </c>
      <c r="O93" s="7">
        <f>YEAR(Data[[#This Row],[Date]])</f>
        <v>2019</v>
      </c>
      <c r="P93" s="2">
        <v>0.82916666666666672</v>
      </c>
      <c r="Q93" t="s">
        <v>22</v>
      </c>
      <c r="R93">
        <v>314.02</v>
      </c>
      <c r="S93">
        <v>112.15</v>
      </c>
      <c r="T93">
        <v>8.1999999999999993</v>
      </c>
    </row>
    <row r="94" spans="1:20" x14ac:dyDescent="0.55000000000000004">
      <c r="A94" t="s">
        <v>127</v>
      </c>
      <c r="B94" t="s">
        <v>17</v>
      </c>
      <c r="C94" t="s">
        <v>18</v>
      </c>
      <c r="D94" t="str">
        <f>"Br. "&amp;Data[[#This Row],[Branch]]&amp;" ("&amp;Data[[#This Row],[City]]&amp;")"</f>
        <v>Br. A (Yangon)</v>
      </c>
      <c r="E94" t="s">
        <v>19</v>
      </c>
      <c r="F94" t="s">
        <v>20</v>
      </c>
      <c r="G94" t="s">
        <v>35</v>
      </c>
      <c r="H94">
        <v>21.98</v>
      </c>
      <c r="I94">
        <v>7</v>
      </c>
      <c r="J94">
        <v>7.6929999999999996</v>
      </c>
      <c r="K94">
        <v>153.86000000000001</v>
      </c>
      <c r="L94" s="1">
        <v>43586</v>
      </c>
      <c r="M94" s="7">
        <f>DAY(Data[[#This Row],[Date]])</f>
        <v>1</v>
      </c>
      <c r="N94" s="7">
        <f>MONTH(Data[[#This Row],[Date]])</f>
        <v>5</v>
      </c>
      <c r="O94" s="7">
        <f>YEAR(Data[[#This Row],[Date]])</f>
        <v>2019</v>
      </c>
      <c r="P94" s="2">
        <v>0.6958333333333333</v>
      </c>
      <c r="Q94" t="s">
        <v>22</v>
      </c>
      <c r="R94">
        <v>107.702</v>
      </c>
      <c r="S94">
        <v>38.465000000000003</v>
      </c>
      <c r="T94">
        <v>5.0999999999999996</v>
      </c>
    </row>
    <row r="95" spans="1:20" x14ac:dyDescent="0.55000000000000004">
      <c r="A95" t="s">
        <v>128</v>
      </c>
      <c r="B95" t="s">
        <v>41</v>
      </c>
      <c r="C95" t="s">
        <v>42</v>
      </c>
      <c r="D95" t="str">
        <f>"Br. "&amp;Data[[#This Row],[Branch]]&amp;" ("&amp;Data[[#This Row],[City]]&amp;")"</f>
        <v>Br. B (Mandalay)</v>
      </c>
      <c r="E95" t="s">
        <v>19</v>
      </c>
      <c r="F95" t="s">
        <v>30</v>
      </c>
      <c r="G95" t="s">
        <v>21</v>
      </c>
      <c r="H95">
        <v>64.36</v>
      </c>
      <c r="I95">
        <v>9</v>
      </c>
      <c r="J95">
        <v>28.962</v>
      </c>
      <c r="K95">
        <v>579.24</v>
      </c>
      <c r="L95" s="1">
        <v>43586</v>
      </c>
      <c r="M95" s="7">
        <f>DAY(Data[[#This Row],[Date]])</f>
        <v>1</v>
      </c>
      <c r="N95" s="7">
        <f>MONTH(Data[[#This Row],[Date]])</f>
        <v>5</v>
      </c>
      <c r="O95" s="7">
        <f>YEAR(Data[[#This Row],[Date]])</f>
        <v>2019</v>
      </c>
      <c r="P95" s="2">
        <v>0.50624999999999998</v>
      </c>
      <c r="Q95" t="s">
        <v>32</v>
      </c>
      <c r="R95">
        <v>405.46800000000002</v>
      </c>
      <c r="S95">
        <v>144.81</v>
      </c>
      <c r="T95">
        <v>8.6</v>
      </c>
    </row>
    <row r="96" spans="1:20" x14ac:dyDescent="0.55000000000000004">
      <c r="A96" t="s">
        <v>129</v>
      </c>
      <c r="B96" t="s">
        <v>24</v>
      </c>
      <c r="C96" t="s">
        <v>25</v>
      </c>
      <c r="D96" t="str">
        <f>"Br. "&amp;Data[[#This Row],[Branch]]&amp;" ("&amp;Data[[#This Row],[City]]&amp;")"</f>
        <v>Br. C (Naypyitaw)</v>
      </c>
      <c r="E96" t="s">
        <v>26</v>
      </c>
      <c r="F96" t="s">
        <v>30</v>
      </c>
      <c r="G96" t="s">
        <v>21</v>
      </c>
      <c r="H96">
        <v>89.75</v>
      </c>
      <c r="I96">
        <v>1</v>
      </c>
      <c r="J96">
        <v>4.4874999999999998</v>
      </c>
      <c r="K96">
        <v>89.75</v>
      </c>
      <c r="L96" s="1">
        <v>43586</v>
      </c>
      <c r="M96" s="7">
        <f>DAY(Data[[#This Row],[Date]])</f>
        <v>1</v>
      </c>
      <c r="N96" s="7">
        <f>MONTH(Data[[#This Row],[Date]])</f>
        <v>5</v>
      </c>
      <c r="O96" s="7">
        <f>YEAR(Data[[#This Row],[Date]])</f>
        <v>2019</v>
      </c>
      <c r="P96" s="2">
        <v>0.83680555555555558</v>
      </c>
      <c r="Q96" t="s">
        <v>32</v>
      </c>
      <c r="R96">
        <v>62.825000000000003</v>
      </c>
      <c r="S96">
        <v>22.4375</v>
      </c>
      <c r="T96">
        <v>6.6</v>
      </c>
    </row>
    <row r="97" spans="1:20" x14ac:dyDescent="0.55000000000000004">
      <c r="A97" t="s">
        <v>130</v>
      </c>
      <c r="B97" t="s">
        <v>17</v>
      </c>
      <c r="C97" t="s">
        <v>18</v>
      </c>
      <c r="D97" t="str">
        <f>"Br. "&amp;Data[[#This Row],[Branch]]&amp;" ("&amp;Data[[#This Row],[City]]&amp;")"</f>
        <v>Br. A (Yangon)</v>
      </c>
      <c r="E97" t="s">
        <v>26</v>
      </c>
      <c r="F97" t="s">
        <v>30</v>
      </c>
      <c r="G97" t="s">
        <v>27</v>
      </c>
      <c r="H97">
        <v>97.16</v>
      </c>
      <c r="I97">
        <v>1</v>
      </c>
      <c r="J97">
        <v>4.8579999999999997</v>
      </c>
      <c r="K97">
        <v>97.16</v>
      </c>
      <c r="L97" s="1">
        <v>43586</v>
      </c>
      <c r="M97" s="7">
        <f>DAY(Data[[#This Row],[Date]])</f>
        <v>1</v>
      </c>
      <c r="N97" s="7">
        <f>MONTH(Data[[#This Row],[Date]])</f>
        <v>5</v>
      </c>
      <c r="O97" s="7">
        <f>YEAR(Data[[#This Row],[Date]])</f>
        <v>2019</v>
      </c>
      <c r="P97" s="2">
        <v>0.85972222222222228</v>
      </c>
      <c r="Q97" t="s">
        <v>22</v>
      </c>
      <c r="R97">
        <v>68.012</v>
      </c>
      <c r="S97">
        <v>24.29</v>
      </c>
      <c r="T97">
        <v>7.2</v>
      </c>
    </row>
    <row r="98" spans="1:20" x14ac:dyDescent="0.55000000000000004">
      <c r="A98" t="s">
        <v>131</v>
      </c>
      <c r="B98" t="s">
        <v>41</v>
      </c>
      <c r="C98" t="s">
        <v>42</v>
      </c>
      <c r="D98" t="str">
        <f>"Br. "&amp;Data[[#This Row],[Branch]]&amp;" ("&amp;Data[[#This Row],[City]]&amp;")"</f>
        <v>Br. B (Mandalay)</v>
      </c>
      <c r="E98" t="s">
        <v>26</v>
      </c>
      <c r="F98" t="s">
        <v>30</v>
      </c>
      <c r="G98" t="s">
        <v>21</v>
      </c>
      <c r="H98">
        <v>87.87</v>
      </c>
      <c r="I98">
        <v>10</v>
      </c>
      <c r="J98">
        <v>43.935000000000002</v>
      </c>
      <c r="K98">
        <v>878.7</v>
      </c>
      <c r="L98" s="1">
        <v>43586</v>
      </c>
      <c r="M98" s="7">
        <f>DAY(Data[[#This Row],[Date]])</f>
        <v>1</v>
      </c>
      <c r="N98" s="7">
        <f>MONTH(Data[[#This Row],[Date]])</f>
        <v>5</v>
      </c>
      <c r="O98" s="7">
        <f>YEAR(Data[[#This Row],[Date]])</f>
        <v>2019</v>
      </c>
      <c r="P98" s="2">
        <v>0.43402777777777779</v>
      </c>
      <c r="Q98" t="s">
        <v>22</v>
      </c>
      <c r="R98">
        <v>615.09</v>
      </c>
      <c r="S98">
        <v>219.67500000000001</v>
      </c>
      <c r="T98">
        <v>5.0999999999999996</v>
      </c>
    </row>
    <row r="99" spans="1:20" x14ac:dyDescent="0.55000000000000004">
      <c r="A99" t="s">
        <v>132</v>
      </c>
      <c r="B99" t="s">
        <v>24</v>
      </c>
      <c r="C99" t="s">
        <v>25</v>
      </c>
      <c r="D99" t="str">
        <f>"Br. "&amp;Data[[#This Row],[Branch]]&amp;" ("&amp;Data[[#This Row],[City]]&amp;")"</f>
        <v>Br. C (Naypyitaw)</v>
      </c>
      <c r="E99" t="s">
        <v>26</v>
      </c>
      <c r="F99" t="s">
        <v>20</v>
      </c>
      <c r="G99" t="s">
        <v>27</v>
      </c>
      <c r="H99">
        <v>12.45</v>
      </c>
      <c r="I99">
        <v>6</v>
      </c>
      <c r="J99">
        <v>3.7349999999999999</v>
      </c>
      <c r="K99">
        <v>74.7</v>
      </c>
      <c r="L99" s="1">
        <v>43586</v>
      </c>
      <c r="M99" s="7">
        <f>DAY(Data[[#This Row],[Date]])</f>
        <v>1</v>
      </c>
      <c r="N99" s="7">
        <f>MONTH(Data[[#This Row],[Date]])</f>
        <v>5</v>
      </c>
      <c r="O99" s="7">
        <f>YEAR(Data[[#This Row],[Date]])</f>
        <v>2019</v>
      </c>
      <c r="P99" s="2">
        <v>0.5493055555555556</v>
      </c>
      <c r="Q99" t="s">
        <v>28</v>
      </c>
      <c r="R99">
        <v>52.29</v>
      </c>
      <c r="S99">
        <v>18.675000000000001</v>
      </c>
      <c r="T99">
        <v>4.0999999999999996</v>
      </c>
    </row>
    <row r="100" spans="1:20" x14ac:dyDescent="0.55000000000000004">
      <c r="A100" t="s">
        <v>133</v>
      </c>
      <c r="B100" t="s">
        <v>17</v>
      </c>
      <c r="C100" t="s">
        <v>18</v>
      </c>
      <c r="D100" t="str">
        <f>"Br. "&amp;Data[[#This Row],[Branch]]&amp;" ("&amp;Data[[#This Row],[City]]&amp;")"</f>
        <v>Br. A (Yangon)</v>
      </c>
      <c r="E100" t="s">
        <v>26</v>
      </c>
      <c r="F100" t="s">
        <v>30</v>
      </c>
      <c r="G100" t="s">
        <v>43</v>
      </c>
      <c r="H100">
        <v>52.75</v>
      </c>
      <c r="I100">
        <v>3</v>
      </c>
      <c r="J100">
        <v>7.9124999999999996</v>
      </c>
      <c r="K100">
        <v>158.25</v>
      </c>
      <c r="L100" s="1">
        <v>43586</v>
      </c>
      <c r="M100" s="7">
        <f>DAY(Data[[#This Row],[Date]])</f>
        <v>1</v>
      </c>
      <c r="N100" s="7">
        <f>MONTH(Data[[#This Row],[Date]])</f>
        <v>5</v>
      </c>
      <c r="O100" s="7">
        <f>YEAR(Data[[#This Row],[Date]])</f>
        <v>2019</v>
      </c>
      <c r="P100" s="2">
        <v>0.42777777777777776</v>
      </c>
      <c r="Q100" t="s">
        <v>22</v>
      </c>
      <c r="R100">
        <v>110.77500000000001</v>
      </c>
      <c r="S100">
        <v>39.5625</v>
      </c>
      <c r="T100">
        <v>9.3000000000000007</v>
      </c>
    </row>
    <row r="101" spans="1:20" x14ac:dyDescent="0.55000000000000004">
      <c r="A101" t="s">
        <v>134</v>
      </c>
      <c r="B101" t="s">
        <v>41</v>
      </c>
      <c r="C101" t="s">
        <v>42</v>
      </c>
      <c r="D101" t="str">
        <f>"Br. "&amp;Data[[#This Row],[Branch]]&amp;" ("&amp;Data[[#This Row],[City]]&amp;")"</f>
        <v>Br. B (Mandalay)</v>
      </c>
      <c r="E101" t="s">
        <v>26</v>
      </c>
      <c r="F101" t="s">
        <v>30</v>
      </c>
      <c r="G101" t="s">
        <v>31</v>
      </c>
      <c r="H101">
        <v>82.7</v>
      </c>
      <c r="I101">
        <v>6</v>
      </c>
      <c r="J101">
        <v>24.81</v>
      </c>
      <c r="K101">
        <v>496.2</v>
      </c>
      <c r="L101" s="1">
        <v>43586</v>
      </c>
      <c r="M101" s="7">
        <f>DAY(Data[[#This Row],[Date]])</f>
        <v>1</v>
      </c>
      <c r="N101" s="7">
        <f>MONTH(Data[[#This Row],[Date]])</f>
        <v>5</v>
      </c>
      <c r="O101" s="7">
        <f>YEAR(Data[[#This Row],[Date]])</f>
        <v>2019</v>
      </c>
      <c r="P101" s="2">
        <v>0.75972222222222219</v>
      </c>
      <c r="Q101" t="s">
        <v>28</v>
      </c>
      <c r="R101">
        <v>347.34</v>
      </c>
      <c r="S101">
        <v>124.05</v>
      </c>
      <c r="T101">
        <v>7.4</v>
      </c>
    </row>
    <row r="102" spans="1:20" x14ac:dyDescent="0.55000000000000004">
      <c r="A102" t="s">
        <v>135</v>
      </c>
      <c r="B102" t="s">
        <v>24</v>
      </c>
      <c r="C102" t="s">
        <v>25</v>
      </c>
      <c r="D102" t="str">
        <f>"Br. "&amp;Data[[#This Row],[Branch]]&amp;" ("&amp;Data[[#This Row],[City]]&amp;")"</f>
        <v>Br. C (Naypyitaw)</v>
      </c>
      <c r="E102" t="s">
        <v>19</v>
      </c>
      <c r="F102" t="s">
        <v>30</v>
      </c>
      <c r="G102" t="s">
        <v>45</v>
      </c>
      <c r="H102">
        <v>48.71</v>
      </c>
      <c r="I102">
        <v>1</v>
      </c>
      <c r="J102">
        <v>2.4355000000000002</v>
      </c>
      <c r="K102">
        <v>48.71</v>
      </c>
      <c r="L102" s="1">
        <v>43586</v>
      </c>
      <c r="M102" s="7">
        <f>DAY(Data[[#This Row],[Date]])</f>
        <v>1</v>
      </c>
      <c r="N102" s="7">
        <f>MONTH(Data[[#This Row],[Date]])</f>
        <v>5</v>
      </c>
      <c r="O102" s="7">
        <f>YEAR(Data[[#This Row],[Date]])</f>
        <v>2019</v>
      </c>
      <c r="P102" s="2">
        <v>0.80555555555555558</v>
      </c>
      <c r="Q102" t="s">
        <v>28</v>
      </c>
      <c r="R102">
        <v>34.097000000000001</v>
      </c>
      <c r="S102">
        <v>12.1775</v>
      </c>
      <c r="T102">
        <v>4.0999999999999996</v>
      </c>
    </row>
    <row r="103" spans="1:20" x14ac:dyDescent="0.55000000000000004">
      <c r="A103" t="s">
        <v>136</v>
      </c>
      <c r="B103" t="s">
        <v>24</v>
      </c>
      <c r="C103" t="s">
        <v>25</v>
      </c>
      <c r="D103" t="str">
        <f>"Br. "&amp;Data[[#This Row],[Branch]]&amp;" ("&amp;Data[[#This Row],[City]]&amp;")"</f>
        <v>Br. C (Naypyitaw)</v>
      </c>
      <c r="E103" t="s">
        <v>26</v>
      </c>
      <c r="F103" t="s">
        <v>30</v>
      </c>
      <c r="G103" t="s">
        <v>45</v>
      </c>
      <c r="H103">
        <v>78.55</v>
      </c>
      <c r="I103">
        <v>9</v>
      </c>
      <c r="J103">
        <v>35.347499999999997</v>
      </c>
      <c r="K103">
        <v>706.95</v>
      </c>
      <c r="L103" s="1">
        <v>43586</v>
      </c>
      <c r="M103" s="7">
        <f>DAY(Data[[#This Row],[Date]])</f>
        <v>1</v>
      </c>
      <c r="N103" s="7">
        <f>MONTH(Data[[#This Row],[Date]])</f>
        <v>5</v>
      </c>
      <c r="O103" s="7">
        <f>YEAR(Data[[#This Row],[Date]])</f>
        <v>2019</v>
      </c>
      <c r="P103" s="2">
        <v>0.55694444444444446</v>
      </c>
      <c r="Q103" t="s">
        <v>28</v>
      </c>
      <c r="R103">
        <v>494.86500000000001</v>
      </c>
      <c r="S103">
        <v>176.73750000000001</v>
      </c>
      <c r="T103">
        <v>7.2</v>
      </c>
    </row>
    <row r="104" spans="1:20" x14ac:dyDescent="0.55000000000000004">
      <c r="A104" t="s">
        <v>137</v>
      </c>
      <c r="B104" t="s">
        <v>24</v>
      </c>
      <c r="C104" t="s">
        <v>25</v>
      </c>
      <c r="D104" t="str">
        <f>"Br. "&amp;Data[[#This Row],[Branch]]&amp;" ("&amp;Data[[#This Row],[City]]&amp;")"</f>
        <v>Br. C (Naypyitaw)</v>
      </c>
      <c r="E104" t="s">
        <v>26</v>
      </c>
      <c r="F104" t="s">
        <v>20</v>
      </c>
      <c r="G104" t="s">
        <v>27</v>
      </c>
      <c r="H104">
        <v>23.07</v>
      </c>
      <c r="I104">
        <v>9</v>
      </c>
      <c r="J104">
        <v>10.381500000000001</v>
      </c>
      <c r="K104">
        <v>207.63</v>
      </c>
      <c r="L104" s="1">
        <v>43586</v>
      </c>
      <c r="M104" s="7">
        <f>DAY(Data[[#This Row],[Date]])</f>
        <v>1</v>
      </c>
      <c r="N104" s="7">
        <f>MONTH(Data[[#This Row],[Date]])</f>
        <v>5</v>
      </c>
      <c r="O104" s="7">
        <f>YEAR(Data[[#This Row],[Date]])</f>
        <v>2019</v>
      </c>
      <c r="P104" s="2">
        <v>0.47708333333333336</v>
      </c>
      <c r="Q104" t="s">
        <v>28</v>
      </c>
      <c r="R104">
        <v>145.34100000000001</v>
      </c>
      <c r="S104">
        <v>51.907499999999999</v>
      </c>
      <c r="T104">
        <v>4.9000000000000004</v>
      </c>
    </row>
    <row r="105" spans="1:20" x14ac:dyDescent="0.55000000000000004">
      <c r="A105" t="s">
        <v>138</v>
      </c>
      <c r="B105" t="s">
        <v>17</v>
      </c>
      <c r="C105" t="s">
        <v>18</v>
      </c>
      <c r="D105" t="str">
        <f>"Br. "&amp;Data[[#This Row],[Branch]]&amp;" ("&amp;Data[[#This Row],[City]]&amp;")"</f>
        <v>Br. A (Yangon)</v>
      </c>
      <c r="E105" t="s">
        <v>26</v>
      </c>
      <c r="F105" t="s">
        <v>30</v>
      </c>
      <c r="G105" t="s">
        <v>43</v>
      </c>
      <c r="H105">
        <v>58.26</v>
      </c>
      <c r="I105">
        <v>6</v>
      </c>
      <c r="J105">
        <v>17.478000000000002</v>
      </c>
      <c r="K105">
        <v>349.56</v>
      </c>
      <c r="L105" s="1">
        <v>43586</v>
      </c>
      <c r="M105" s="7">
        <f>DAY(Data[[#This Row],[Date]])</f>
        <v>1</v>
      </c>
      <c r="N105" s="7">
        <f>MONTH(Data[[#This Row],[Date]])</f>
        <v>5</v>
      </c>
      <c r="O105" s="7">
        <f>YEAR(Data[[#This Row],[Date]])</f>
        <v>2019</v>
      </c>
      <c r="P105" s="2">
        <v>0.69722222222222219</v>
      </c>
      <c r="Q105" t="s">
        <v>28</v>
      </c>
      <c r="R105">
        <v>244.69200000000001</v>
      </c>
      <c r="S105">
        <v>87.39</v>
      </c>
      <c r="T105">
        <v>9.9</v>
      </c>
    </row>
    <row r="106" spans="1:20" x14ac:dyDescent="0.55000000000000004">
      <c r="A106" t="s">
        <v>139</v>
      </c>
      <c r="B106" t="s">
        <v>41</v>
      </c>
      <c r="C106" t="s">
        <v>42</v>
      </c>
      <c r="D106" t="str">
        <f>"Br. "&amp;Data[[#This Row],[Branch]]&amp;" ("&amp;Data[[#This Row],[City]]&amp;")"</f>
        <v>Br. B (Mandalay)</v>
      </c>
      <c r="E106" t="s">
        <v>26</v>
      </c>
      <c r="F106" t="s">
        <v>30</v>
      </c>
      <c r="G106" t="s">
        <v>21</v>
      </c>
      <c r="H106">
        <v>30.35</v>
      </c>
      <c r="I106">
        <v>7</v>
      </c>
      <c r="J106">
        <v>10.6225</v>
      </c>
      <c r="K106">
        <v>212.45</v>
      </c>
      <c r="L106" s="1">
        <v>43586</v>
      </c>
      <c r="M106" s="7">
        <f>DAY(Data[[#This Row],[Date]])</f>
        <v>1</v>
      </c>
      <c r="N106" s="7">
        <f>MONTH(Data[[#This Row],[Date]])</f>
        <v>5</v>
      </c>
      <c r="O106" s="7">
        <f>YEAR(Data[[#This Row],[Date]])</f>
        <v>2019</v>
      </c>
      <c r="P106" s="2">
        <v>0.7631944444444444</v>
      </c>
      <c r="Q106" t="s">
        <v>28</v>
      </c>
      <c r="R106">
        <v>148.715</v>
      </c>
      <c r="S106">
        <v>53.112499999999997</v>
      </c>
      <c r="T106">
        <v>8</v>
      </c>
    </row>
    <row r="107" spans="1:20" x14ac:dyDescent="0.55000000000000004">
      <c r="A107" t="s">
        <v>140</v>
      </c>
      <c r="B107" t="s">
        <v>17</v>
      </c>
      <c r="C107" t="s">
        <v>18</v>
      </c>
      <c r="D107" t="str">
        <f>"Br. "&amp;Data[[#This Row],[Branch]]&amp;" ("&amp;Data[[#This Row],[City]]&amp;")"</f>
        <v>Br. A (Yangon)</v>
      </c>
      <c r="E107" t="s">
        <v>19</v>
      </c>
      <c r="F107" t="s">
        <v>30</v>
      </c>
      <c r="G107" t="s">
        <v>27</v>
      </c>
      <c r="H107">
        <v>88.67</v>
      </c>
      <c r="I107">
        <v>10</v>
      </c>
      <c r="J107">
        <v>44.335000000000001</v>
      </c>
      <c r="K107">
        <v>886.7</v>
      </c>
      <c r="L107" s="1">
        <v>43586</v>
      </c>
      <c r="M107" s="7">
        <f>DAY(Data[[#This Row],[Date]])</f>
        <v>1</v>
      </c>
      <c r="N107" s="7">
        <f>MONTH(Data[[#This Row],[Date]])</f>
        <v>5</v>
      </c>
      <c r="O107" s="7">
        <f>YEAR(Data[[#This Row],[Date]])</f>
        <v>2019</v>
      </c>
      <c r="P107" s="2">
        <v>0.61805555555555558</v>
      </c>
      <c r="Q107" t="s">
        <v>22</v>
      </c>
      <c r="R107">
        <v>620.69000000000005</v>
      </c>
      <c r="S107">
        <v>221.67500000000001</v>
      </c>
      <c r="T107">
        <v>7.3</v>
      </c>
    </row>
    <row r="108" spans="1:20" x14ac:dyDescent="0.55000000000000004">
      <c r="A108" t="s">
        <v>141</v>
      </c>
      <c r="B108" t="s">
        <v>24</v>
      </c>
      <c r="C108" t="s">
        <v>25</v>
      </c>
      <c r="D108" t="str">
        <f>"Br. "&amp;Data[[#This Row],[Branch]]&amp;" ("&amp;Data[[#This Row],[City]]&amp;")"</f>
        <v>Br. C (Naypyitaw)</v>
      </c>
      <c r="E108" t="s">
        <v>26</v>
      </c>
      <c r="F108" t="s">
        <v>30</v>
      </c>
      <c r="G108" t="s">
        <v>45</v>
      </c>
      <c r="H108">
        <v>27.38</v>
      </c>
      <c r="I108">
        <v>6</v>
      </c>
      <c r="J108">
        <v>8.2140000000000004</v>
      </c>
      <c r="K108">
        <v>164.28</v>
      </c>
      <c r="L108" s="1">
        <v>43586</v>
      </c>
      <c r="M108" s="7">
        <f>DAY(Data[[#This Row],[Date]])</f>
        <v>1</v>
      </c>
      <c r="N108" s="7">
        <f>MONTH(Data[[#This Row],[Date]])</f>
        <v>5</v>
      </c>
      <c r="O108" s="7">
        <f>YEAR(Data[[#This Row],[Date]])</f>
        <v>2019</v>
      </c>
      <c r="P108" s="2">
        <v>0.87083333333333335</v>
      </c>
      <c r="Q108" t="s">
        <v>32</v>
      </c>
      <c r="R108">
        <v>114.996</v>
      </c>
      <c r="S108">
        <v>41.07</v>
      </c>
      <c r="T108">
        <v>7.9</v>
      </c>
    </row>
    <row r="109" spans="1:20" x14ac:dyDescent="0.55000000000000004">
      <c r="A109" t="s">
        <v>142</v>
      </c>
      <c r="B109" t="s">
        <v>17</v>
      </c>
      <c r="C109" t="s">
        <v>18</v>
      </c>
      <c r="D109" t="str">
        <f>"Br. "&amp;Data[[#This Row],[Branch]]&amp;" ("&amp;Data[[#This Row],[City]]&amp;")"</f>
        <v>Br. A (Yangon)</v>
      </c>
      <c r="E109" t="s">
        <v>26</v>
      </c>
      <c r="F109" t="s">
        <v>30</v>
      </c>
      <c r="G109" t="s">
        <v>35</v>
      </c>
      <c r="H109">
        <v>62.13</v>
      </c>
      <c r="I109">
        <v>6</v>
      </c>
      <c r="J109">
        <v>18.638999999999999</v>
      </c>
      <c r="K109">
        <v>372.78</v>
      </c>
      <c r="L109" s="1">
        <v>43586</v>
      </c>
      <c r="M109" s="7">
        <f>DAY(Data[[#This Row],[Date]])</f>
        <v>1</v>
      </c>
      <c r="N109" s="7">
        <f>MONTH(Data[[#This Row],[Date]])</f>
        <v>5</v>
      </c>
      <c r="O109" s="7">
        <f>YEAR(Data[[#This Row],[Date]])</f>
        <v>2019</v>
      </c>
      <c r="P109" s="2">
        <v>0.84652777777777777</v>
      </c>
      <c r="Q109" t="s">
        <v>28</v>
      </c>
      <c r="R109">
        <v>260.94600000000003</v>
      </c>
      <c r="S109">
        <v>93.194999999999993</v>
      </c>
      <c r="T109">
        <v>7.4</v>
      </c>
    </row>
    <row r="110" spans="1:20" x14ac:dyDescent="0.55000000000000004">
      <c r="A110" t="s">
        <v>143</v>
      </c>
      <c r="B110" t="s">
        <v>24</v>
      </c>
      <c r="C110" t="s">
        <v>25</v>
      </c>
      <c r="D110" t="str">
        <f>"Br. "&amp;Data[[#This Row],[Branch]]&amp;" ("&amp;Data[[#This Row],[City]]&amp;")"</f>
        <v>Br. C (Naypyitaw)</v>
      </c>
      <c r="E110" t="s">
        <v>26</v>
      </c>
      <c r="F110" t="s">
        <v>20</v>
      </c>
      <c r="G110" t="s">
        <v>43</v>
      </c>
      <c r="H110">
        <v>33.979999999999997</v>
      </c>
      <c r="I110">
        <v>9</v>
      </c>
      <c r="J110">
        <v>15.291</v>
      </c>
      <c r="K110">
        <v>305.82</v>
      </c>
      <c r="L110" s="1">
        <v>43881</v>
      </c>
      <c r="M110" s="7">
        <f>DAY(Data[[#This Row],[Date]])</f>
        <v>20</v>
      </c>
      <c r="N110" s="7">
        <f>MONTH(Data[[#This Row],[Date]])</f>
        <v>2</v>
      </c>
      <c r="O110" s="7">
        <f>YEAR(Data[[#This Row],[Date]])</f>
        <v>2020</v>
      </c>
      <c r="P110" s="2">
        <v>0.4465277777777778</v>
      </c>
      <c r="Q110" t="s">
        <v>28</v>
      </c>
      <c r="R110">
        <v>214.07400000000001</v>
      </c>
      <c r="S110">
        <v>76.454999999999998</v>
      </c>
      <c r="T110">
        <v>4.2</v>
      </c>
    </row>
    <row r="111" spans="1:20" x14ac:dyDescent="0.55000000000000004">
      <c r="A111" t="s">
        <v>144</v>
      </c>
      <c r="B111" t="s">
        <v>24</v>
      </c>
      <c r="C111" t="s">
        <v>25</v>
      </c>
      <c r="D111" t="str">
        <f>"Br. "&amp;Data[[#This Row],[Branch]]&amp;" ("&amp;Data[[#This Row],[City]]&amp;")"</f>
        <v>Br. C (Naypyitaw)</v>
      </c>
      <c r="E111" t="s">
        <v>19</v>
      </c>
      <c r="F111" t="s">
        <v>30</v>
      </c>
      <c r="G111" t="s">
        <v>27</v>
      </c>
      <c r="H111">
        <v>81.97</v>
      </c>
      <c r="I111">
        <v>10</v>
      </c>
      <c r="J111">
        <v>40.984999999999999</v>
      </c>
      <c r="K111">
        <v>819.7</v>
      </c>
      <c r="L111" s="1">
        <v>43881</v>
      </c>
      <c r="M111" s="7">
        <f>DAY(Data[[#This Row],[Date]])</f>
        <v>20</v>
      </c>
      <c r="N111" s="7">
        <f>MONTH(Data[[#This Row],[Date]])</f>
        <v>2</v>
      </c>
      <c r="O111" s="7">
        <f>YEAR(Data[[#This Row],[Date]])</f>
        <v>2020</v>
      </c>
      <c r="P111" s="2">
        <v>0.60416666666666663</v>
      </c>
      <c r="Q111" t="s">
        <v>28</v>
      </c>
      <c r="R111">
        <v>573.79</v>
      </c>
      <c r="S111">
        <v>204.92500000000001</v>
      </c>
      <c r="T111">
        <v>9.1999999999999993</v>
      </c>
    </row>
    <row r="112" spans="1:20" x14ac:dyDescent="0.55000000000000004">
      <c r="A112" t="s">
        <v>145</v>
      </c>
      <c r="B112" t="s">
        <v>41</v>
      </c>
      <c r="C112" t="s">
        <v>42</v>
      </c>
      <c r="D112" t="str">
        <f>"Br. "&amp;Data[[#This Row],[Branch]]&amp;" ("&amp;Data[[#This Row],[City]]&amp;")"</f>
        <v>Br. B (Mandalay)</v>
      </c>
      <c r="E112" t="s">
        <v>19</v>
      </c>
      <c r="F112" t="s">
        <v>20</v>
      </c>
      <c r="G112" t="s">
        <v>35</v>
      </c>
      <c r="H112">
        <v>16.489999999999998</v>
      </c>
      <c r="I112">
        <v>2</v>
      </c>
      <c r="J112">
        <v>1.649</v>
      </c>
      <c r="K112">
        <v>32.979999999999997</v>
      </c>
      <c r="L112" s="1">
        <v>43881</v>
      </c>
      <c r="M112" s="7">
        <f>DAY(Data[[#This Row],[Date]])</f>
        <v>20</v>
      </c>
      <c r="N112" s="7">
        <f>MONTH(Data[[#This Row],[Date]])</f>
        <v>2</v>
      </c>
      <c r="O112" s="7">
        <f>YEAR(Data[[#This Row],[Date]])</f>
        <v>2020</v>
      </c>
      <c r="P112" s="2">
        <v>0.48055555555555557</v>
      </c>
      <c r="Q112" t="s">
        <v>22</v>
      </c>
      <c r="R112">
        <v>23.085999999999999</v>
      </c>
      <c r="S112">
        <v>8.2449999999999992</v>
      </c>
      <c r="T112">
        <v>4.5999999999999996</v>
      </c>
    </row>
    <row r="113" spans="1:20" x14ac:dyDescent="0.55000000000000004">
      <c r="A113" t="s">
        <v>146</v>
      </c>
      <c r="B113" t="s">
        <v>24</v>
      </c>
      <c r="C113" t="s">
        <v>25</v>
      </c>
      <c r="D113" t="str">
        <f>"Br. "&amp;Data[[#This Row],[Branch]]&amp;" ("&amp;Data[[#This Row],[City]]&amp;")"</f>
        <v>Br. C (Naypyitaw)</v>
      </c>
      <c r="E113" t="s">
        <v>19</v>
      </c>
      <c r="F113" t="s">
        <v>20</v>
      </c>
      <c r="G113" t="s">
        <v>21</v>
      </c>
      <c r="H113">
        <v>98.21</v>
      </c>
      <c r="I113">
        <v>3</v>
      </c>
      <c r="J113">
        <v>14.7315</v>
      </c>
      <c r="K113">
        <v>294.63</v>
      </c>
      <c r="L113" s="1">
        <v>43881</v>
      </c>
      <c r="M113" s="7">
        <f>DAY(Data[[#This Row],[Date]])</f>
        <v>20</v>
      </c>
      <c r="N113" s="7">
        <f>MONTH(Data[[#This Row],[Date]])</f>
        <v>2</v>
      </c>
      <c r="O113" s="7">
        <f>YEAR(Data[[#This Row],[Date]])</f>
        <v>2020</v>
      </c>
      <c r="P113" s="2">
        <v>0.44513888888888886</v>
      </c>
      <c r="Q113" t="s">
        <v>32</v>
      </c>
      <c r="R113">
        <v>206.24100000000001</v>
      </c>
      <c r="S113">
        <v>73.657499999999999</v>
      </c>
      <c r="T113">
        <v>7.8</v>
      </c>
    </row>
    <row r="114" spans="1:20" x14ac:dyDescent="0.55000000000000004">
      <c r="A114" t="s">
        <v>147</v>
      </c>
      <c r="B114" t="s">
        <v>41</v>
      </c>
      <c r="C114" t="s">
        <v>42</v>
      </c>
      <c r="D114" t="str">
        <f>"Br. "&amp;Data[[#This Row],[Branch]]&amp;" ("&amp;Data[[#This Row],[City]]&amp;")"</f>
        <v>Br. B (Mandalay)</v>
      </c>
      <c r="E114" t="s">
        <v>26</v>
      </c>
      <c r="F114" t="s">
        <v>20</v>
      </c>
      <c r="G114" t="s">
        <v>45</v>
      </c>
      <c r="H114">
        <v>72.84</v>
      </c>
      <c r="I114">
        <v>7</v>
      </c>
      <c r="J114">
        <v>25.494</v>
      </c>
      <c r="K114">
        <v>509.88</v>
      </c>
      <c r="L114" s="1">
        <v>43881</v>
      </c>
      <c r="M114" s="7">
        <f>DAY(Data[[#This Row],[Date]])</f>
        <v>20</v>
      </c>
      <c r="N114" s="7">
        <f>MONTH(Data[[#This Row],[Date]])</f>
        <v>2</v>
      </c>
      <c r="O114" s="7">
        <f>YEAR(Data[[#This Row],[Date]])</f>
        <v>2020</v>
      </c>
      <c r="P114" s="2">
        <v>0.53055555555555556</v>
      </c>
      <c r="Q114" t="s">
        <v>28</v>
      </c>
      <c r="R114">
        <v>356.916</v>
      </c>
      <c r="S114">
        <v>127.47</v>
      </c>
      <c r="T114">
        <v>8.4</v>
      </c>
    </row>
    <row r="115" spans="1:20" x14ac:dyDescent="0.55000000000000004">
      <c r="A115" t="s">
        <v>148</v>
      </c>
      <c r="B115" t="s">
        <v>17</v>
      </c>
      <c r="C115" t="s">
        <v>18</v>
      </c>
      <c r="D115" t="str">
        <f>"Br. "&amp;Data[[#This Row],[Branch]]&amp;" ("&amp;Data[[#This Row],[City]]&amp;")"</f>
        <v>Br. A (Yangon)</v>
      </c>
      <c r="E115" t="s">
        <v>19</v>
      </c>
      <c r="F115" t="s">
        <v>30</v>
      </c>
      <c r="G115" t="s">
        <v>31</v>
      </c>
      <c r="H115">
        <v>58.07</v>
      </c>
      <c r="I115">
        <v>9</v>
      </c>
      <c r="J115">
        <v>26.131499999999999</v>
      </c>
      <c r="K115">
        <v>522.63</v>
      </c>
      <c r="L115" s="1">
        <v>43881</v>
      </c>
      <c r="M115" s="7">
        <f>DAY(Data[[#This Row],[Date]])</f>
        <v>20</v>
      </c>
      <c r="N115" s="7">
        <f>MONTH(Data[[#This Row],[Date]])</f>
        <v>2</v>
      </c>
      <c r="O115" s="7">
        <f>YEAR(Data[[#This Row],[Date]])</f>
        <v>2020</v>
      </c>
      <c r="P115" s="2">
        <v>0.83819444444444446</v>
      </c>
      <c r="Q115" t="s">
        <v>22</v>
      </c>
      <c r="R115">
        <v>365.84100000000001</v>
      </c>
      <c r="S115">
        <v>130.6575</v>
      </c>
      <c r="T115">
        <v>4.3</v>
      </c>
    </row>
    <row r="116" spans="1:20" x14ac:dyDescent="0.55000000000000004">
      <c r="A116" t="s">
        <v>149</v>
      </c>
      <c r="B116" t="s">
        <v>24</v>
      </c>
      <c r="C116" t="s">
        <v>25</v>
      </c>
      <c r="D116" t="str">
        <f>"Br. "&amp;Data[[#This Row],[Branch]]&amp;" ("&amp;Data[[#This Row],[City]]&amp;")"</f>
        <v>Br. C (Naypyitaw)</v>
      </c>
      <c r="E116" t="s">
        <v>19</v>
      </c>
      <c r="F116" t="s">
        <v>20</v>
      </c>
      <c r="G116" t="s">
        <v>31</v>
      </c>
      <c r="H116">
        <v>80.790000000000006</v>
      </c>
      <c r="I116">
        <v>9</v>
      </c>
      <c r="J116">
        <v>36.355499999999999</v>
      </c>
      <c r="K116">
        <v>727.11</v>
      </c>
      <c r="L116" s="1">
        <v>43881</v>
      </c>
      <c r="M116" s="7">
        <f>DAY(Data[[#This Row],[Date]])</f>
        <v>20</v>
      </c>
      <c r="N116" s="7">
        <f>MONTH(Data[[#This Row],[Date]])</f>
        <v>2</v>
      </c>
      <c r="O116" s="7">
        <f>YEAR(Data[[#This Row],[Date]])</f>
        <v>2020</v>
      </c>
      <c r="P116" s="2">
        <v>0.85486111111111107</v>
      </c>
      <c r="Q116" t="s">
        <v>32</v>
      </c>
      <c r="R116">
        <v>508.97699999999998</v>
      </c>
      <c r="S116">
        <v>181.7775</v>
      </c>
      <c r="T116">
        <v>9.5</v>
      </c>
    </row>
    <row r="117" spans="1:20" x14ac:dyDescent="0.55000000000000004">
      <c r="A117" t="s">
        <v>150</v>
      </c>
      <c r="B117" t="s">
        <v>24</v>
      </c>
      <c r="C117" t="s">
        <v>25</v>
      </c>
      <c r="D117" t="str">
        <f>"Br. "&amp;Data[[#This Row],[Branch]]&amp;" ("&amp;Data[[#This Row],[City]]&amp;")"</f>
        <v>Br. C (Naypyitaw)</v>
      </c>
      <c r="E117" t="s">
        <v>26</v>
      </c>
      <c r="F117" t="s">
        <v>20</v>
      </c>
      <c r="G117" t="s">
        <v>45</v>
      </c>
      <c r="H117">
        <v>27.02</v>
      </c>
      <c r="I117">
        <v>3</v>
      </c>
      <c r="J117">
        <v>4.0529999999999999</v>
      </c>
      <c r="K117">
        <v>81.06</v>
      </c>
      <c r="L117" s="1">
        <v>43881</v>
      </c>
      <c r="M117" s="7">
        <f>DAY(Data[[#This Row],[Date]])</f>
        <v>20</v>
      </c>
      <c r="N117" s="7">
        <f>MONTH(Data[[#This Row],[Date]])</f>
        <v>2</v>
      </c>
      <c r="O117" s="7">
        <f>YEAR(Data[[#This Row],[Date]])</f>
        <v>2020</v>
      </c>
      <c r="P117" s="2">
        <v>0.54236111111111107</v>
      </c>
      <c r="Q117" t="s">
        <v>32</v>
      </c>
      <c r="R117">
        <v>56.741999999999997</v>
      </c>
      <c r="S117">
        <v>20.265000000000001</v>
      </c>
      <c r="T117">
        <v>7.1</v>
      </c>
    </row>
    <row r="118" spans="1:20" x14ac:dyDescent="0.55000000000000004">
      <c r="A118" t="s">
        <v>151</v>
      </c>
      <c r="B118" t="s">
        <v>41</v>
      </c>
      <c r="C118" t="s">
        <v>42</v>
      </c>
      <c r="D118" t="str">
        <f>"Br. "&amp;Data[[#This Row],[Branch]]&amp;" ("&amp;Data[[#This Row],[City]]&amp;")"</f>
        <v>Br. B (Mandalay)</v>
      </c>
      <c r="E118" t="s">
        <v>19</v>
      </c>
      <c r="F118" t="s">
        <v>30</v>
      </c>
      <c r="G118" t="s">
        <v>45</v>
      </c>
      <c r="H118">
        <v>21.94</v>
      </c>
      <c r="I118">
        <v>5</v>
      </c>
      <c r="J118">
        <v>5.4850000000000003</v>
      </c>
      <c r="K118">
        <v>109.7</v>
      </c>
      <c r="L118" s="1">
        <v>43881</v>
      </c>
      <c r="M118" s="7">
        <f>DAY(Data[[#This Row],[Date]])</f>
        <v>20</v>
      </c>
      <c r="N118" s="7">
        <f>MONTH(Data[[#This Row],[Date]])</f>
        <v>2</v>
      </c>
      <c r="O118" s="7">
        <f>YEAR(Data[[#This Row],[Date]])</f>
        <v>2020</v>
      </c>
      <c r="P118" s="2">
        <v>0.52013888888888893</v>
      </c>
      <c r="Q118" t="s">
        <v>22</v>
      </c>
      <c r="R118">
        <v>76.790000000000006</v>
      </c>
      <c r="S118">
        <v>27.425000000000001</v>
      </c>
      <c r="T118">
        <v>5.3</v>
      </c>
    </row>
    <row r="119" spans="1:20" x14ac:dyDescent="0.55000000000000004">
      <c r="A119" t="s">
        <v>152</v>
      </c>
      <c r="B119" t="s">
        <v>41</v>
      </c>
      <c r="C119" t="s">
        <v>42</v>
      </c>
      <c r="D119" t="str">
        <f>"Br. "&amp;Data[[#This Row],[Branch]]&amp;" ("&amp;Data[[#This Row],[City]]&amp;")"</f>
        <v>Br. B (Mandalay)</v>
      </c>
      <c r="E119" t="s">
        <v>19</v>
      </c>
      <c r="F119" t="s">
        <v>30</v>
      </c>
      <c r="G119" t="s">
        <v>45</v>
      </c>
      <c r="H119">
        <v>51.36</v>
      </c>
      <c r="I119">
        <v>1</v>
      </c>
      <c r="J119">
        <v>2.5680000000000001</v>
      </c>
      <c r="K119">
        <v>51.36</v>
      </c>
      <c r="L119" s="1">
        <v>43881</v>
      </c>
      <c r="M119" s="7">
        <f>DAY(Data[[#This Row],[Date]])</f>
        <v>20</v>
      </c>
      <c r="N119" s="7">
        <f>MONTH(Data[[#This Row],[Date]])</f>
        <v>2</v>
      </c>
      <c r="O119" s="7">
        <f>YEAR(Data[[#This Row],[Date]])</f>
        <v>2020</v>
      </c>
      <c r="P119" s="2">
        <v>0.6430555555555556</v>
      </c>
      <c r="Q119" t="s">
        <v>22</v>
      </c>
      <c r="R119">
        <v>35.951999999999998</v>
      </c>
      <c r="S119">
        <v>12.84</v>
      </c>
      <c r="T119">
        <v>5.2</v>
      </c>
    </row>
    <row r="120" spans="1:20" x14ac:dyDescent="0.55000000000000004">
      <c r="A120" t="s">
        <v>153</v>
      </c>
      <c r="B120" t="s">
        <v>17</v>
      </c>
      <c r="C120" t="s">
        <v>18</v>
      </c>
      <c r="D120" t="str">
        <f>"Br. "&amp;Data[[#This Row],[Branch]]&amp;" ("&amp;Data[[#This Row],[City]]&amp;")"</f>
        <v>Br. A (Yangon)</v>
      </c>
      <c r="E120" t="s">
        <v>26</v>
      </c>
      <c r="F120" t="s">
        <v>20</v>
      </c>
      <c r="G120" t="s">
        <v>43</v>
      </c>
      <c r="H120">
        <v>10.96</v>
      </c>
      <c r="I120">
        <v>10</v>
      </c>
      <c r="J120">
        <v>5.48</v>
      </c>
      <c r="K120">
        <v>109.6</v>
      </c>
      <c r="L120" s="1">
        <v>43881</v>
      </c>
      <c r="M120" s="7">
        <f>DAY(Data[[#This Row],[Date]])</f>
        <v>20</v>
      </c>
      <c r="N120" s="7">
        <f>MONTH(Data[[#This Row],[Date]])</f>
        <v>2</v>
      </c>
      <c r="O120" s="7">
        <f>YEAR(Data[[#This Row],[Date]])</f>
        <v>2020</v>
      </c>
      <c r="P120" s="2">
        <v>0.8666666666666667</v>
      </c>
      <c r="Q120" t="s">
        <v>22</v>
      </c>
      <c r="R120">
        <v>76.72</v>
      </c>
      <c r="S120">
        <v>27.4</v>
      </c>
      <c r="T120">
        <v>6</v>
      </c>
    </row>
    <row r="121" spans="1:20" x14ac:dyDescent="0.55000000000000004">
      <c r="A121" t="s">
        <v>154</v>
      </c>
      <c r="B121" t="s">
        <v>41</v>
      </c>
      <c r="C121" t="s">
        <v>42</v>
      </c>
      <c r="D121" t="str">
        <f>"Br. "&amp;Data[[#This Row],[Branch]]&amp;" ("&amp;Data[[#This Row],[City]]&amp;")"</f>
        <v>Br. B (Mandalay)</v>
      </c>
      <c r="E121" t="s">
        <v>26</v>
      </c>
      <c r="F121" t="s">
        <v>30</v>
      </c>
      <c r="G121" t="s">
        <v>31</v>
      </c>
      <c r="H121">
        <v>53.44</v>
      </c>
      <c r="I121">
        <v>2</v>
      </c>
      <c r="J121">
        <v>5.3440000000000003</v>
      </c>
      <c r="K121">
        <v>106.88</v>
      </c>
      <c r="L121" s="1">
        <v>43881</v>
      </c>
      <c r="M121" s="7">
        <f>DAY(Data[[#This Row],[Date]])</f>
        <v>20</v>
      </c>
      <c r="N121" s="7">
        <f>MONTH(Data[[#This Row],[Date]])</f>
        <v>2</v>
      </c>
      <c r="O121" s="7">
        <f>YEAR(Data[[#This Row],[Date]])</f>
        <v>2020</v>
      </c>
      <c r="P121" s="2">
        <v>0.85972222222222228</v>
      </c>
      <c r="Q121" t="s">
        <v>22</v>
      </c>
      <c r="R121">
        <v>74.816000000000003</v>
      </c>
      <c r="S121">
        <v>26.72</v>
      </c>
      <c r="T121">
        <v>4.0999999999999996</v>
      </c>
    </row>
    <row r="122" spans="1:20" x14ac:dyDescent="0.55000000000000004">
      <c r="A122" t="s">
        <v>155</v>
      </c>
      <c r="B122" t="s">
        <v>17</v>
      </c>
      <c r="C122" t="s">
        <v>18</v>
      </c>
      <c r="D122" t="str">
        <f>"Br. "&amp;Data[[#This Row],[Branch]]&amp;" ("&amp;Data[[#This Row],[City]]&amp;")"</f>
        <v>Br. A (Yangon)</v>
      </c>
      <c r="E122" t="s">
        <v>26</v>
      </c>
      <c r="F122" t="s">
        <v>20</v>
      </c>
      <c r="G122" t="s">
        <v>27</v>
      </c>
      <c r="H122">
        <v>99.56</v>
      </c>
      <c r="I122">
        <v>8</v>
      </c>
      <c r="J122">
        <v>39.823999999999998</v>
      </c>
      <c r="K122">
        <v>796.48</v>
      </c>
      <c r="L122" s="1">
        <v>43881</v>
      </c>
      <c r="M122" s="7">
        <f>DAY(Data[[#This Row],[Date]])</f>
        <v>20</v>
      </c>
      <c r="N122" s="7">
        <f>MONTH(Data[[#This Row],[Date]])</f>
        <v>2</v>
      </c>
      <c r="O122" s="7">
        <f>YEAR(Data[[#This Row],[Date]])</f>
        <v>2020</v>
      </c>
      <c r="P122" s="2">
        <v>0.7104166666666667</v>
      </c>
      <c r="Q122" t="s">
        <v>32</v>
      </c>
      <c r="R122">
        <v>557.53599999999994</v>
      </c>
      <c r="S122">
        <v>199.12</v>
      </c>
      <c r="T122">
        <v>5.2</v>
      </c>
    </row>
    <row r="123" spans="1:20" x14ac:dyDescent="0.55000000000000004">
      <c r="A123" t="s">
        <v>156</v>
      </c>
      <c r="B123" t="s">
        <v>24</v>
      </c>
      <c r="C123" t="s">
        <v>25</v>
      </c>
      <c r="D123" t="str">
        <f>"Br. "&amp;Data[[#This Row],[Branch]]&amp;" ("&amp;Data[[#This Row],[City]]&amp;")"</f>
        <v>Br. C (Naypyitaw)</v>
      </c>
      <c r="E123" t="s">
        <v>19</v>
      </c>
      <c r="F123" t="s">
        <v>30</v>
      </c>
      <c r="G123" t="s">
        <v>35</v>
      </c>
      <c r="H123">
        <v>57.12</v>
      </c>
      <c r="I123">
        <v>7</v>
      </c>
      <c r="J123">
        <v>19.992000000000001</v>
      </c>
      <c r="K123">
        <v>399.84</v>
      </c>
      <c r="L123" s="1">
        <v>43881</v>
      </c>
      <c r="M123" s="7">
        <f>DAY(Data[[#This Row],[Date]])</f>
        <v>20</v>
      </c>
      <c r="N123" s="7">
        <f>MONTH(Data[[#This Row],[Date]])</f>
        <v>2</v>
      </c>
      <c r="O123" s="7">
        <f>YEAR(Data[[#This Row],[Date]])</f>
        <v>2020</v>
      </c>
      <c r="P123" s="2">
        <v>0.50138888888888888</v>
      </c>
      <c r="Q123" t="s">
        <v>32</v>
      </c>
      <c r="R123">
        <v>279.88799999999998</v>
      </c>
      <c r="S123">
        <v>99.96</v>
      </c>
      <c r="T123">
        <v>6.5</v>
      </c>
    </row>
    <row r="124" spans="1:20" x14ac:dyDescent="0.55000000000000004">
      <c r="A124" t="s">
        <v>157</v>
      </c>
      <c r="B124" t="s">
        <v>41</v>
      </c>
      <c r="C124" t="s">
        <v>42</v>
      </c>
      <c r="D124" t="str">
        <f>"Br. "&amp;Data[[#This Row],[Branch]]&amp;" ("&amp;Data[[#This Row],[City]]&amp;")"</f>
        <v>Br. B (Mandalay)</v>
      </c>
      <c r="E124" t="s">
        <v>19</v>
      </c>
      <c r="F124" t="s">
        <v>30</v>
      </c>
      <c r="G124" t="s">
        <v>35</v>
      </c>
      <c r="H124">
        <v>99.96</v>
      </c>
      <c r="I124">
        <v>9</v>
      </c>
      <c r="J124">
        <v>44.981999999999999</v>
      </c>
      <c r="K124">
        <v>899.64</v>
      </c>
      <c r="L124" s="1">
        <v>43881</v>
      </c>
      <c r="M124" s="7">
        <f>DAY(Data[[#This Row],[Date]])</f>
        <v>20</v>
      </c>
      <c r="N124" s="7">
        <f>MONTH(Data[[#This Row],[Date]])</f>
        <v>2</v>
      </c>
      <c r="O124" s="7">
        <f>YEAR(Data[[#This Row],[Date]])</f>
        <v>2020</v>
      </c>
      <c r="P124" s="2">
        <v>0.72638888888888886</v>
      </c>
      <c r="Q124" t="s">
        <v>32</v>
      </c>
      <c r="R124">
        <v>629.74800000000005</v>
      </c>
      <c r="S124">
        <v>224.91</v>
      </c>
      <c r="T124">
        <v>4.2</v>
      </c>
    </row>
    <row r="125" spans="1:20" x14ac:dyDescent="0.55000000000000004">
      <c r="A125" t="s">
        <v>158</v>
      </c>
      <c r="B125" t="s">
        <v>24</v>
      </c>
      <c r="C125" t="s">
        <v>25</v>
      </c>
      <c r="D125" t="str">
        <f>"Br. "&amp;Data[[#This Row],[Branch]]&amp;" ("&amp;Data[[#This Row],[City]]&amp;")"</f>
        <v>Br. C (Naypyitaw)</v>
      </c>
      <c r="E125" t="s">
        <v>19</v>
      </c>
      <c r="F125" t="s">
        <v>30</v>
      </c>
      <c r="G125" t="s">
        <v>31</v>
      </c>
      <c r="H125">
        <v>63.91</v>
      </c>
      <c r="I125">
        <v>8</v>
      </c>
      <c r="J125">
        <v>25.564</v>
      </c>
      <c r="K125">
        <v>511.28</v>
      </c>
      <c r="L125" s="1">
        <v>43881</v>
      </c>
      <c r="M125" s="7">
        <f>DAY(Data[[#This Row],[Date]])</f>
        <v>20</v>
      </c>
      <c r="N125" s="7">
        <f>MONTH(Data[[#This Row],[Date]])</f>
        <v>2</v>
      </c>
      <c r="O125" s="7">
        <f>YEAR(Data[[#This Row],[Date]])</f>
        <v>2020</v>
      </c>
      <c r="P125" s="2">
        <v>0.82777777777777772</v>
      </c>
      <c r="Q125" t="s">
        <v>32</v>
      </c>
      <c r="R125">
        <v>357.89600000000002</v>
      </c>
      <c r="S125">
        <v>127.82</v>
      </c>
      <c r="T125">
        <v>4.5999999999999996</v>
      </c>
    </row>
    <row r="126" spans="1:20" x14ac:dyDescent="0.55000000000000004">
      <c r="A126" t="s">
        <v>159</v>
      </c>
      <c r="B126" t="s">
        <v>41</v>
      </c>
      <c r="C126" t="s">
        <v>42</v>
      </c>
      <c r="D126" t="str">
        <f>"Br. "&amp;Data[[#This Row],[Branch]]&amp;" ("&amp;Data[[#This Row],[City]]&amp;")"</f>
        <v>Br. B (Mandalay)</v>
      </c>
      <c r="E126" t="s">
        <v>19</v>
      </c>
      <c r="F126" t="s">
        <v>20</v>
      </c>
      <c r="G126" t="s">
        <v>45</v>
      </c>
      <c r="H126">
        <v>56.47</v>
      </c>
      <c r="I126">
        <v>8</v>
      </c>
      <c r="J126">
        <v>22.588000000000001</v>
      </c>
      <c r="K126">
        <v>451.76</v>
      </c>
      <c r="L126" s="1">
        <v>43881</v>
      </c>
      <c r="M126" s="7">
        <f>DAY(Data[[#This Row],[Date]])</f>
        <v>20</v>
      </c>
      <c r="N126" s="7">
        <f>MONTH(Data[[#This Row],[Date]])</f>
        <v>2</v>
      </c>
      <c r="O126" s="7">
        <f>YEAR(Data[[#This Row],[Date]])</f>
        <v>2020</v>
      </c>
      <c r="P126" s="2">
        <v>0.62291666666666667</v>
      </c>
      <c r="Q126" t="s">
        <v>22</v>
      </c>
      <c r="R126">
        <v>316.23200000000003</v>
      </c>
      <c r="S126">
        <v>112.94</v>
      </c>
      <c r="T126">
        <v>7.3</v>
      </c>
    </row>
    <row r="127" spans="1:20" x14ac:dyDescent="0.55000000000000004">
      <c r="A127" t="s">
        <v>160</v>
      </c>
      <c r="B127" t="s">
        <v>17</v>
      </c>
      <c r="C127" t="s">
        <v>18</v>
      </c>
      <c r="D127" t="str">
        <f>"Br. "&amp;Data[[#This Row],[Branch]]&amp;" ("&amp;Data[[#This Row],[City]]&amp;")"</f>
        <v>Br. A (Yangon)</v>
      </c>
      <c r="E127" t="s">
        <v>26</v>
      </c>
      <c r="F127" t="s">
        <v>20</v>
      </c>
      <c r="G127" t="s">
        <v>31</v>
      </c>
      <c r="H127">
        <v>93.69</v>
      </c>
      <c r="I127">
        <v>7</v>
      </c>
      <c r="J127">
        <v>32.791499999999999</v>
      </c>
      <c r="K127">
        <v>655.83</v>
      </c>
      <c r="L127" s="1">
        <v>43881</v>
      </c>
      <c r="M127" s="7">
        <f>DAY(Data[[#This Row],[Date]])</f>
        <v>20</v>
      </c>
      <c r="N127" s="7">
        <f>MONTH(Data[[#This Row],[Date]])</f>
        <v>2</v>
      </c>
      <c r="O127" s="7">
        <f>YEAR(Data[[#This Row],[Date]])</f>
        <v>2020</v>
      </c>
      <c r="P127" s="2">
        <v>0.78055555555555556</v>
      </c>
      <c r="Q127" t="s">
        <v>32</v>
      </c>
      <c r="R127">
        <v>459.08100000000002</v>
      </c>
      <c r="S127">
        <v>163.95750000000001</v>
      </c>
      <c r="T127">
        <v>4.5</v>
      </c>
    </row>
    <row r="128" spans="1:20" x14ac:dyDescent="0.55000000000000004">
      <c r="A128" t="s">
        <v>161</v>
      </c>
      <c r="B128" t="s">
        <v>17</v>
      </c>
      <c r="C128" t="s">
        <v>18</v>
      </c>
      <c r="D128" t="str">
        <f>"Br. "&amp;Data[[#This Row],[Branch]]&amp;" ("&amp;Data[[#This Row],[City]]&amp;")"</f>
        <v>Br. A (Yangon)</v>
      </c>
      <c r="E128" t="s">
        <v>26</v>
      </c>
      <c r="F128" t="s">
        <v>20</v>
      </c>
      <c r="G128" t="s">
        <v>35</v>
      </c>
      <c r="H128">
        <v>32.25</v>
      </c>
      <c r="I128">
        <v>5</v>
      </c>
      <c r="J128">
        <v>8.0625</v>
      </c>
      <c r="K128">
        <v>161.25</v>
      </c>
      <c r="L128" s="1">
        <v>43881</v>
      </c>
      <c r="M128" s="7">
        <f>DAY(Data[[#This Row],[Date]])</f>
        <v>20</v>
      </c>
      <c r="N128" s="7">
        <f>MONTH(Data[[#This Row],[Date]])</f>
        <v>2</v>
      </c>
      <c r="O128" s="7">
        <f>YEAR(Data[[#This Row],[Date]])</f>
        <v>2020</v>
      </c>
      <c r="P128" s="2">
        <v>0.55972222222222223</v>
      </c>
      <c r="Q128" t="s">
        <v>28</v>
      </c>
      <c r="R128">
        <v>112.875</v>
      </c>
      <c r="S128">
        <v>40.3125</v>
      </c>
      <c r="T128">
        <v>9</v>
      </c>
    </row>
    <row r="129" spans="1:20" x14ac:dyDescent="0.55000000000000004">
      <c r="A129" t="s">
        <v>162</v>
      </c>
      <c r="B129" t="s">
        <v>24</v>
      </c>
      <c r="C129" t="s">
        <v>25</v>
      </c>
      <c r="D129" t="str">
        <f>"Br. "&amp;Data[[#This Row],[Branch]]&amp;" ("&amp;Data[[#This Row],[City]]&amp;")"</f>
        <v>Br. C (Naypyitaw)</v>
      </c>
      <c r="E129" t="s">
        <v>26</v>
      </c>
      <c r="F129" t="s">
        <v>20</v>
      </c>
      <c r="G129" t="s">
        <v>45</v>
      </c>
      <c r="H129">
        <v>31.73</v>
      </c>
      <c r="I129">
        <v>9</v>
      </c>
      <c r="J129">
        <v>14.278499999999999</v>
      </c>
      <c r="K129">
        <v>285.57</v>
      </c>
      <c r="L129" s="1">
        <v>43881</v>
      </c>
      <c r="M129" s="7">
        <f>DAY(Data[[#This Row],[Date]])</f>
        <v>20</v>
      </c>
      <c r="N129" s="7">
        <f>MONTH(Data[[#This Row],[Date]])</f>
        <v>2</v>
      </c>
      <c r="O129" s="7">
        <f>YEAR(Data[[#This Row],[Date]])</f>
        <v>2020</v>
      </c>
      <c r="P129" s="2">
        <v>0.67847222222222225</v>
      </c>
      <c r="Q129" t="s">
        <v>32</v>
      </c>
      <c r="R129">
        <v>199.899</v>
      </c>
      <c r="S129">
        <v>71.392499999999998</v>
      </c>
      <c r="T129">
        <v>5.9</v>
      </c>
    </row>
    <row r="130" spans="1:20" x14ac:dyDescent="0.55000000000000004">
      <c r="A130" t="s">
        <v>163</v>
      </c>
      <c r="B130" t="s">
        <v>24</v>
      </c>
      <c r="C130" t="s">
        <v>25</v>
      </c>
      <c r="D130" t="str">
        <f>"Br. "&amp;Data[[#This Row],[Branch]]&amp;" ("&amp;Data[[#This Row],[City]]&amp;")"</f>
        <v>Br. C (Naypyitaw)</v>
      </c>
      <c r="E130" t="s">
        <v>19</v>
      </c>
      <c r="F130" t="s">
        <v>20</v>
      </c>
      <c r="G130" t="s">
        <v>43</v>
      </c>
      <c r="H130">
        <v>68.540000000000006</v>
      </c>
      <c r="I130">
        <v>8</v>
      </c>
      <c r="J130">
        <v>27.416</v>
      </c>
      <c r="K130">
        <v>548.32000000000005</v>
      </c>
      <c r="L130" s="1">
        <v>43881</v>
      </c>
      <c r="M130" s="7">
        <f>DAY(Data[[#This Row],[Date]])</f>
        <v>20</v>
      </c>
      <c r="N130" s="7">
        <f>MONTH(Data[[#This Row],[Date]])</f>
        <v>2</v>
      </c>
      <c r="O130" s="7">
        <f>YEAR(Data[[#This Row],[Date]])</f>
        <v>2020</v>
      </c>
      <c r="P130" s="2">
        <v>0.6645833333333333</v>
      </c>
      <c r="Q130" t="s">
        <v>22</v>
      </c>
      <c r="R130">
        <v>383.82400000000001</v>
      </c>
      <c r="S130">
        <v>137.08000000000001</v>
      </c>
      <c r="T130">
        <v>8.5</v>
      </c>
    </row>
    <row r="131" spans="1:20" x14ac:dyDescent="0.55000000000000004">
      <c r="A131" t="s">
        <v>164</v>
      </c>
      <c r="B131" t="s">
        <v>41</v>
      </c>
      <c r="C131" t="s">
        <v>42</v>
      </c>
      <c r="D131" t="str">
        <f>"Br. "&amp;Data[[#This Row],[Branch]]&amp;" ("&amp;Data[[#This Row],[City]]&amp;")"</f>
        <v>Br. B (Mandalay)</v>
      </c>
      <c r="E131" t="s">
        <v>26</v>
      </c>
      <c r="F131" t="s">
        <v>20</v>
      </c>
      <c r="G131" t="s">
        <v>35</v>
      </c>
      <c r="H131">
        <v>90.28</v>
      </c>
      <c r="I131">
        <v>9</v>
      </c>
      <c r="J131">
        <v>40.625999999999998</v>
      </c>
      <c r="K131">
        <v>812.52</v>
      </c>
      <c r="L131" s="1">
        <v>43881</v>
      </c>
      <c r="M131" s="7">
        <f>DAY(Data[[#This Row],[Date]])</f>
        <v>20</v>
      </c>
      <c r="N131" s="7">
        <f>MONTH(Data[[#This Row],[Date]])</f>
        <v>2</v>
      </c>
      <c r="O131" s="7">
        <f>YEAR(Data[[#This Row],[Date]])</f>
        <v>2020</v>
      </c>
      <c r="P131" s="2">
        <v>0.46875</v>
      </c>
      <c r="Q131" t="s">
        <v>22</v>
      </c>
      <c r="R131">
        <v>568.76400000000001</v>
      </c>
      <c r="S131">
        <v>203.13</v>
      </c>
      <c r="T131">
        <v>7.2</v>
      </c>
    </row>
    <row r="132" spans="1:20" x14ac:dyDescent="0.55000000000000004">
      <c r="A132" t="s">
        <v>165</v>
      </c>
      <c r="B132" t="s">
        <v>41</v>
      </c>
      <c r="C132" t="s">
        <v>42</v>
      </c>
      <c r="D132" t="str">
        <f>"Br. "&amp;Data[[#This Row],[Branch]]&amp;" ("&amp;Data[[#This Row],[City]]&amp;")"</f>
        <v>Br. B (Mandalay)</v>
      </c>
      <c r="E132" t="s">
        <v>26</v>
      </c>
      <c r="F132" t="s">
        <v>20</v>
      </c>
      <c r="G132" t="s">
        <v>45</v>
      </c>
      <c r="H132">
        <v>39.619999999999997</v>
      </c>
      <c r="I132">
        <v>7</v>
      </c>
      <c r="J132">
        <v>13.867000000000001</v>
      </c>
      <c r="K132">
        <v>277.33999999999997</v>
      </c>
      <c r="L132" s="1">
        <v>43881</v>
      </c>
      <c r="M132" s="7">
        <f>DAY(Data[[#This Row],[Date]])</f>
        <v>20</v>
      </c>
      <c r="N132" s="7">
        <f>MONTH(Data[[#This Row],[Date]])</f>
        <v>2</v>
      </c>
      <c r="O132" s="7">
        <f>YEAR(Data[[#This Row],[Date]])</f>
        <v>2020</v>
      </c>
      <c r="P132" s="2">
        <v>0.5541666666666667</v>
      </c>
      <c r="Q132" t="s">
        <v>28</v>
      </c>
      <c r="R132">
        <v>194.13800000000001</v>
      </c>
      <c r="S132">
        <v>69.334999999999994</v>
      </c>
      <c r="T132">
        <v>7.5</v>
      </c>
    </row>
    <row r="133" spans="1:20" x14ac:dyDescent="0.55000000000000004">
      <c r="A133" t="s">
        <v>166</v>
      </c>
      <c r="B133" t="s">
        <v>17</v>
      </c>
      <c r="C133" t="s">
        <v>18</v>
      </c>
      <c r="D133" t="str">
        <f>"Br. "&amp;Data[[#This Row],[Branch]]&amp;" ("&amp;Data[[#This Row],[City]]&amp;")"</f>
        <v>Br. A (Yangon)</v>
      </c>
      <c r="E133" t="s">
        <v>19</v>
      </c>
      <c r="F133" t="s">
        <v>20</v>
      </c>
      <c r="G133" t="s">
        <v>35</v>
      </c>
      <c r="H133">
        <v>92.13</v>
      </c>
      <c r="I133">
        <v>6</v>
      </c>
      <c r="J133">
        <v>27.638999999999999</v>
      </c>
      <c r="K133">
        <v>552.78</v>
      </c>
      <c r="L133" s="1">
        <v>43881</v>
      </c>
      <c r="M133" s="7">
        <f>DAY(Data[[#This Row],[Date]])</f>
        <v>20</v>
      </c>
      <c r="N133" s="7">
        <f>MONTH(Data[[#This Row],[Date]])</f>
        <v>2</v>
      </c>
      <c r="O133" s="7">
        <f>YEAR(Data[[#This Row],[Date]])</f>
        <v>2020</v>
      </c>
      <c r="P133" s="2">
        <v>0.8569444444444444</v>
      </c>
      <c r="Q133" t="s">
        <v>28</v>
      </c>
      <c r="R133">
        <v>386.94600000000003</v>
      </c>
      <c r="S133">
        <v>138.19499999999999</v>
      </c>
      <c r="T133">
        <v>8.3000000000000007</v>
      </c>
    </row>
    <row r="134" spans="1:20" x14ac:dyDescent="0.55000000000000004">
      <c r="A134" t="s">
        <v>167</v>
      </c>
      <c r="B134" t="s">
        <v>41</v>
      </c>
      <c r="C134" t="s">
        <v>42</v>
      </c>
      <c r="D134" t="str">
        <f>"Br. "&amp;Data[[#This Row],[Branch]]&amp;" ("&amp;Data[[#This Row],[City]]&amp;")"</f>
        <v>Br. B (Mandalay)</v>
      </c>
      <c r="E134" t="s">
        <v>26</v>
      </c>
      <c r="F134" t="s">
        <v>20</v>
      </c>
      <c r="G134" t="s">
        <v>35</v>
      </c>
      <c r="H134">
        <v>34.840000000000003</v>
      </c>
      <c r="I134">
        <v>4</v>
      </c>
      <c r="J134">
        <v>6.968</v>
      </c>
      <c r="K134">
        <v>139.36000000000001</v>
      </c>
      <c r="L134" s="1">
        <v>43881</v>
      </c>
      <c r="M134" s="7">
        <f>DAY(Data[[#This Row],[Date]])</f>
        <v>20</v>
      </c>
      <c r="N134" s="7">
        <f>MONTH(Data[[#This Row],[Date]])</f>
        <v>2</v>
      </c>
      <c r="O134" s="7">
        <f>YEAR(Data[[#This Row],[Date]])</f>
        <v>2020</v>
      </c>
      <c r="P134" s="2">
        <v>0.77500000000000002</v>
      </c>
      <c r="Q134" t="s">
        <v>28</v>
      </c>
      <c r="R134">
        <v>97.552000000000007</v>
      </c>
      <c r="S134">
        <v>34.840000000000003</v>
      </c>
      <c r="T134">
        <v>7.4</v>
      </c>
    </row>
    <row r="135" spans="1:20" x14ac:dyDescent="0.55000000000000004">
      <c r="A135" t="s">
        <v>168</v>
      </c>
      <c r="B135" t="s">
        <v>41</v>
      </c>
      <c r="C135" t="s">
        <v>42</v>
      </c>
      <c r="D135" t="str">
        <f>"Br. "&amp;Data[[#This Row],[Branch]]&amp;" ("&amp;Data[[#This Row],[City]]&amp;")"</f>
        <v>Br. B (Mandalay)</v>
      </c>
      <c r="E135" t="s">
        <v>19</v>
      </c>
      <c r="F135" t="s">
        <v>30</v>
      </c>
      <c r="G135" t="s">
        <v>27</v>
      </c>
      <c r="H135">
        <v>87.45</v>
      </c>
      <c r="I135">
        <v>6</v>
      </c>
      <c r="J135">
        <v>26.234999999999999</v>
      </c>
      <c r="K135">
        <v>524.70000000000005</v>
      </c>
      <c r="L135" s="1">
        <v>43881</v>
      </c>
      <c r="M135" s="7">
        <f>DAY(Data[[#This Row],[Date]])</f>
        <v>20</v>
      </c>
      <c r="N135" s="7">
        <f>MONTH(Data[[#This Row],[Date]])</f>
        <v>2</v>
      </c>
      <c r="O135" s="7">
        <f>YEAR(Data[[#This Row],[Date]])</f>
        <v>2020</v>
      </c>
      <c r="P135" s="2">
        <v>0.61111111111111116</v>
      </c>
      <c r="Q135" t="s">
        <v>32</v>
      </c>
      <c r="R135">
        <v>367.29</v>
      </c>
      <c r="S135">
        <v>131.17500000000001</v>
      </c>
      <c r="T135">
        <v>8.8000000000000007</v>
      </c>
    </row>
    <row r="136" spans="1:20" x14ac:dyDescent="0.55000000000000004">
      <c r="A136" t="s">
        <v>169</v>
      </c>
      <c r="B136" t="s">
        <v>24</v>
      </c>
      <c r="C136" t="s">
        <v>25</v>
      </c>
      <c r="D136" t="str">
        <f>"Br. "&amp;Data[[#This Row],[Branch]]&amp;" ("&amp;Data[[#This Row],[City]]&amp;")"</f>
        <v>Br. C (Naypyitaw)</v>
      </c>
      <c r="E136" t="s">
        <v>26</v>
      </c>
      <c r="F136" t="s">
        <v>20</v>
      </c>
      <c r="G136" t="s">
        <v>21</v>
      </c>
      <c r="H136">
        <v>81.3</v>
      </c>
      <c r="I136">
        <v>6</v>
      </c>
      <c r="J136">
        <v>24.39</v>
      </c>
      <c r="K136">
        <v>487.8</v>
      </c>
      <c r="L136" s="1">
        <v>43881</v>
      </c>
      <c r="M136" s="7">
        <f>DAY(Data[[#This Row],[Date]])</f>
        <v>20</v>
      </c>
      <c r="N136" s="7">
        <f>MONTH(Data[[#This Row],[Date]])</f>
        <v>2</v>
      </c>
      <c r="O136" s="7">
        <f>YEAR(Data[[#This Row],[Date]])</f>
        <v>2020</v>
      </c>
      <c r="P136" s="2">
        <v>0.69652777777777775</v>
      </c>
      <c r="Q136" t="s">
        <v>22</v>
      </c>
      <c r="R136">
        <v>341.46</v>
      </c>
      <c r="S136">
        <v>121.95</v>
      </c>
      <c r="T136">
        <v>5.3</v>
      </c>
    </row>
    <row r="137" spans="1:20" x14ac:dyDescent="0.55000000000000004">
      <c r="A137" t="s">
        <v>170</v>
      </c>
      <c r="B137" t="s">
        <v>24</v>
      </c>
      <c r="C137" t="s">
        <v>25</v>
      </c>
      <c r="D137" t="str">
        <f>"Br. "&amp;Data[[#This Row],[Branch]]&amp;" ("&amp;Data[[#This Row],[City]]&amp;")"</f>
        <v>Br. C (Naypyitaw)</v>
      </c>
      <c r="E137" t="s">
        <v>26</v>
      </c>
      <c r="F137" t="s">
        <v>30</v>
      </c>
      <c r="G137" t="s">
        <v>45</v>
      </c>
      <c r="H137">
        <v>90.22</v>
      </c>
      <c r="I137">
        <v>3</v>
      </c>
      <c r="J137">
        <v>13.532999999999999</v>
      </c>
      <c r="K137">
        <v>270.66000000000003</v>
      </c>
      <c r="L137" s="1">
        <v>43881</v>
      </c>
      <c r="M137" s="7">
        <f>DAY(Data[[#This Row],[Date]])</f>
        <v>20</v>
      </c>
      <c r="N137" s="7">
        <f>MONTH(Data[[#This Row],[Date]])</f>
        <v>2</v>
      </c>
      <c r="O137" s="7">
        <f>YEAR(Data[[#This Row],[Date]])</f>
        <v>2020</v>
      </c>
      <c r="P137" s="2">
        <v>0.81874999999999998</v>
      </c>
      <c r="Q137" t="s">
        <v>28</v>
      </c>
      <c r="R137">
        <v>189.46199999999999</v>
      </c>
      <c r="S137">
        <v>67.665000000000006</v>
      </c>
      <c r="T137">
        <v>6.2</v>
      </c>
    </row>
    <row r="138" spans="1:20" x14ac:dyDescent="0.55000000000000004">
      <c r="A138" t="s">
        <v>171</v>
      </c>
      <c r="B138" t="s">
        <v>17</v>
      </c>
      <c r="C138" t="s">
        <v>18</v>
      </c>
      <c r="D138" t="str">
        <f>"Br. "&amp;Data[[#This Row],[Branch]]&amp;" ("&amp;Data[[#This Row],[City]]&amp;")"</f>
        <v>Br. A (Yangon)</v>
      </c>
      <c r="E138" t="s">
        <v>26</v>
      </c>
      <c r="F138" t="s">
        <v>20</v>
      </c>
      <c r="G138" t="s">
        <v>27</v>
      </c>
      <c r="H138">
        <v>26.31</v>
      </c>
      <c r="I138">
        <v>5</v>
      </c>
      <c r="J138">
        <v>6.5774999999999997</v>
      </c>
      <c r="K138">
        <v>131.55000000000001</v>
      </c>
      <c r="L138" s="1">
        <v>43881</v>
      </c>
      <c r="M138" s="7">
        <f>DAY(Data[[#This Row],[Date]])</f>
        <v>20</v>
      </c>
      <c r="N138" s="7">
        <f>MONTH(Data[[#This Row],[Date]])</f>
        <v>2</v>
      </c>
      <c r="O138" s="7">
        <f>YEAR(Data[[#This Row],[Date]])</f>
        <v>2020</v>
      </c>
      <c r="P138" s="2">
        <v>0.87430555555555556</v>
      </c>
      <c r="Q138" t="s">
        <v>32</v>
      </c>
      <c r="R138">
        <v>92.084999999999994</v>
      </c>
      <c r="S138">
        <v>32.887500000000003</v>
      </c>
      <c r="T138">
        <v>8.8000000000000007</v>
      </c>
    </row>
    <row r="139" spans="1:20" x14ac:dyDescent="0.55000000000000004">
      <c r="A139" t="s">
        <v>172</v>
      </c>
      <c r="B139" t="s">
        <v>17</v>
      </c>
      <c r="C139" t="s">
        <v>18</v>
      </c>
      <c r="D139" t="str">
        <f>"Br. "&amp;Data[[#This Row],[Branch]]&amp;" ("&amp;Data[[#This Row],[City]]&amp;")"</f>
        <v>Br. A (Yangon)</v>
      </c>
      <c r="E139" t="s">
        <v>19</v>
      </c>
      <c r="F139" t="s">
        <v>20</v>
      </c>
      <c r="G139" t="s">
        <v>31</v>
      </c>
      <c r="H139">
        <v>34.42</v>
      </c>
      <c r="I139">
        <v>6</v>
      </c>
      <c r="J139">
        <v>10.326000000000001</v>
      </c>
      <c r="K139">
        <v>206.52</v>
      </c>
      <c r="L139" s="1">
        <v>43881</v>
      </c>
      <c r="M139" s="7">
        <f>DAY(Data[[#This Row],[Date]])</f>
        <v>20</v>
      </c>
      <c r="N139" s="7">
        <f>MONTH(Data[[#This Row],[Date]])</f>
        <v>2</v>
      </c>
      <c r="O139" s="7">
        <f>YEAR(Data[[#This Row],[Date]])</f>
        <v>2020</v>
      </c>
      <c r="P139" s="2">
        <v>0.65208333333333335</v>
      </c>
      <c r="Q139" t="s">
        <v>28</v>
      </c>
      <c r="R139">
        <v>144.56399999999999</v>
      </c>
      <c r="S139">
        <v>51.63</v>
      </c>
      <c r="T139">
        <v>9.8000000000000007</v>
      </c>
    </row>
    <row r="140" spans="1:20" x14ac:dyDescent="0.55000000000000004">
      <c r="A140" t="s">
        <v>173</v>
      </c>
      <c r="B140" t="s">
        <v>41</v>
      </c>
      <c r="C140" t="s">
        <v>42</v>
      </c>
      <c r="D140" t="str">
        <f>"Br. "&amp;Data[[#This Row],[Branch]]&amp;" ("&amp;Data[[#This Row],[City]]&amp;")"</f>
        <v>Br. B (Mandalay)</v>
      </c>
      <c r="E140" t="s">
        <v>26</v>
      </c>
      <c r="F140" t="s">
        <v>30</v>
      </c>
      <c r="G140" t="s">
        <v>35</v>
      </c>
      <c r="H140">
        <v>51.91</v>
      </c>
      <c r="I140">
        <v>10</v>
      </c>
      <c r="J140">
        <v>25.954999999999998</v>
      </c>
      <c r="K140">
        <v>519.1</v>
      </c>
      <c r="L140" s="1">
        <v>43881</v>
      </c>
      <c r="M140" s="7">
        <f>DAY(Data[[#This Row],[Date]])</f>
        <v>20</v>
      </c>
      <c r="N140" s="7">
        <f>MONTH(Data[[#This Row],[Date]])</f>
        <v>2</v>
      </c>
      <c r="O140" s="7">
        <f>YEAR(Data[[#This Row],[Date]])</f>
        <v>2020</v>
      </c>
      <c r="P140" s="2">
        <v>0.51458333333333328</v>
      </c>
      <c r="Q140" t="s">
        <v>28</v>
      </c>
      <c r="R140">
        <v>363.37</v>
      </c>
      <c r="S140">
        <v>129.77500000000001</v>
      </c>
      <c r="T140">
        <v>8.1999999999999993</v>
      </c>
    </row>
    <row r="141" spans="1:20" x14ac:dyDescent="0.55000000000000004">
      <c r="A141" t="s">
        <v>174</v>
      </c>
      <c r="B141" t="s">
        <v>17</v>
      </c>
      <c r="C141" t="s">
        <v>18</v>
      </c>
      <c r="D141" t="str">
        <f>"Br. "&amp;Data[[#This Row],[Branch]]&amp;" ("&amp;Data[[#This Row],[City]]&amp;")"</f>
        <v>Br. A (Yangon)</v>
      </c>
      <c r="E141" t="s">
        <v>26</v>
      </c>
      <c r="F141" t="s">
        <v>30</v>
      </c>
      <c r="G141" t="s">
        <v>35</v>
      </c>
      <c r="H141">
        <v>72.5</v>
      </c>
      <c r="I141">
        <v>8</v>
      </c>
      <c r="J141">
        <v>29</v>
      </c>
      <c r="K141">
        <v>580</v>
      </c>
      <c r="L141" s="1">
        <v>43881</v>
      </c>
      <c r="M141" s="7">
        <f>DAY(Data[[#This Row],[Date]])</f>
        <v>20</v>
      </c>
      <c r="N141" s="7">
        <f>MONTH(Data[[#This Row],[Date]])</f>
        <v>2</v>
      </c>
      <c r="O141" s="7">
        <f>YEAR(Data[[#This Row],[Date]])</f>
        <v>2020</v>
      </c>
      <c r="P141" s="2">
        <v>0.80902777777777779</v>
      </c>
      <c r="Q141" t="s">
        <v>22</v>
      </c>
      <c r="R141">
        <v>406</v>
      </c>
      <c r="S141">
        <v>145</v>
      </c>
      <c r="T141">
        <v>9.1999999999999993</v>
      </c>
    </row>
    <row r="142" spans="1:20" x14ac:dyDescent="0.55000000000000004">
      <c r="A142" t="s">
        <v>175</v>
      </c>
      <c r="B142" t="s">
        <v>24</v>
      </c>
      <c r="C142" t="s">
        <v>25</v>
      </c>
      <c r="D142" t="str">
        <f>"Br. "&amp;Data[[#This Row],[Branch]]&amp;" ("&amp;Data[[#This Row],[City]]&amp;")"</f>
        <v>Br. C (Naypyitaw)</v>
      </c>
      <c r="E142" t="s">
        <v>19</v>
      </c>
      <c r="F142" t="s">
        <v>20</v>
      </c>
      <c r="G142" t="s">
        <v>35</v>
      </c>
      <c r="H142">
        <v>89.8</v>
      </c>
      <c r="I142">
        <v>10</v>
      </c>
      <c r="J142">
        <v>44.9</v>
      </c>
      <c r="K142">
        <v>898</v>
      </c>
      <c r="L142" s="1">
        <v>43881</v>
      </c>
      <c r="M142" s="7">
        <f>DAY(Data[[#This Row],[Date]])</f>
        <v>20</v>
      </c>
      <c r="N142" s="7">
        <f>MONTH(Data[[#This Row],[Date]])</f>
        <v>2</v>
      </c>
      <c r="O142" s="7">
        <f>YEAR(Data[[#This Row],[Date]])</f>
        <v>2020</v>
      </c>
      <c r="P142" s="2">
        <v>0.54166666666666663</v>
      </c>
      <c r="Q142" t="s">
        <v>32</v>
      </c>
      <c r="R142">
        <v>628.6</v>
      </c>
      <c r="S142">
        <v>224.5</v>
      </c>
      <c r="T142">
        <v>5.4</v>
      </c>
    </row>
    <row r="143" spans="1:20" x14ac:dyDescent="0.55000000000000004">
      <c r="A143" t="s">
        <v>176</v>
      </c>
      <c r="B143" t="s">
        <v>24</v>
      </c>
      <c r="C143" t="s">
        <v>25</v>
      </c>
      <c r="D143" t="str">
        <f>"Br. "&amp;Data[[#This Row],[Branch]]&amp;" ("&amp;Data[[#This Row],[City]]&amp;")"</f>
        <v>Br. C (Naypyitaw)</v>
      </c>
      <c r="E143" t="s">
        <v>19</v>
      </c>
      <c r="F143" t="s">
        <v>30</v>
      </c>
      <c r="G143" t="s">
        <v>21</v>
      </c>
      <c r="H143">
        <v>90.5</v>
      </c>
      <c r="I143">
        <v>10</v>
      </c>
      <c r="J143">
        <v>45.25</v>
      </c>
      <c r="K143">
        <v>905</v>
      </c>
      <c r="L143" s="1">
        <v>43881</v>
      </c>
      <c r="M143" s="7">
        <f>DAY(Data[[#This Row],[Date]])</f>
        <v>20</v>
      </c>
      <c r="N143" s="7">
        <f>MONTH(Data[[#This Row],[Date]])</f>
        <v>2</v>
      </c>
      <c r="O143" s="7">
        <f>YEAR(Data[[#This Row],[Date]])</f>
        <v>2020</v>
      </c>
      <c r="P143" s="2">
        <v>0.57499999999999996</v>
      </c>
      <c r="Q143" t="s">
        <v>28</v>
      </c>
      <c r="R143">
        <v>633.5</v>
      </c>
      <c r="S143">
        <v>226.25</v>
      </c>
      <c r="T143">
        <v>8.1</v>
      </c>
    </row>
    <row r="144" spans="1:20" x14ac:dyDescent="0.55000000000000004">
      <c r="A144" t="s">
        <v>177</v>
      </c>
      <c r="B144" t="s">
        <v>24</v>
      </c>
      <c r="C144" t="s">
        <v>25</v>
      </c>
      <c r="D144" t="str">
        <f>"Br. "&amp;Data[[#This Row],[Branch]]&amp;" ("&amp;Data[[#This Row],[City]]&amp;")"</f>
        <v>Br. C (Naypyitaw)</v>
      </c>
      <c r="E144" t="s">
        <v>19</v>
      </c>
      <c r="F144" t="s">
        <v>20</v>
      </c>
      <c r="G144" t="s">
        <v>21</v>
      </c>
      <c r="H144">
        <v>68.599999999999994</v>
      </c>
      <c r="I144">
        <v>10</v>
      </c>
      <c r="J144">
        <v>34.299999999999997</v>
      </c>
      <c r="K144">
        <v>686</v>
      </c>
      <c r="L144" s="1">
        <v>43881</v>
      </c>
      <c r="M144" s="7">
        <f>DAY(Data[[#This Row],[Date]])</f>
        <v>20</v>
      </c>
      <c r="N144" s="7">
        <f>MONTH(Data[[#This Row],[Date]])</f>
        <v>2</v>
      </c>
      <c r="O144" s="7">
        <f>YEAR(Data[[#This Row],[Date]])</f>
        <v>2020</v>
      </c>
      <c r="P144" s="2">
        <v>0.83125000000000004</v>
      </c>
      <c r="Q144" t="s">
        <v>28</v>
      </c>
      <c r="R144">
        <v>480.2</v>
      </c>
      <c r="S144">
        <v>171.5</v>
      </c>
      <c r="T144">
        <v>9.1</v>
      </c>
    </row>
    <row r="145" spans="1:20" x14ac:dyDescent="0.55000000000000004">
      <c r="A145" t="s">
        <v>178</v>
      </c>
      <c r="B145" t="s">
        <v>24</v>
      </c>
      <c r="C145" t="s">
        <v>25</v>
      </c>
      <c r="D145" t="str">
        <f>"Br. "&amp;Data[[#This Row],[Branch]]&amp;" ("&amp;Data[[#This Row],[City]]&amp;")"</f>
        <v>Br. C (Naypyitaw)</v>
      </c>
      <c r="E145" t="s">
        <v>19</v>
      </c>
      <c r="F145" t="s">
        <v>20</v>
      </c>
      <c r="G145" t="s">
        <v>43</v>
      </c>
      <c r="H145">
        <v>30.41</v>
      </c>
      <c r="I145">
        <v>1</v>
      </c>
      <c r="J145">
        <v>1.5205</v>
      </c>
      <c r="K145">
        <v>30.41</v>
      </c>
      <c r="L145" s="1">
        <v>43881</v>
      </c>
      <c r="M145" s="7">
        <f>DAY(Data[[#This Row],[Date]])</f>
        <v>20</v>
      </c>
      <c r="N145" s="7">
        <f>MONTH(Data[[#This Row],[Date]])</f>
        <v>2</v>
      </c>
      <c r="O145" s="7">
        <f>YEAR(Data[[#This Row],[Date]])</f>
        <v>2020</v>
      </c>
      <c r="P145" s="2">
        <v>0.44166666666666665</v>
      </c>
      <c r="Q145" t="s">
        <v>32</v>
      </c>
      <c r="R145">
        <v>21.286999999999999</v>
      </c>
      <c r="S145">
        <v>7.6025</v>
      </c>
      <c r="T145">
        <v>8.4</v>
      </c>
    </row>
    <row r="146" spans="1:20" x14ac:dyDescent="0.55000000000000004">
      <c r="A146" t="s">
        <v>179</v>
      </c>
      <c r="B146" t="s">
        <v>17</v>
      </c>
      <c r="C146" t="s">
        <v>18</v>
      </c>
      <c r="D146" t="str">
        <f>"Br. "&amp;Data[[#This Row],[Branch]]&amp;" ("&amp;Data[[#This Row],[City]]&amp;")"</f>
        <v>Br. A (Yangon)</v>
      </c>
      <c r="E146" t="s">
        <v>26</v>
      </c>
      <c r="F146" t="s">
        <v>20</v>
      </c>
      <c r="G146" t="s">
        <v>31</v>
      </c>
      <c r="H146">
        <v>77.95</v>
      </c>
      <c r="I146">
        <v>6</v>
      </c>
      <c r="J146">
        <v>23.385000000000002</v>
      </c>
      <c r="K146">
        <v>467.7</v>
      </c>
      <c r="L146" s="1">
        <v>43881</v>
      </c>
      <c r="M146" s="7">
        <f>DAY(Data[[#This Row],[Date]])</f>
        <v>20</v>
      </c>
      <c r="N146" s="7">
        <f>MONTH(Data[[#This Row],[Date]])</f>
        <v>2</v>
      </c>
      <c r="O146" s="7">
        <f>YEAR(Data[[#This Row],[Date]])</f>
        <v>2020</v>
      </c>
      <c r="P146" s="2">
        <v>0.69236111111111109</v>
      </c>
      <c r="Q146" t="s">
        <v>22</v>
      </c>
      <c r="R146">
        <v>327.39</v>
      </c>
      <c r="S146">
        <v>116.925</v>
      </c>
      <c r="T146">
        <v>8</v>
      </c>
    </row>
    <row r="147" spans="1:20" x14ac:dyDescent="0.55000000000000004">
      <c r="A147" t="s">
        <v>180</v>
      </c>
      <c r="B147" t="s">
        <v>24</v>
      </c>
      <c r="C147" t="s">
        <v>25</v>
      </c>
      <c r="D147" t="str">
        <f>"Br. "&amp;Data[[#This Row],[Branch]]&amp;" ("&amp;Data[[#This Row],[City]]&amp;")"</f>
        <v>Br. C (Naypyitaw)</v>
      </c>
      <c r="E147" t="s">
        <v>26</v>
      </c>
      <c r="F147" t="s">
        <v>20</v>
      </c>
      <c r="G147" t="s">
        <v>21</v>
      </c>
      <c r="H147">
        <v>46.26</v>
      </c>
      <c r="I147">
        <v>6</v>
      </c>
      <c r="J147">
        <v>13.878</v>
      </c>
      <c r="K147">
        <v>277.56</v>
      </c>
      <c r="L147" s="1">
        <v>43881</v>
      </c>
      <c r="M147" s="7">
        <f>DAY(Data[[#This Row],[Date]])</f>
        <v>20</v>
      </c>
      <c r="N147" s="7">
        <f>MONTH(Data[[#This Row],[Date]])</f>
        <v>2</v>
      </c>
      <c r="O147" s="7">
        <f>YEAR(Data[[#This Row],[Date]])</f>
        <v>2020</v>
      </c>
      <c r="P147" s="2">
        <v>0.71597222222222223</v>
      </c>
      <c r="Q147" t="s">
        <v>32</v>
      </c>
      <c r="R147">
        <v>194.292</v>
      </c>
      <c r="S147">
        <v>69.39</v>
      </c>
      <c r="T147">
        <v>9.5</v>
      </c>
    </row>
    <row r="148" spans="1:20" x14ac:dyDescent="0.55000000000000004">
      <c r="A148" t="s">
        <v>181</v>
      </c>
      <c r="B148" t="s">
        <v>17</v>
      </c>
      <c r="C148" t="s">
        <v>18</v>
      </c>
      <c r="D148" t="str">
        <f>"Br. "&amp;Data[[#This Row],[Branch]]&amp;" ("&amp;Data[[#This Row],[City]]&amp;")"</f>
        <v>Br. A (Yangon)</v>
      </c>
      <c r="E148" t="s">
        <v>19</v>
      </c>
      <c r="F148" t="s">
        <v>20</v>
      </c>
      <c r="G148" t="s">
        <v>45</v>
      </c>
      <c r="H148">
        <v>30.14</v>
      </c>
      <c r="I148">
        <v>10</v>
      </c>
      <c r="J148">
        <v>15.07</v>
      </c>
      <c r="K148">
        <v>301.39999999999998</v>
      </c>
      <c r="L148" s="1">
        <v>43881</v>
      </c>
      <c r="M148" s="7">
        <f>DAY(Data[[#This Row],[Date]])</f>
        <v>20</v>
      </c>
      <c r="N148" s="7">
        <f>MONTH(Data[[#This Row],[Date]])</f>
        <v>2</v>
      </c>
      <c r="O148" s="7">
        <f>YEAR(Data[[#This Row],[Date]])</f>
        <v>2020</v>
      </c>
      <c r="P148" s="2">
        <v>0.51944444444444449</v>
      </c>
      <c r="Q148" t="s">
        <v>22</v>
      </c>
      <c r="R148">
        <v>210.98</v>
      </c>
      <c r="S148">
        <v>75.349999999999994</v>
      </c>
      <c r="T148">
        <v>9.1999999999999993</v>
      </c>
    </row>
    <row r="149" spans="1:20" x14ac:dyDescent="0.55000000000000004">
      <c r="A149" t="s">
        <v>182</v>
      </c>
      <c r="B149" t="s">
        <v>24</v>
      </c>
      <c r="C149" t="s">
        <v>25</v>
      </c>
      <c r="D149" t="str">
        <f>"Br. "&amp;Data[[#This Row],[Branch]]&amp;" ("&amp;Data[[#This Row],[City]]&amp;")"</f>
        <v>Br. C (Naypyitaw)</v>
      </c>
      <c r="E149" t="s">
        <v>26</v>
      </c>
      <c r="F149" t="s">
        <v>30</v>
      </c>
      <c r="G149" t="s">
        <v>21</v>
      </c>
      <c r="H149">
        <v>66.14</v>
      </c>
      <c r="I149">
        <v>4</v>
      </c>
      <c r="J149">
        <v>13.228</v>
      </c>
      <c r="K149">
        <v>264.56</v>
      </c>
      <c r="L149" s="1">
        <v>43881</v>
      </c>
      <c r="M149" s="7">
        <f>DAY(Data[[#This Row],[Date]])</f>
        <v>20</v>
      </c>
      <c r="N149" s="7">
        <f>MONTH(Data[[#This Row],[Date]])</f>
        <v>2</v>
      </c>
      <c r="O149" s="7">
        <f>YEAR(Data[[#This Row],[Date]])</f>
        <v>2020</v>
      </c>
      <c r="P149" s="2">
        <v>0.53194444444444444</v>
      </c>
      <c r="Q149" t="s">
        <v>32</v>
      </c>
      <c r="R149">
        <v>185.19200000000001</v>
      </c>
      <c r="S149">
        <v>66.14</v>
      </c>
      <c r="T149">
        <v>5.6</v>
      </c>
    </row>
    <row r="150" spans="1:20" x14ac:dyDescent="0.55000000000000004">
      <c r="A150" t="s">
        <v>183</v>
      </c>
      <c r="B150" t="s">
        <v>41</v>
      </c>
      <c r="C150" t="s">
        <v>42</v>
      </c>
      <c r="D150" t="str">
        <f>"Br. "&amp;Data[[#This Row],[Branch]]&amp;" ("&amp;Data[[#This Row],[City]]&amp;")"</f>
        <v>Br. B (Mandalay)</v>
      </c>
      <c r="E150" t="s">
        <v>19</v>
      </c>
      <c r="F150" t="s">
        <v>30</v>
      </c>
      <c r="G150" t="s">
        <v>31</v>
      </c>
      <c r="H150">
        <v>71.86</v>
      </c>
      <c r="I150">
        <v>8</v>
      </c>
      <c r="J150">
        <v>28.744</v>
      </c>
      <c r="K150">
        <v>574.88</v>
      </c>
      <c r="L150" s="1">
        <v>43881</v>
      </c>
      <c r="M150" s="7">
        <f>DAY(Data[[#This Row],[Date]])</f>
        <v>20</v>
      </c>
      <c r="N150" s="7">
        <f>MONTH(Data[[#This Row],[Date]])</f>
        <v>2</v>
      </c>
      <c r="O150" s="7">
        <f>YEAR(Data[[#This Row],[Date]])</f>
        <v>2020</v>
      </c>
      <c r="P150" s="2">
        <v>0.62986111111111109</v>
      </c>
      <c r="Q150" t="s">
        <v>32</v>
      </c>
      <c r="R150">
        <v>402.416</v>
      </c>
      <c r="S150">
        <v>143.72</v>
      </c>
      <c r="T150">
        <v>6.2</v>
      </c>
    </row>
    <row r="151" spans="1:20" x14ac:dyDescent="0.55000000000000004">
      <c r="A151" t="s">
        <v>184</v>
      </c>
      <c r="B151" t="s">
        <v>17</v>
      </c>
      <c r="C151" t="s">
        <v>18</v>
      </c>
      <c r="D151" t="str">
        <f>"Br. "&amp;Data[[#This Row],[Branch]]&amp;" ("&amp;Data[[#This Row],[City]]&amp;")"</f>
        <v>Br. A (Yangon)</v>
      </c>
      <c r="E151" t="s">
        <v>26</v>
      </c>
      <c r="F151" t="s">
        <v>30</v>
      </c>
      <c r="G151" t="s">
        <v>21</v>
      </c>
      <c r="H151">
        <v>32.46</v>
      </c>
      <c r="I151">
        <v>8</v>
      </c>
      <c r="J151">
        <v>12.984</v>
      </c>
      <c r="K151">
        <v>259.68</v>
      </c>
      <c r="L151" s="1">
        <v>43881</v>
      </c>
      <c r="M151" s="7">
        <f>DAY(Data[[#This Row],[Date]])</f>
        <v>20</v>
      </c>
      <c r="N151" s="7">
        <f>MONTH(Data[[#This Row],[Date]])</f>
        <v>2</v>
      </c>
      <c r="O151" s="7">
        <f>YEAR(Data[[#This Row],[Date]])</f>
        <v>2020</v>
      </c>
      <c r="P151" s="2">
        <v>0.57499999999999996</v>
      </c>
      <c r="Q151" t="s">
        <v>32</v>
      </c>
      <c r="R151">
        <v>181.77600000000001</v>
      </c>
      <c r="S151">
        <v>64.92</v>
      </c>
      <c r="T151">
        <v>4.9000000000000004</v>
      </c>
    </row>
    <row r="152" spans="1:20" x14ac:dyDescent="0.55000000000000004">
      <c r="A152" t="s">
        <v>185</v>
      </c>
      <c r="B152" t="s">
        <v>41</v>
      </c>
      <c r="C152" t="s">
        <v>42</v>
      </c>
      <c r="D152" t="str">
        <f>"Br. "&amp;Data[[#This Row],[Branch]]&amp;" ("&amp;Data[[#This Row],[City]]&amp;")"</f>
        <v>Br. B (Mandalay)</v>
      </c>
      <c r="E152" t="s">
        <v>19</v>
      </c>
      <c r="F152" t="s">
        <v>20</v>
      </c>
      <c r="G152" t="s">
        <v>45</v>
      </c>
      <c r="H152">
        <v>91.54</v>
      </c>
      <c r="I152">
        <v>4</v>
      </c>
      <c r="J152">
        <v>18.308</v>
      </c>
      <c r="K152">
        <v>366.16</v>
      </c>
      <c r="L152" s="1">
        <v>43881</v>
      </c>
      <c r="M152" s="7">
        <f>DAY(Data[[#This Row],[Date]])</f>
        <v>20</v>
      </c>
      <c r="N152" s="7">
        <f>MONTH(Data[[#This Row],[Date]])</f>
        <v>2</v>
      </c>
      <c r="O152" s="7">
        <f>YEAR(Data[[#This Row],[Date]])</f>
        <v>2020</v>
      </c>
      <c r="P152" s="2">
        <v>0.80555555555555558</v>
      </c>
      <c r="Q152" t="s">
        <v>32</v>
      </c>
      <c r="R152">
        <v>256.31200000000001</v>
      </c>
      <c r="S152">
        <v>91.54</v>
      </c>
      <c r="T152">
        <v>4.8</v>
      </c>
    </row>
    <row r="153" spans="1:20" x14ac:dyDescent="0.55000000000000004">
      <c r="A153" t="s">
        <v>186</v>
      </c>
      <c r="B153" t="s">
        <v>24</v>
      </c>
      <c r="C153" t="s">
        <v>25</v>
      </c>
      <c r="D153" t="str">
        <f>"Br. "&amp;Data[[#This Row],[Branch]]&amp;" ("&amp;Data[[#This Row],[City]]&amp;")"</f>
        <v>Br. C (Naypyitaw)</v>
      </c>
      <c r="E153" t="s">
        <v>19</v>
      </c>
      <c r="F153" t="s">
        <v>30</v>
      </c>
      <c r="G153" t="s">
        <v>35</v>
      </c>
      <c r="H153">
        <v>34.56</v>
      </c>
      <c r="I153">
        <v>7</v>
      </c>
      <c r="J153">
        <v>12.096</v>
      </c>
      <c r="K153">
        <v>241.92</v>
      </c>
      <c r="L153" s="1">
        <v>43881</v>
      </c>
      <c r="M153" s="7">
        <f>DAY(Data[[#This Row],[Date]])</f>
        <v>20</v>
      </c>
      <c r="N153" s="7">
        <f>MONTH(Data[[#This Row],[Date]])</f>
        <v>2</v>
      </c>
      <c r="O153" s="7">
        <f>YEAR(Data[[#This Row],[Date]])</f>
        <v>2020</v>
      </c>
      <c r="P153" s="2">
        <v>0.67152777777777772</v>
      </c>
      <c r="Q153" t="s">
        <v>32</v>
      </c>
      <c r="R153">
        <v>169.34399999999999</v>
      </c>
      <c r="S153">
        <v>60.48</v>
      </c>
      <c r="T153">
        <v>7.3</v>
      </c>
    </row>
    <row r="154" spans="1:20" x14ac:dyDescent="0.55000000000000004">
      <c r="A154" t="s">
        <v>187</v>
      </c>
      <c r="B154" t="s">
        <v>17</v>
      </c>
      <c r="C154" t="s">
        <v>18</v>
      </c>
      <c r="D154" t="str">
        <f>"Br. "&amp;Data[[#This Row],[Branch]]&amp;" ("&amp;Data[[#This Row],[City]]&amp;")"</f>
        <v>Br. A (Yangon)</v>
      </c>
      <c r="E154" t="s">
        <v>26</v>
      </c>
      <c r="F154" t="s">
        <v>30</v>
      </c>
      <c r="G154" t="s">
        <v>45</v>
      </c>
      <c r="H154">
        <v>83.24</v>
      </c>
      <c r="I154">
        <v>9</v>
      </c>
      <c r="J154">
        <v>37.457999999999998</v>
      </c>
      <c r="K154">
        <v>749.16</v>
      </c>
      <c r="L154" s="1">
        <v>43881</v>
      </c>
      <c r="M154" s="7">
        <f>DAY(Data[[#This Row],[Date]])</f>
        <v>20</v>
      </c>
      <c r="N154" s="7">
        <f>MONTH(Data[[#This Row],[Date]])</f>
        <v>2</v>
      </c>
      <c r="O154" s="7">
        <f>YEAR(Data[[#This Row],[Date]])</f>
        <v>2020</v>
      </c>
      <c r="P154" s="2">
        <v>0.49722222222222223</v>
      </c>
      <c r="Q154" t="s">
        <v>32</v>
      </c>
      <c r="R154">
        <v>524.41200000000003</v>
      </c>
      <c r="S154">
        <v>187.29</v>
      </c>
      <c r="T154">
        <v>7.4</v>
      </c>
    </row>
    <row r="155" spans="1:20" x14ac:dyDescent="0.55000000000000004">
      <c r="A155" t="s">
        <v>188</v>
      </c>
      <c r="B155" t="s">
        <v>24</v>
      </c>
      <c r="C155" t="s">
        <v>25</v>
      </c>
      <c r="D155" t="str">
        <f>"Br. "&amp;Data[[#This Row],[Branch]]&amp;" ("&amp;Data[[#This Row],[City]]&amp;")"</f>
        <v>Br. C (Naypyitaw)</v>
      </c>
      <c r="E155" t="s">
        <v>26</v>
      </c>
      <c r="F155" t="s">
        <v>20</v>
      </c>
      <c r="G155" t="s">
        <v>43</v>
      </c>
      <c r="H155">
        <v>16.48</v>
      </c>
      <c r="I155">
        <v>6</v>
      </c>
      <c r="J155">
        <v>4.944</v>
      </c>
      <c r="K155">
        <v>98.88</v>
      </c>
      <c r="L155" s="1">
        <v>43881</v>
      </c>
      <c r="M155" s="7">
        <f>DAY(Data[[#This Row],[Date]])</f>
        <v>20</v>
      </c>
      <c r="N155" s="7">
        <f>MONTH(Data[[#This Row],[Date]])</f>
        <v>2</v>
      </c>
      <c r="O155" s="7">
        <f>YEAR(Data[[#This Row],[Date]])</f>
        <v>2020</v>
      </c>
      <c r="P155" s="2">
        <v>0.76597222222222228</v>
      </c>
      <c r="Q155" t="s">
        <v>22</v>
      </c>
      <c r="R155">
        <v>69.215999999999994</v>
      </c>
      <c r="S155">
        <v>24.72</v>
      </c>
      <c r="T155">
        <v>9.9</v>
      </c>
    </row>
    <row r="156" spans="1:20" x14ac:dyDescent="0.55000000000000004">
      <c r="A156" t="s">
        <v>189</v>
      </c>
      <c r="B156" t="s">
        <v>24</v>
      </c>
      <c r="C156" t="s">
        <v>25</v>
      </c>
      <c r="D156" t="str">
        <f>"Br. "&amp;Data[[#This Row],[Branch]]&amp;" ("&amp;Data[[#This Row],[City]]&amp;")"</f>
        <v>Br. C (Naypyitaw)</v>
      </c>
      <c r="E156" t="s">
        <v>26</v>
      </c>
      <c r="F156" t="s">
        <v>20</v>
      </c>
      <c r="G156" t="s">
        <v>35</v>
      </c>
      <c r="H156">
        <v>80.97</v>
      </c>
      <c r="I156">
        <v>8</v>
      </c>
      <c r="J156">
        <v>32.387999999999998</v>
      </c>
      <c r="K156">
        <v>647.76</v>
      </c>
      <c r="L156" s="1">
        <v>43881</v>
      </c>
      <c r="M156" s="7">
        <f>DAY(Data[[#This Row],[Date]])</f>
        <v>20</v>
      </c>
      <c r="N156" s="7">
        <f>MONTH(Data[[#This Row],[Date]])</f>
        <v>2</v>
      </c>
      <c r="O156" s="7">
        <f>YEAR(Data[[#This Row],[Date]])</f>
        <v>2020</v>
      </c>
      <c r="P156" s="2">
        <v>0.54513888888888884</v>
      </c>
      <c r="Q156" t="s">
        <v>28</v>
      </c>
      <c r="R156">
        <v>453.43200000000002</v>
      </c>
      <c r="S156">
        <v>161.94</v>
      </c>
      <c r="T156">
        <v>9.3000000000000007</v>
      </c>
    </row>
    <row r="157" spans="1:20" x14ac:dyDescent="0.55000000000000004">
      <c r="A157" t="s">
        <v>190</v>
      </c>
      <c r="B157" t="s">
        <v>17</v>
      </c>
      <c r="C157" t="s">
        <v>18</v>
      </c>
      <c r="D157" t="str">
        <f>"Br. "&amp;Data[[#This Row],[Branch]]&amp;" ("&amp;Data[[#This Row],[City]]&amp;")"</f>
        <v>Br. A (Yangon)</v>
      </c>
      <c r="E157" t="s">
        <v>19</v>
      </c>
      <c r="F157" t="s">
        <v>30</v>
      </c>
      <c r="G157" t="s">
        <v>43</v>
      </c>
      <c r="H157">
        <v>92.29</v>
      </c>
      <c r="I157">
        <v>5</v>
      </c>
      <c r="J157">
        <v>23.072500000000002</v>
      </c>
      <c r="K157">
        <v>461.45</v>
      </c>
      <c r="L157" s="1">
        <v>43881</v>
      </c>
      <c r="M157" s="7">
        <f>DAY(Data[[#This Row],[Date]])</f>
        <v>20</v>
      </c>
      <c r="N157" s="7">
        <f>MONTH(Data[[#This Row],[Date]])</f>
        <v>2</v>
      </c>
      <c r="O157" s="7">
        <f>YEAR(Data[[#This Row],[Date]])</f>
        <v>2020</v>
      </c>
      <c r="P157" s="2">
        <v>0.66319444444444442</v>
      </c>
      <c r="Q157" t="s">
        <v>32</v>
      </c>
      <c r="R157">
        <v>323.01499999999999</v>
      </c>
      <c r="S157">
        <v>115.3625</v>
      </c>
      <c r="T157">
        <v>9</v>
      </c>
    </row>
    <row r="158" spans="1:20" x14ac:dyDescent="0.55000000000000004">
      <c r="A158" t="s">
        <v>191</v>
      </c>
      <c r="B158" t="s">
        <v>41</v>
      </c>
      <c r="C158" t="s">
        <v>42</v>
      </c>
      <c r="D158" t="str">
        <f>"Br. "&amp;Data[[#This Row],[Branch]]&amp;" ("&amp;Data[[#This Row],[City]]&amp;")"</f>
        <v>Br. B (Mandalay)</v>
      </c>
      <c r="E158" t="s">
        <v>19</v>
      </c>
      <c r="F158" t="s">
        <v>30</v>
      </c>
      <c r="G158" t="s">
        <v>27</v>
      </c>
      <c r="H158">
        <v>72.17</v>
      </c>
      <c r="I158">
        <v>1</v>
      </c>
      <c r="J158">
        <v>3.6084999999999998</v>
      </c>
      <c r="K158">
        <v>72.17</v>
      </c>
      <c r="L158" s="1">
        <v>43881</v>
      </c>
      <c r="M158" s="7">
        <f>DAY(Data[[#This Row],[Date]])</f>
        <v>20</v>
      </c>
      <c r="N158" s="7">
        <f>MONTH(Data[[#This Row],[Date]])</f>
        <v>2</v>
      </c>
      <c r="O158" s="7">
        <f>YEAR(Data[[#This Row],[Date]])</f>
        <v>2020</v>
      </c>
      <c r="P158" s="2">
        <v>0.81944444444444442</v>
      </c>
      <c r="Q158" t="s">
        <v>28</v>
      </c>
      <c r="R158">
        <v>50.518999999999998</v>
      </c>
      <c r="S158">
        <v>18.0425</v>
      </c>
      <c r="T158">
        <v>6.1</v>
      </c>
    </row>
    <row r="159" spans="1:20" x14ac:dyDescent="0.55000000000000004">
      <c r="A159" t="s">
        <v>192</v>
      </c>
      <c r="B159" t="s">
        <v>41</v>
      </c>
      <c r="C159" t="s">
        <v>42</v>
      </c>
      <c r="D159" t="str">
        <f>"Br. "&amp;Data[[#This Row],[Branch]]&amp;" ("&amp;Data[[#This Row],[City]]&amp;")"</f>
        <v>Br. B (Mandalay)</v>
      </c>
      <c r="E159" t="s">
        <v>26</v>
      </c>
      <c r="F159" t="s">
        <v>30</v>
      </c>
      <c r="G159" t="s">
        <v>31</v>
      </c>
      <c r="H159">
        <v>50.28</v>
      </c>
      <c r="I159">
        <v>5</v>
      </c>
      <c r="J159">
        <v>12.57</v>
      </c>
      <c r="K159">
        <v>251.4</v>
      </c>
      <c r="L159" s="1">
        <v>43881</v>
      </c>
      <c r="M159" s="7">
        <f>DAY(Data[[#This Row],[Date]])</f>
        <v>20</v>
      </c>
      <c r="N159" s="7">
        <f>MONTH(Data[[#This Row],[Date]])</f>
        <v>2</v>
      </c>
      <c r="O159" s="7">
        <f>YEAR(Data[[#This Row],[Date]])</f>
        <v>2020</v>
      </c>
      <c r="P159" s="2">
        <v>0.58194444444444449</v>
      </c>
      <c r="Q159" t="s">
        <v>22</v>
      </c>
      <c r="R159">
        <v>175.98</v>
      </c>
      <c r="S159">
        <v>62.85</v>
      </c>
      <c r="T159">
        <v>9.6999999999999993</v>
      </c>
    </row>
    <row r="160" spans="1:20" x14ac:dyDescent="0.55000000000000004">
      <c r="A160" t="s">
        <v>193</v>
      </c>
      <c r="B160" t="s">
        <v>41</v>
      </c>
      <c r="C160" t="s">
        <v>42</v>
      </c>
      <c r="D160" t="str">
        <f>"Br. "&amp;Data[[#This Row],[Branch]]&amp;" ("&amp;Data[[#This Row],[City]]&amp;")"</f>
        <v>Br. B (Mandalay)</v>
      </c>
      <c r="E160" t="s">
        <v>19</v>
      </c>
      <c r="F160" t="s">
        <v>30</v>
      </c>
      <c r="G160" t="s">
        <v>21</v>
      </c>
      <c r="H160">
        <v>97.22</v>
      </c>
      <c r="I160">
        <v>9</v>
      </c>
      <c r="J160">
        <v>43.749000000000002</v>
      </c>
      <c r="K160">
        <v>874.98</v>
      </c>
      <c r="L160" s="1">
        <v>43881</v>
      </c>
      <c r="M160" s="7">
        <f>DAY(Data[[#This Row],[Date]])</f>
        <v>20</v>
      </c>
      <c r="N160" s="7">
        <f>MONTH(Data[[#This Row],[Date]])</f>
        <v>2</v>
      </c>
      <c r="O160" s="7">
        <f>YEAR(Data[[#This Row],[Date]])</f>
        <v>2020</v>
      </c>
      <c r="P160" s="2">
        <v>0.61319444444444449</v>
      </c>
      <c r="Q160" t="s">
        <v>22</v>
      </c>
      <c r="R160">
        <v>612.48599999999999</v>
      </c>
      <c r="S160">
        <v>218.745</v>
      </c>
      <c r="T160">
        <v>6</v>
      </c>
    </row>
    <row r="161" spans="1:20" x14ac:dyDescent="0.55000000000000004">
      <c r="A161" t="s">
        <v>194</v>
      </c>
      <c r="B161" t="s">
        <v>41</v>
      </c>
      <c r="C161" t="s">
        <v>42</v>
      </c>
      <c r="D161" t="str">
        <f>"Br. "&amp;Data[[#This Row],[Branch]]&amp;" ("&amp;Data[[#This Row],[City]]&amp;")"</f>
        <v>Br. B (Mandalay)</v>
      </c>
      <c r="E161" t="s">
        <v>26</v>
      </c>
      <c r="F161" t="s">
        <v>30</v>
      </c>
      <c r="G161" t="s">
        <v>35</v>
      </c>
      <c r="H161">
        <v>93.39</v>
      </c>
      <c r="I161">
        <v>6</v>
      </c>
      <c r="J161">
        <v>28.016999999999999</v>
      </c>
      <c r="K161">
        <v>560.34</v>
      </c>
      <c r="L161" s="1">
        <v>43881</v>
      </c>
      <c r="M161" s="7">
        <f>DAY(Data[[#This Row],[Date]])</f>
        <v>20</v>
      </c>
      <c r="N161" s="7">
        <f>MONTH(Data[[#This Row],[Date]])</f>
        <v>2</v>
      </c>
      <c r="O161" s="7">
        <f>YEAR(Data[[#This Row],[Date]])</f>
        <v>2020</v>
      </c>
      <c r="P161" s="2">
        <v>0.8041666666666667</v>
      </c>
      <c r="Q161" t="s">
        <v>22</v>
      </c>
      <c r="R161">
        <v>392.238</v>
      </c>
      <c r="S161">
        <v>140.08500000000001</v>
      </c>
      <c r="T161">
        <v>10</v>
      </c>
    </row>
    <row r="162" spans="1:20" x14ac:dyDescent="0.55000000000000004">
      <c r="A162" t="s">
        <v>195</v>
      </c>
      <c r="B162" t="s">
        <v>24</v>
      </c>
      <c r="C162" t="s">
        <v>25</v>
      </c>
      <c r="D162" t="str">
        <f>"Br. "&amp;Data[[#This Row],[Branch]]&amp;" ("&amp;Data[[#This Row],[City]]&amp;")"</f>
        <v>Br. C (Naypyitaw)</v>
      </c>
      <c r="E162" t="s">
        <v>26</v>
      </c>
      <c r="F162" t="s">
        <v>20</v>
      </c>
      <c r="G162" t="s">
        <v>43</v>
      </c>
      <c r="H162">
        <v>43.18</v>
      </c>
      <c r="I162">
        <v>8</v>
      </c>
      <c r="J162">
        <v>17.271999999999998</v>
      </c>
      <c r="K162">
        <v>345.44</v>
      </c>
      <c r="L162" s="1">
        <v>43881</v>
      </c>
      <c r="M162" s="7">
        <f>DAY(Data[[#This Row],[Date]])</f>
        <v>20</v>
      </c>
      <c r="N162" s="7">
        <f>MONTH(Data[[#This Row],[Date]])</f>
        <v>2</v>
      </c>
      <c r="O162" s="7">
        <f>YEAR(Data[[#This Row],[Date]])</f>
        <v>2020</v>
      </c>
      <c r="P162" s="2">
        <v>0.81874999999999998</v>
      </c>
      <c r="Q162" t="s">
        <v>32</v>
      </c>
      <c r="R162">
        <v>241.80799999999999</v>
      </c>
      <c r="S162">
        <v>86.36</v>
      </c>
      <c r="T162">
        <v>8.3000000000000007</v>
      </c>
    </row>
    <row r="163" spans="1:20" x14ac:dyDescent="0.55000000000000004">
      <c r="A163" t="s">
        <v>196</v>
      </c>
      <c r="B163" t="s">
        <v>17</v>
      </c>
      <c r="C163" t="s">
        <v>18</v>
      </c>
      <c r="D163" t="str">
        <f>"Br. "&amp;Data[[#This Row],[Branch]]&amp;" ("&amp;Data[[#This Row],[City]]&amp;")"</f>
        <v>Br. A (Yangon)</v>
      </c>
      <c r="E163" t="s">
        <v>26</v>
      </c>
      <c r="F163" t="s">
        <v>30</v>
      </c>
      <c r="G163" t="s">
        <v>35</v>
      </c>
      <c r="H163">
        <v>63.69</v>
      </c>
      <c r="I163">
        <v>1</v>
      </c>
      <c r="J163">
        <v>3.1844999999999999</v>
      </c>
      <c r="K163">
        <v>63.69</v>
      </c>
      <c r="L163" s="1">
        <v>43881</v>
      </c>
      <c r="M163" s="7">
        <f>DAY(Data[[#This Row],[Date]])</f>
        <v>20</v>
      </c>
      <c r="N163" s="7">
        <f>MONTH(Data[[#This Row],[Date]])</f>
        <v>2</v>
      </c>
      <c r="O163" s="7">
        <f>YEAR(Data[[#This Row],[Date]])</f>
        <v>2020</v>
      </c>
      <c r="P163" s="2">
        <v>0.68125000000000002</v>
      </c>
      <c r="Q163" t="s">
        <v>28</v>
      </c>
      <c r="R163">
        <v>44.582999999999998</v>
      </c>
      <c r="S163">
        <v>15.922499999999999</v>
      </c>
      <c r="T163">
        <v>6</v>
      </c>
    </row>
    <row r="164" spans="1:20" x14ac:dyDescent="0.55000000000000004">
      <c r="A164" t="s">
        <v>197</v>
      </c>
      <c r="B164" t="s">
        <v>17</v>
      </c>
      <c r="C164" t="s">
        <v>18</v>
      </c>
      <c r="D164" t="str">
        <f>"Br. "&amp;Data[[#This Row],[Branch]]&amp;" ("&amp;Data[[#This Row],[City]]&amp;")"</f>
        <v>Br. A (Yangon)</v>
      </c>
      <c r="E164" t="s">
        <v>26</v>
      </c>
      <c r="F164" t="s">
        <v>30</v>
      </c>
      <c r="G164" t="s">
        <v>43</v>
      </c>
      <c r="H164">
        <v>45.79</v>
      </c>
      <c r="I164">
        <v>7</v>
      </c>
      <c r="J164">
        <v>16.026499999999999</v>
      </c>
      <c r="K164">
        <v>320.52999999999997</v>
      </c>
      <c r="L164" s="1">
        <v>43881</v>
      </c>
      <c r="M164" s="7">
        <f>DAY(Data[[#This Row],[Date]])</f>
        <v>20</v>
      </c>
      <c r="N164" s="7">
        <f>MONTH(Data[[#This Row],[Date]])</f>
        <v>2</v>
      </c>
      <c r="O164" s="7">
        <f>YEAR(Data[[#This Row],[Date]])</f>
        <v>2020</v>
      </c>
      <c r="P164" s="2">
        <v>0.82222222222222219</v>
      </c>
      <c r="Q164" t="s">
        <v>32</v>
      </c>
      <c r="R164">
        <v>224.37100000000001</v>
      </c>
      <c r="S164">
        <v>80.132499999999993</v>
      </c>
      <c r="T164">
        <v>7</v>
      </c>
    </row>
    <row r="165" spans="1:20" x14ac:dyDescent="0.55000000000000004">
      <c r="A165" t="s">
        <v>198</v>
      </c>
      <c r="B165" t="s">
        <v>24</v>
      </c>
      <c r="C165" t="s">
        <v>25</v>
      </c>
      <c r="D165" t="str">
        <f>"Br. "&amp;Data[[#This Row],[Branch]]&amp;" ("&amp;Data[[#This Row],[City]]&amp;")"</f>
        <v>Br. C (Naypyitaw)</v>
      </c>
      <c r="E165" t="s">
        <v>26</v>
      </c>
      <c r="F165" t="s">
        <v>30</v>
      </c>
      <c r="G165" t="s">
        <v>35</v>
      </c>
      <c r="H165">
        <v>76.400000000000006</v>
      </c>
      <c r="I165">
        <v>2</v>
      </c>
      <c r="J165">
        <v>7.64</v>
      </c>
      <c r="K165">
        <v>152.80000000000001</v>
      </c>
      <c r="L165" s="1">
        <v>43881</v>
      </c>
      <c r="M165" s="7">
        <f>DAY(Data[[#This Row],[Date]])</f>
        <v>20</v>
      </c>
      <c r="N165" s="7">
        <f>MONTH(Data[[#This Row],[Date]])</f>
        <v>2</v>
      </c>
      <c r="O165" s="7">
        <f>YEAR(Data[[#This Row],[Date]])</f>
        <v>2020</v>
      </c>
      <c r="P165" s="2">
        <v>0.8208333333333333</v>
      </c>
      <c r="Q165" t="s">
        <v>22</v>
      </c>
      <c r="R165">
        <v>106.96</v>
      </c>
      <c r="S165">
        <v>38.200000000000003</v>
      </c>
      <c r="T165">
        <v>6.5</v>
      </c>
    </row>
    <row r="166" spans="1:20" x14ac:dyDescent="0.55000000000000004">
      <c r="A166" t="s">
        <v>199</v>
      </c>
      <c r="B166" t="s">
        <v>41</v>
      </c>
      <c r="C166" t="s">
        <v>42</v>
      </c>
      <c r="D166" t="str">
        <f>"Br. "&amp;Data[[#This Row],[Branch]]&amp;" ("&amp;Data[[#This Row],[City]]&amp;")"</f>
        <v>Br. B (Mandalay)</v>
      </c>
      <c r="E166" t="s">
        <v>26</v>
      </c>
      <c r="F166" t="s">
        <v>30</v>
      </c>
      <c r="G166" t="s">
        <v>43</v>
      </c>
      <c r="H166">
        <v>39.9</v>
      </c>
      <c r="I166">
        <v>10</v>
      </c>
      <c r="J166">
        <v>19.95</v>
      </c>
      <c r="K166">
        <v>399</v>
      </c>
      <c r="L166" s="1">
        <v>43881</v>
      </c>
      <c r="M166" s="7">
        <f>DAY(Data[[#This Row],[Date]])</f>
        <v>20</v>
      </c>
      <c r="N166" s="7">
        <f>MONTH(Data[[#This Row],[Date]])</f>
        <v>2</v>
      </c>
      <c r="O166" s="7">
        <f>YEAR(Data[[#This Row],[Date]])</f>
        <v>2020</v>
      </c>
      <c r="P166" s="2">
        <v>0.64166666666666672</v>
      </c>
      <c r="Q166" t="s">
        <v>32</v>
      </c>
      <c r="R166">
        <v>279.3</v>
      </c>
      <c r="S166">
        <v>99.75</v>
      </c>
      <c r="T166">
        <v>5.9</v>
      </c>
    </row>
    <row r="167" spans="1:20" x14ac:dyDescent="0.55000000000000004">
      <c r="A167" t="s">
        <v>200</v>
      </c>
      <c r="B167" t="s">
        <v>41</v>
      </c>
      <c r="C167" t="s">
        <v>42</v>
      </c>
      <c r="D167" t="str">
        <f>"Br. "&amp;Data[[#This Row],[Branch]]&amp;" ("&amp;Data[[#This Row],[City]]&amp;")"</f>
        <v>Br. B (Mandalay)</v>
      </c>
      <c r="E167" t="s">
        <v>19</v>
      </c>
      <c r="F167" t="s">
        <v>30</v>
      </c>
      <c r="G167" t="s">
        <v>21</v>
      </c>
      <c r="H167">
        <v>42.57</v>
      </c>
      <c r="I167">
        <v>8</v>
      </c>
      <c r="J167">
        <v>17.027999999999999</v>
      </c>
      <c r="K167">
        <v>340.56</v>
      </c>
      <c r="L167" s="1">
        <v>43881</v>
      </c>
      <c r="M167" s="7">
        <f>DAY(Data[[#This Row],[Date]])</f>
        <v>20</v>
      </c>
      <c r="N167" s="7">
        <f>MONTH(Data[[#This Row],[Date]])</f>
        <v>2</v>
      </c>
      <c r="O167" s="7">
        <f>YEAR(Data[[#This Row],[Date]])</f>
        <v>2020</v>
      </c>
      <c r="P167" s="2">
        <v>0.59166666666666667</v>
      </c>
      <c r="Q167" t="s">
        <v>22</v>
      </c>
      <c r="R167">
        <v>238.392</v>
      </c>
      <c r="S167">
        <v>85.14</v>
      </c>
      <c r="T167">
        <v>5.6</v>
      </c>
    </row>
    <row r="168" spans="1:20" x14ac:dyDescent="0.55000000000000004">
      <c r="A168" t="s">
        <v>201</v>
      </c>
      <c r="B168" t="s">
        <v>24</v>
      </c>
      <c r="C168" t="s">
        <v>25</v>
      </c>
      <c r="D168" t="str">
        <f>"Br. "&amp;Data[[#This Row],[Branch]]&amp;" ("&amp;Data[[#This Row],[City]]&amp;")"</f>
        <v>Br. C (Naypyitaw)</v>
      </c>
      <c r="E168" t="s">
        <v>26</v>
      </c>
      <c r="F168" t="s">
        <v>30</v>
      </c>
      <c r="G168" t="s">
        <v>31</v>
      </c>
      <c r="H168">
        <v>95.58</v>
      </c>
      <c r="I168">
        <v>10</v>
      </c>
      <c r="J168">
        <v>47.79</v>
      </c>
      <c r="K168">
        <v>955.8</v>
      </c>
      <c r="L168" s="1">
        <v>43881</v>
      </c>
      <c r="M168" s="7">
        <f>DAY(Data[[#This Row],[Date]])</f>
        <v>20</v>
      </c>
      <c r="N168" s="7">
        <f>MONTH(Data[[#This Row],[Date]])</f>
        <v>2</v>
      </c>
      <c r="O168" s="7">
        <f>YEAR(Data[[#This Row],[Date]])</f>
        <v>2020</v>
      </c>
      <c r="P168" s="2">
        <v>0.56388888888888888</v>
      </c>
      <c r="Q168" t="s">
        <v>28</v>
      </c>
      <c r="R168">
        <v>669.06</v>
      </c>
      <c r="S168">
        <v>238.95</v>
      </c>
      <c r="T168">
        <v>4.8</v>
      </c>
    </row>
    <row r="169" spans="1:20" x14ac:dyDescent="0.55000000000000004">
      <c r="A169" t="s">
        <v>202</v>
      </c>
      <c r="B169" t="s">
        <v>17</v>
      </c>
      <c r="C169" t="s">
        <v>18</v>
      </c>
      <c r="D169" t="str">
        <f>"Br. "&amp;Data[[#This Row],[Branch]]&amp;" ("&amp;Data[[#This Row],[City]]&amp;")"</f>
        <v>Br. A (Yangon)</v>
      </c>
      <c r="E169" t="s">
        <v>26</v>
      </c>
      <c r="F169" t="s">
        <v>30</v>
      </c>
      <c r="G169" t="s">
        <v>45</v>
      </c>
      <c r="H169">
        <v>98.98</v>
      </c>
      <c r="I169">
        <v>10</v>
      </c>
      <c r="J169">
        <v>49.49</v>
      </c>
      <c r="K169">
        <v>989.8</v>
      </c>
      <c r="L169" s="1">
        <v>43881</v>
      </c>
      <c r="M169" s="7">
        <f>DAY(Data[[#This Row],[Date]])</f>
        <v>20</v>
      </c>
      <c r="N169" s="7">
        <f>MONTH(Data[[#This Row],[Date]])</f>
        <v>2</v>
      </c>
      <c r="O169" s="7">
        <f>YEAR(Data[[#This Row],[Date]])</f>
        <v>2020</v>
      </c>
      <c r="P169" s="2">
        <v>0.68055555555555558</v>
      </c>
      <c r="Q169" t="s">
        <v>32</v>
      </c>
      <c r="R169">
        <v>692.86</v>
      </c>
      <c r="S169">
        <v>247.45</v>
      </c>
      <c r="T169">
        <v>8.6999999999999993</v>
      </c>
    </row>
    <row r="170" spans="1:20" x14ac:dyDescent="0.55000000000000004">
      <c r="A170" t="s">
        <v>203</v>
      </c>
      <c r="B170" t="s">
        <v>17</v>
      </c>
      <c r="C170" t="s">
        <v>18</v>
      </c>
      <c r="D170" t="str">
        <f>"Br. "&amp;Data[[#This Row],[Branch]]&amp;" ("&amp;Data[[#This Row],[City]]&amp;")"</f>
        <v>Br. A (Yangon)</v>
      </c>
      <c r="E170" t="s">
        <v>26</v>
      </c>
      <c r="F170" t="s">
        <v>30</v>
      </c>
      <c r="G170" t="s">
        <v>43</v>
      </c>
      <c r="H170">
        <v>51.28</v>
      </c>
      <c r="I170">
        <v>6</v>
      </c>
      <c r="J170">
        <v>15.384</v>
      </c>
      <c r="K170">
        <v>307.68</v>
      </c>
      <c r="L170" s="1">
        <v>43881</v>
      </c>
      <c r="M170" s="7">
        <f>DAY(Data[[#This Row],[Date]])</f>
        <v>20</v>
      </c>
      <c r="N170" s="7">
        <f>MONTH(Data[[#This Row],[Date]])</f>
        <v>2</v>
      </c>
      <c r="O170" s="7">
        <f>YEAR(Data[[#This Row],[Date]])</f>
        <v>2020</v>
      </c>
      <c r="P170" s="2">
        <v>0.68819444444444444</v>
      </c>
      <c r="Q170" t="s">
        <v>28</v>
      </c>
      <c r="R170">
        <v>215.376</v>
      </c>
      <c r="S170">
        <v>76.92</v>
      </c>
      <c r="T170">
        <v>6.5</v>
      </c>
    </row>
    <row r="171" spans="1:20" x14ac:dyDescent="0.55000000000000004">
      <c r="A171" t="s">
        <v>204</v>
      </c>
      <c r="B171" t="s">
        <v>17</v>
      </c>
      <c r="C171" t="s">
        <v>18</v>
      </c>
      <c r="D171" t="str">
        <f>"Br. "&amp;Data[[#This Row],[Branch]]&amp;" ("&amp;Data[[#This Row],[City]]&amp;")"</f>
        <v>Br. A (Yangon)</v>
      </c>
      <c r="E171" t="s">
        <v>19</v>
      </c>
      <c r="F171" t="s">
        <v>30</v>
      </c>
      <c r="G171" t="s">
        <v>35</v>
      </c>
      <c r="H171">
        <v>69.52</v>
      </c>
      <c r="I171">
        <v>7</v>
      </c>
      <c r="J171">
        <v>24.332000000000001</v>
      </c>
      <c r="K171">
        <v>486.64</v>
      </c>
      <c r="L171" s="1">
        <v>43881</v>
      </c>
      <c r="M171" s="7">
        <f>DAY(Data[[#This Row],[Date]])</f>
        <v>20</v>
      </c>
      <c r="N171" s="7">
        <f>MONTH(Data[[#This Row],[Date]])</f>
        <v>2</v>
      </c>
      <c r="O171" s="7">
        <f>YEAR(Data[[#This Row],[Date]])</f>
        <v>2020</v>
      </c>
      <c r="P171" s="2">
        <v>0.63194444444444442</v>
      </c>
      <c r="Q171" t="s">
        <v>32</v>
      </c>
      <c r="R171">
        <v>340.64800000000002</v>
      </c>
      <c r="S171">
        <v>121.66</v>
      </c>
      <c r="T171">
        <v>8.5</v>
      </c>
    </row>
    <row r="172" spans="1:20" x14ac:dyDescent="0.55000000000000004">
      <c r="A172" t="s">
        <v>205</v>
      </c>
      <c r="B172" t="s">
        <v>17</v>
      </c>
      <c r="C172" t="s">
        <v>18</v>
      </c>
      <c r="D172" t="str">
        <f>"Br. "&amp;Data[[#This Row],[Branch]]&amp;" ("&amp;Data[[#This Row],[City]]&amp;")"</f>
        <v>Br. A (Yangon)</v>
      </c>
      <c r="E172" t="s">
        <v>26</v>
      </c>
      <c r="F172" t="s">
        <v>30</v>
      </c>
      <c r="G172" t="s">
        <v>21</v>
      </c>
      <c r="H172">
        <v>70.010000000000005</v>
      </c>
      <c r="I172">
        <v>5</v>
      </c>
      <c r="J172">
        <v>17.502500000000001</v>
      </c>
      <c r="K172">
        <v>350.05</v>
      </c>
      <c r="L172" s="1">
        <v>43881</v>
      </c>
      <c r="M172" s="7">
        <f>DAY(Data[[#This Row],[Date]])</f>
        <v>20</v>
      </c>
      <c r="N172" s="7">
        <f>MONTH(Data[[#This Row],[Date]])</f>
        <v>2</v>
      </c>
      <c r="O172" s="7">
        <f>YEAR(Data[[#This Row],[Date]])</f>
        <v>2020</v>
      </c>
      <c r="P172" s="2">
        <v>0.48333333333333334</v>
      </c>
      <c r="Q172" t="s">
        <v>22</v>
      </c>
      <c r="R172">
        <v>245.035</v>
      </c>
      <c r="S172">
        <v>87.512500000000003</v>
      </c>
      <c r="T172">
        <v>5.5</v>
      </c>
    </row>
    <row r="173" spans="1:20" x14ac:dyDescent="0.55000000000000004">
      <c r="A173" t="s">
        <v>206</v>
      </c>
      <c r="B173" t="s">
        <v>41</v>
      </c>
      <c r="C173" t="s">
        <v>42</v>
      </c>
      <c r="D173" t="str">
        <f>"Br. "&amp;Data[[#This Row],[Branch]]&amp;" ("&amp;Data[[#This Row],[City]]&amp;")"</f>
        <v>Br. B (Mandalay)</v>
      </c>
      <c r="E173" t="s">
        <v>19</v>
      </c>
      <c r="F173" t="s">
        <v>30</v>
      </c>
      <c r="G173" t="s">
        <v>43</v>
      </c>
      <c r="H173">
        <v>80.05</v>
      </c>
      <c r="I173">
        <v>5</v>
      </c>
      <c r="J173">
        <v>20.012499999999999</v>
      </c>
      <c r="K173">
        <v>400.25</v>
      </c>
      <c r="L173" s="1">
        <v>43881</v>
      </c>
      <c r="M173" s="7">
        <f>DAY(Data[[#This Row],[Date]])</f>
        <v>20</v>
      </c>
      <c r="N173" s="7">
        <f>MONTH(Data[[#This Row],[Date]])</f>
        <v>2</v>
      </c>
      <c r="O173" s="7">
        <f>YEAR(Data[[#This Row],[Date]])</f>
        <v>2020</v>
      </c>
      <c r="P173" s="2">
        <v>0.53125</v>
      </c>
      <c r="Q173" t="s">
        <v>32</v>
      </c>
      <c r="R173">
        <v>280.17500000000001</v>
      </c>
      <c r="S173">
        <v>100.0625</v>
      </c>
      <c r="T173">
        <v>9.4</v>
      </c>
    </row>
    <row r="174" spans="1:20" x14ac:dyDescent="0.55000000000000004">
      <c r="A174" t="s">
        <v>207</v>
      </c>
      <c r="B174" t="s">
        <v>24</v>
      </c>
      <c r="C174" t="s">
        <v>25</v>
      </c>
      <c r="D174" t="str">
        <f>"Br. "&amp;Data[[#This Row],[Branch]]&amp;" ("&amp;Data[[#This Row],[City]]&amp;")"</f>
        <v>Br. C (Naypyitaw)</v>
      </c>
      <c r="E174" t="s">
        <v>26</v>
      </c>
      <c r="F174" t="s">
        <v>30</v>
      </c>
      <c r="G174" t="s">
        <v>27</v>
      </c>
      <c r="H174">
        <v>20.85</v>
      </c>
      <c r="I174">
        <v>8</v>
      </c>
      <c r="J174">
        <v>8.34</v>
      </c>
      <c r="K174">
        <v>166.8</v>
      </c>
      <c r="L174" s="1">
        <v>43881</v>
      </c>
      <c r="M174" s="7">
        <f>DAY(Data[[#This Row],[Date]])</f>
        <v>20</v>
      </c>
      <c r="N174" s="7">
        <f>MONTH(Data[[#This Row],[Date]])</f>
        <v>2</v>
      </c>
      <c r="O174" s="7">
        <f>YEAR(Data[[#This Row],[Date]])</f>
        <v>2020</v>
      </c>
      <c r="P174" s="2">
        <v>0.80347222222222225</v>
      </c>
      <c r="Q174" t="s">
        <v>28</v>
      </c>
      <c r="R174">
        <v>116.76</v>
      </c>
      <c r="S174">
        <v>41.7</v>
      </c>
      <c r="T174">
        <v>6.3</v>
      </c>
    </row>
    <row r="175" spans="1:20" x14ac:dyDescent="0.55000000000000004">
      <c r="A175" t="s">
        <v>208</v>
      </c>
      <c r="B175" t="s">
        <v>41</v>
      </c>
      <c r="C175" t="s">
        <v>42</v>
      </c>
      <c r="D175" t="str">
        <f>"Br. "&amp;Data[[#This Row],[Branch]]&amp;" ("&amp;Data[[#This Row],[City]]&amp;")"</f>
        <v>Br. B (Mandalay)</v>
      </c>
      <c r="E175" t="s">
        <v>19</v>
      </c>
      <c r="F175" t="s">
        <v>30</v>
      </c>
      <c r="G175" t="s">
        <v>27</v>
      </c>
      <c r="H175">
        <v>52.89</v>
      </c>
      <c r="I175">
        <v>6</v>
      </c>
      <c r="J175">
        <v>15.867000000000001</v>
      </c>
      <c r="K175">
        <v>317.33999999999997</v>
      </c>
      <c r="L175" s="1">
        <v>43881</v>
      </c>
      <c r="M175" s="7">
        <f>DAY(Data[[#This Row],[Date]])</f>
        <v>20</v>
      </c>
      <c r="N175" s="7">
        <f>MONTH(Data[[#This Row],[Date]])</f>
        <v>2</v>
      </c>
      <c r="O175" s="7">
        <f>YEAR(Data[[#This Row],[Date]])</f>
        <v>2020</v>
      </c>
      <c r="P175" s="2">
        <v>0.7319444444444444</v>
      </c>
      <c r="Q175" t="s">
        <v>32</v>
      </c>
      <c r="R175">
        <v>222.13800000000001</v>
      </c>
      <c r="S175">
        <v>79.334999999999994</v>
      </c>
      <c r="T175">
        <v>9.8000000000000007</v>
      </c>
    </row>
    <row r="176" spans="1:20" x14ac:dyDescent="0.55000000000000004">
      <c r="A176" t="s">
        <v>209</v>
      </c>
      <c r="B176" t="s">
        <v>41</v>
      </c>
      <c r="C176" t="s">
        <v>42</v>
      </c>
      <c r="D176" t="str">
        <f>"Br. "&amp;Data[[#This Row],[Branch]]&amp;" ("&amp;Data[[#This Row],[City]]&amp;")"</f>
        <v>Br. B (Mandalay)</v>
      </c>
      <c r="E176" t="s">
        <v>26</v>
      </c>
      <c r="F176" t="s">
        <v>30</v>
      </c>
      <c r="G176" t="s">
        <v>43</v>
      </c>
      <c r="H176">
        <v>19.79</v>
      </c>
      <c r="I176">
        <v>8</v>
      </c>
      <c r="J176">
        <v>7.9160000000000004</v>
      </c>
      <c r="K176">
        <v>158.32</v>
      </c>
      <c r="L176" s="1">
        <v>43881</v>
      </c>
      <c r="M176" s="7">
        <f>DAY(Data[[#This Row],[Date]])</f>
        <v>20</v>
      </c>
      <c r="N176" s="7">
        <f>MONTH(Data[[#This Row],[Date]])</f>
        <v>2</v>
      </c>
      <c r="O176" s="7">
        <f>YEAR(Data[[#This Row],[Date]])</f>
        <v>2020</v>
      </c>
      <c r="P176" s="2">
        <v>0.50277777777777777</v>
      </c>
      <c r="Q176" t="s">
        <v>22</v>
      </c>
      <c r="R176">
        <v>110.824</v>
      </c>
      <c r="S176">
        <v>39.58</v>
      </c>
      <c r="T176">
        <v>8.6999999999999993</v>
      </c>
    </row>
    <row r="177" spans="1:20" x14ac:dyDescent="0.55000000000000004">
      <c r="A177" t="s">
        <v>210</v>
      </c>
      <c r="B177" t="s">
        <v>17</v>
      </c>
      <c r="C177" t="s">
        <v>18</v>
      </c>
      <c r="D177" t="str">
        <f>"Br. "&amp;Data[[#This Row],[Branch]]&amp;" ("&amp;Data[[#This Row],[City]]&amp;")"</f>
        <v>Br. A (Yangon)</v>
      </c>
      <c r="E177" t="s">
        <v>19</v>
      </c>
      <c r="F177" t="s">
        <v>30</v>
      </c>
      <c r="G177" t="s">
        <v>31</v>
      </c>
      <c r="H177">
        <v>33.840000000000003</v>
      </c>
      <c r="I177">
        <v>9</v>
      </c>
      <c r="J177">
        <v>15.228</v>
      </c>
      <c r="K177">
        <v>304.56</v>
      </c>
      <c r="L177" s="1">
        <v>43881</v>
      </c>
      <c r="M177" s="7">
        <f>DAY(Data[[#This Row],[Date]])</f>
        <v>20</v>
      </c>
      <c r="N177" s="7">
        <f>MONTH(Data[[#This Row],[Date]])</f>
        <v>2</v>
      </c>
      <c r="O177" s="7">
        <f>YEAR(Data[[#This Row],[Date]])</f>
        <v>2020</v>
      </c>
      <c r="P177" s="2">
        <v>0.68125000000000002</v>
      </c>
      <c r="Q177" t="s">
        <v>22</v>
      </c>
      <c r="R177">
        <v>213.19200000000001</v>
      </c>
      <c r="S177">
        <v>76.14</v>
      </c>
      <c r="T177">
        <v>8.8000000000000007</v>
      </c>
    </row>
    <row r="178" spans="1:20" x14ac:dyDescent="0.55000000000000004">
      <c r="A178" t="s">
        <v>211</v>
      </c>
      <c r="B178" t="s">
        <v>17</v>
      </c>
      <c r="C178" t="s">
        <v>18</v>
      </c>
      <c r="D178" t="str">
        <f>"Br. "&amp;Data[[#This Row],[Branch]]&amp;" ("&amp;Data[[#This Row],[City]]&amp;")"</f>
        <v>Br. A (Yangon)</v>
      </c>
      <c r="E178" t="s">
        <v>19</v>
      </c>
      <c r="F178" t="s">
        <v>30</v>
      </c>
      <c r="G178" t="s">
        <v>43</v>
      </c>
      <c r="H178">
        <v>22.17</v>
      </c>
      <c r="I178">
        <v>8</v>
      </c>
      <c r="J178">
        <v>8.8680000000000003</v>
      </c>
      <c r="K178">
        <v>177.36</v>
      </c>
      <c r="L178" s="1">
        <v>43881</v>
      </c>
      <c r="M178" s="7">
        <f>DAY(Data[[#This Row],[Date]])</f>
        <v>20</v>
      </c>
      <c r="N178" s="7">
        <f>MONTH(Data[[#This Row],[Date]])</f>
        <v>2</v>
      </c>
      <c r="O178" s="7">
        <f>YEAR(Data[[#This Row],[Date]])</f>
        <v>2020</v>
      </c>
      <c r="P178" s="2">
        <v>0.70902777777777781</v>
      </c>
      <c r="Q178" t="s">
        <v>32</v>
      </c>
      <c r="R178">
        <v>124.152</v>
      </c>
      <c r="S178">
        <v>44.34</v>
      </c>
      <c r="T178">
        <v>9.6</v>
      </c>
    </row>
    <row r="179" spans="1:20" x14ac:dyDescent="0.55000000000000004">
      <c r="A179" t="s">
        <v>212</v>
      </c>
      <c r="B179" t="s">
        <v>24</v>
      </c>
      <c r="C179" t="s">
        <v>25</v>
      </c>
      <c r="D179" t="str">
        <f>"Br. "&amp;Data[[#This Row],[Branch]]&amp;" ("&amp;Data[[#This Row],[City]]&amp;")"</f>
        <v>Br. C (Naypyitaw)</v>
      </c>
      <c r="E179" t="s">
        <v>26</v>
      </c>
      <c r="F179" t="s">
        <v>20</v>
      </c>
      <c r="G179" t="s">
        <v>45</v>
      </c>
      <c r="H179">
        <v>22.51</v>
      </c>
      <c r="I179">
        <v>7</v>
      </c>
      <c r="J179">
        <v>7.8784999999999998</v>
      </c>
      <c r="K179">
        <v>157.57</v>
      </c>
      <c r="L179" s="1">
        <v>43881</v>
      </c>
      <c r="M179" s="7">
        <f>DAY(Data[[#This Row],[Date]])</f>
        <v>20</v>
      </c>
      <c r="N179" s="7">
        <f>MONTH(Data[[#This Row],[Date]])</f>
        <v>2</v>
      </c>
      <c r="O179" s="7">
        <f>YEAR(Data[[#This Row],[Date]])</f>
        <v>2020</v>
      </c>
      <c r="P179" s="2">
        <v>0.4513888888888889</v>
      </c>
      <c r="Q179" t="s">
        <v>32</v>
      </c>
      <c r="R179">
        <v>110.29900000000001</v>
      </c>
      <c r="S179">
        <v>39.392499999999998</v>
      </c>
      <c r="T179">
        <v>4.8</v>
      </c>
    </row>
    <row r="180" spans="1:20" x14ac:dyDescent="0.55000000000000004">
      <c r="A180" t="s">
        <v>213</v>
      </c>
      <c r="B180" t="s">
        <v>17</v>
      </c>
      <c r="C180" t="s">
        <v>18</v>
      </c>
      <c r="D180" t="str">
        <f>"Br. "&amp;Data[[#This Row],[Branch]]&amp;" ("&amp;Data[[#This Row],[City]]&amp;")"</f>
        <v>Br. A (Yangon)</v>
      </c>
      <c r="E180" t="s">
        <v>26</v>
      </c>
      <c r="F180" t="s">
        <v>30</v>
      </c>
      <c r="G180" t="s">
        <v>43</v>
      </c>
      <c r="H180">
        <v>73.88</v>
      </c>
      <c r="I180">
        <v>6</v>
      </c>
      <c r="J180">
        <v>22.164000000000001</v>
      </c>
      <c r="K180">
        <v>443.28</v>
      </c>
      <c r="L180" s="1">
        <v>43881</v>
      </c>
      <c r="M180" s="7">
        <f>DAY(Data[[#This Row],[Date]])</f>
        <v>20</v>
      </c>
      <c r="N180" s="7">
        <f>MONTH(Data[[#This Row],[Date]])</f>
        <v>2</v>
      </c>
      <c r="O180" s="7">
        <f>YEAR(Data[[#This Row],[Date]])</f>
        <v>2020</v>
      </c>
      <c r="P180" s="2">
        <v>0.80277777777777781</v>
      </c>
      <c r="Q180" t="s">
        <v>22</v>
      </c>
      <c r="R180">
        <v>310.29599999999999</v>
      </c>
      <c r="S180">
        <v>110.82</v>
      </c>
      <c r="T180">
        <v>4.4000000000000004</v>
      </c>
    </row>
    <row r="181" spans="1:20" x14ac:dyDescent="0.55000000000000004">
      <c r="A181" t="s">
        <v>214</v>
      </c>
      <c r="B181" t="s">
        <v>24</v>
      </c>
      <c r="C181" t="s">
        <v>25</v>
      </c>
      <c r="D181" t="str">
        <f>"Br. "&amp;Data[[#This Row],[Branch]]&amp;" ("&amp;Data[[#This Row],[City]]&amp;")"</f>
        <v>Br. C (Naypyitaw)</v>
      </c>
      <c r="E181" t="s">
        <v>19</v>
      </c>
      <c r="F181" t="s">
        <v>30</v>
      </c>
      <c r="G181" t="s">
        <v>21</v>
      </c>
      <c r="H181">
        <v>86.8</v>
      </c>
      <c r="I181">
        <v>3</v>
      </c>
      <c r="J181">
        <v>13.02</v>
      </c>
      <c r="K181">
        <v>260.39999999999998</v>
      </c>
      <c r="L181" s="1">
        <v>43881</v>
      </c>
      <c r="M181" s="7">
        <f>DAY(Data[[#This Row],[Date]])</f>
        <v>20</v>
      </c>
      <c r="N181" s="7">
        <f>MONTH(Data[[#This Row],[Date]])</f>
        <v>2</v>
      </c>
      <c r="O181" s="7">
        <f>YEAR(Data[[#This Row],[Date]])</f>
        <v>2020</v>
      </c>
      <c r="P181" s="2">
        <v>0.69930555555555551</v>
      </c>
      <c r="Q181" t="s">
        <v>22</v>
      </c>
      <c r="R181">
        <v>182.28</v>
      </c>
      <c r="S181">
        <v>65.099999999999994</v>
      </c>
      <c r="T181">
        <v>9.9</v>
      </c>
    </row>
    <row r="182" spans="1:20" x14ac:dyDescent="0.55000000000000004">
      <c r="A182" t="s">
        <v>215</v>
      </c>
      <c r="B182" t="s">
        <v>24</v>
      </c>
      <c r="C182" t="s">
        <v>25</v>
      </c>
      <c r="D182" t="str">
        <f>"Br. "&amp;Data[[#This Row],[Branch]]&amp;" ("&amp;Data[[#This Row],[City]]&amp;")"</f>
        <v>Br. C (Naypyitaw)</v>
      </c>
      <c r="E182" t="s">
        <v>26</v>
      </c>
      <c r="F182" t="s">
        <v>30</v>
      </c>
      <c r="G182" t="s">
        <v>45</v>
      </c>
      <c r="H182">
        <v>64.260000000000005</v>
      </c>
      <c r="I182">
        <v>7</v>
      </c>
      <c r="J182">
        <v>22.491</v>
      </c>
      <c r="K182">
        <v>449.82</v>
      </c>
      <c r="L182" s="1">
        <v>43881</v>
      </c>
      <c r="M182" s="7">
        <f>DAY(Data[[#This Row],[Date]])</f>
        <v>20</v>
      </c>
      <c r="N182" s="7">
        <f>MONTH(Data[[#This Row],[Date]])</f>
        <v>2</v>
      </c>
      <c r="O182" s="7">
        <f>YEAR(Data[[#This Row],[Date]])</f>
        <v>2020</v>
      </c>
      <c r="P182" s="2">
        <v>0.41666666666666669</v>
      </c>
      <c r="Q182" t="s">
        <v>28</v>
      </c>
      <c r="R182">
        <v>314.87400000000002</v>
      </c>
      <c r="S182">
        <v>112.455</v>
      </c>
      <c r="T182">
        <v>5.7</v>
      </c>
    </row>
    <row r="183" spans="1:20" x14ac:dyDescent="0.55000000000000004">
      <c r="A183" t="s">
        <v>216</v>
      </c>
      <c r="B183" t="s">
        <v>24</v>
      </c>
      <c r="C183" t="s">
        <v>25</v>
      </c>
      <c r="D183" t="str">
        <f>"Br. "&amp;Data[[#This Row],[Branch]]&amp;" ("&amp;Data[[#This Row],[City]]&amp;")"</f>
        <v>Br. C (Naypyitaw)</v>
      </c>
      <c r="E183" t="s">
        <v>19</v>
      </c>
      <c r="F183" t="s">
        <v>30</v>
      </c>
      <c r="G183" t="s">
        <v>43</v>
      </c>
      <c r="H183">
        <v>38.47</v>
      </c>
      <c r="I183">
        <v>8</v>
      </c>
      <c r="J183">
        <v>15.388</v>
      </c>
      <c r="K183">
        <v>307.76</v>
      </c>
      <c r="L183" s="1">
        <v>43881</v>
      </c>
      <c r="M183" s="7">
        <f>DAY(Data[[#This Row],[Date]])</f>
        <v>20</v>
      </c>
      <c r="N183" s="7">
        <f>MONTH(Data[[#This Row],[Date]])</f>
        <v>2</v>
      </c>
      <c r="O183" s="7">
        <f>YEAR(Data[[#This Row],[Date]])</f>
        <v>2020</v>
      </c>
      <c r="P183" s="2">
        <v>0.49375000000000002</v>
      </c>
      <c r="Q183" t="s">
        <v>28</v>
      </c>
      <c r="R183">
        <v>215.43199999999999</v>
      </c>
      <c r="S183">
        <v>76.94</v>
      </c>
      <c r="T183">
        <v>7.7</v>
      </c>
    </row>
    <row r="184" spans="1:20" x14ac:dyDescent="0.55000000000000004">
      <c r="A184" t="s">
        <v>217</v>
      </c>
      <c r="B184" t="s">
        <v>17</v>
      </c>
      <c r="C184" t="s">
        <v>18</v>
      </c>
      <c r="D184" t="str">
        <f>"Br. "&amp;Data[[#This Row],[Branch]]&amp;" ("&amp;Data[[#This Row],[City]]&amp;")"</f>
        <v>Br. A (Yangon)</v>
      </c>
      <c r="E184" t="s">
        <v>19</v>
      </c>
      <c r="F184" t="s">
        <v>30</v>
      </c>
      <c r="G184" t="s">
        <v>35</v>
      </c>
      <c r="H184">
        <v>15.5</v>
      </c>
      <c r="I184">
        <v>10</v>
      </c>
      <c r="J184">
        <v>7.75</v>
      </c>
      <c r="K184">
        <v>155</v>
      </c>
      <c r="L184" s="1">
        <v>43881</v>
      </c>
      <c r="M184" s="7">
        <f>DAY(Data[[#This Row],[Date]])</f>
        <v>20</v>
      </c>
      <c r="N184" s="7">
        <f>MONTH(Data[[#This Row],[Date]])</f>
        <v>2</v>
      </c>
      <c r="O184" s="7">
        <f>YEAR(Data[[#This Row],[Date]])</f>
        <v>2020</v>
      </c>
      <c r="P184" s="2">
        <v>0.4548611111111111</v>
      </c>
      <c r="Q184" t="s">
        <v>22</v>
      </c>
      <c r="R184">
        <v>108.5</v>
      </c>
      <c r="S184">
        <v>38.75</v>
      </c>
      <c r="T184">
        <v>8</v>
      </c>
    </row>
    <row r="185" spans="1:20" x14ac:dyDescent="0.55000000000000004">
      <c r="A185" t="s">
        <v>218</v>
      </c>
      <c r="B185" t="s">
        <v>24</v>
      </c>
      <c r="C185" t="s">
        <v>25</v>
      </c>
      <c r="D185" t="str">
        <f>"Br. "&amp;Data[[#This Row],[Branch]]&amp;" ("&amp;Data[[#This Row],[City]]&amp;")"</f>
        <v>Br. C (Naypyitaw)</v>
      </c>
      <c r="E185" t="s">
        <v>26</v>
      </c>
      <c r="F185" t="s">
        <v>30</v>
      </c>
      <c r="G185" t="s">
        <v>21</v>
      </c>
      <c r="H185">
        <v>34.31</v>
      </c>
      <c r="I185">
        <v>8</v>
      </c>
      <c r="J185">
        <v>13.724</v>
      </c>
      <c r="K185">
        <v>274.48</v>
      </c>
      <c r="L185" s="1">
        <v>43881</v>
      </c>
      <c r="M185" s="7">
        <f>DAY(Data[[#This Row],[Date]])</f>
        <v>20</v>
      </c>
      <c r="N185" s="7">
        <f>MONTH(Data[[#This Row],[Date]])</f>
        <v>2</v>
      </c>
      <c r="O185" s="7">
        <f>YEAR(Data[[#This Row],[Date]])</f>
        <v>2020</v>
      </c>
      <c r="P185" s="2">
        <v>0.625</v>
      </c>
      <c r="Q185" t="s">
        <v>22</v>
      </c>
      <c r="R185">
        <v>192.136</v>
      </c>
      <c r="S185">
        <v>68.62</v>
      </c>
      <c r="T185">
        <v>5.7</v>
      </c>
    </row>
    <row r="186" spans="1:20" x14ac:dyDescent="0.55000000000000004">
      <c r="A186" t="s">
        <v>219</v>
      </c>
      <c r="B186" t="s">
        <v>17</v>
      </c>
      <c r="C186" t="s">
        <v>18</v>
      </c>
      <c r="D186" t="str">
        <f>"Br. "&amp;Data[[#This Row],[Branch]]&amp;" ("&amp;Data[[#This Row],[City]]&amp;")"</f>
        <v>Br. A (Yangon)</v>
      </c>
      <c r="E186" t="s">
        <v>26</v>
      </c>
      <c r="F186" t="s">
        <v>20</v>
      </c>
      <c r="G186" t="s">
        <v>35</v>
      </c>
      <c r="H186">
        <v>12.34</v>
      </c>
      <c r="I186">
        <v>7</v>
      </c>
      <c r="J186">
        <v>4.319</v>
      </c>
      <c r="K186">
        <v>86.38</v>
      </c>
      <c r="L186" s="1">
        <v>43881</v>
      </c>
      <c r="M186" s="7">
        <f>DAY(Data[[#This Row],[Date]])</f>
        <v>20</v>
      </c>
      <c r="N186" s="7">
        <f>MONTH(Data[[#This Row],[Date]])</f>
        <v>2</v>
      </c>
      <c r="O186" s="7">
        <f>YEAR(Data[[#This Row],[Date]])</f>
        <v>2020</v>
      </c>
      <c r="P186" s="2">
        <v>0.47152777777777777</v>
      </c>
      <c r="Q186" t="s">
        <v>32</v>
      </c>
      <c r="R186">
        <v>60.466000000000001</v>
      </c>
      <c r="S186">
        <v>21.594999999999999</v>
      </c>
      <c r="T186">
        <v>6.7</v>
      </c>
    </row>
    <row r="187" spans="1:20" x14ac:dyDescent="0.55000000000000004">
      <c r="A187" t="s">
        <v>220</v>
      </c>
      <c r="B187" t="s">
        <v>41</v>
      </c>
      <c r="C187" t="s">
        <v>42</v>
      </c>
      <c r="D187" t="str">
        <f>"Br. "&amp;Data[[#This Row],[Branch]]&amp;" ("&amp;Data[[#This Row],[City]]&amp;")"</f>
        <v>Br. B (Mandalay)</v>
      </c>
      <c r="E187" t="s">
        <v>19</v>
      </c>
      <c r="F187" t="s">
        <v>30</v>
      </c>
      <c r="G187" t="s">
        <v>43</v>
      </c>
      <c r="H187">
        <v>18.079999999999998</v>
      </c>
      <c r="I187">
        <v>3</v>
      </c>
      <c r="J187">
        <v>2.7120000000000002</v>
      </c>
      <c r="K187">
        <v>54.24</v>
      </c>
      <c r="L187" s="1">
        <v>43881</v>
      </c>
      <c r="M187" s="7">
        <f>DAY(Data[[#This Row],[Date]])</f>
        <v>20</v>
      </c>
      <c r="N187" s="7">
        <f>MONTH(Data[[#This Row],[Date]])</f>
        <v>2</v>
      </c>
      <c r="O187" s="7">
        <f>YEAR(Data[[#This Row],[Date]])</f>
        <v>2020</v>
      </c>
      <c r="P187" s="2">
        <v>0.82361111111111107</v>
      </c>
      <c r="Q187" t="s">
        <v>22</v>
      </c>
      <c r="R187">
        <v>37.968000000000004</v>
      </c>
      <c r="S187">
        <v>13.56</v>
      </c>
      <c r="T187">
        <v>8</v>
      </c>
    </row>
    <row r="188" spans="1:20" x14ac:dyDescent="0.55000000000000004">
      <c r="A188" t="s">
        <v>221</v>
      </c>
      <c r="B188" t="s">
        <v>41</v>
      </c>
      <c r="C188" t="s">
        <v>42</v>
      </c>
      <c r="D188" t="str">
        <f>"Br. "&amp;Data[[#This Row],[Branch]]&amp;" ("&amp;Data[[#This Row],[City]]&amp;")"</f>
        <v>Br. B (Mandalay)</v>
      </c>
      <c r="E188" t="s">
        <v>19</v>
      </c>
      <c r="F188" t="s">
        <v>20</v>
      </c>
      <c r="G188" t="s">
        <v>31</v>
      </c>
      <c r="H188">
        <v>94.49</v>
      </c>
      <c r="I188">
        <v>8</v>
      </c>
      <c r="J188">
        <v>37.795999999999999</v>
      </c>
      <c r="K188">
        <v>755.92</v>
      </c>
      <c r="L188" s="1">
        <v>43881</v>
      </c>
      <c r="M188" s="7">
        <f>DAY(Data[[#This Row],[Date]])</f>
        <v>20</v>
      </c>
      <c r="N188" s="7">
        <f>MONTH(Data[[#This Row],[Date]])</f>
        <v>2</v>
      </c>
      <c r="O188" s="7">
        <f>YEAR(Data[[#This Row],[Date]])</f>
        <v>2020</v>
      </c>
      <c r="P188" s="2">
        <v>0.79166666666666663</v>
      </c>
      <c r="Q188" t="s">
        <v>22</v>
      </c>
      <c r="R188">
        <v>529.14400000000001</v>
      </c>
      <c r="S188">
        <v>188.98</v>
      </c>
      <c r="T188">
        <v>7.5</v>
      </c>
    </row>
    <row r="189" spans="1:20" x14ac:dyDescent="0.55000000000000004">
      <c r="A189" t="s">
        <v>222</v>
      </c>
      <c r="B189" t="s">
        <v>41</v>
      </c>
      <c r="C189" t="s">
        <v>42</v>
      </c>
      <c r="D189" t="str">
        <f>"Br. "&amp;Data[[#This Row],[Branch]]&amp;" ("&amp;Data[[#This Row],[City]]&amp;")"</f>
        <v>Br. B (Mandalay)</v>
      </c>
      <c r="E189" t="s">
        <v>19</v>
      </c>
      <c r="F189" t="s">
        <v>30</v>
      </c>
      <c r="G189" t="s">
        <v>31</v>
      </c>
      <c r="H189">
        <v>46.47</v>
      </c>
      <c r="I189">
        <v>4</v>
      </c>
      <c r="J189">
        <v>9.2940000000000005</v>
      </c>
      <c r="K189">
        <v>185.88</v>
      </c>
      <c r="L189" s="1">
        <v>43881</v>
      </c>
      <c r="M189" s="7">
        <f>DAY(Data[[#This Row],[Date]])</f>
        <v>20</v>
      </c>
      <c r="N189" s="7">
        <f>MONTH(Data[[#This Row],[Date]])</f>
        <v>2</v>
      </c>
      <c r="O189" s="7">
        <f>YEAR(Data[[#This Row],[Date]])</f>
        <v>2020</v>
      </c>
      <c r="P189" s="2">
        <v>0.45347222222222222</v>
      </c>
      <c r="Q189" t="s">
        <v>28</v>
      </c>
      <c r="R189">
        <v>130.11600000000001</v>
      </c>
      <c r="S189">
        <v>46.47</v>
      </c>
      <c r="T189">
        <v>7</v>
      </c>
    </row>
    <row r="190" spans="1:20" x14ac:dyDescent="0.55000000000000004">
      <c r="A190" t="s">
        <v>223</v>
      </c>
      <c r="B190" t="s">
        <v>17</v>
      </c>
      <c r="C190" t="s">
        <v>18</v>
      </c>
      <c r="D190" t="str">
        <f>"Br. "&amp;Data[[#This Row],[Branch]]&amp;" ("&amp;Data[[#This Row],[City]]&amp;")"</f>
        <v>Br. A (Yangon)</v>
      </c>
      <c r="E190" t="s">
        <v>26</v>
      </c>
      <c r="F190" t="s">
        <v>30</v>
      </c>
      <c r="G190" t="s">
        <v>31</v>
      </c>
      <c r="H190">
        <v>74.069999999999993</v>
      </c>
      <c r="I190">
        <v>1</v>
      </c>
      <c r="J190">
        <v>3.7035</v>
      </c>
      <c r="K190">
        <v>74.069999999999993</v>
      </c>
      <c r="L190" s="1">
        <v>43881</v>
      </c>
      <c r="M190" s="7">
        <f>DAY(Data[[#This Row],[Date]])</f>
        <v>20</v>
      </c>
      <c r="N190" s="7">
        <f>MONTH(Data[[#This Row],[Date]])</f>
        <v>2</v>
      </c>
      <c r="O190" s="7">
        <f>YEAR(Data[[#This Row],[Date]])</f>
        <v>2020</v>
      </c>
      <c r="P190" s="2">
        <v>0.53472222222222221</v>
      </c>
      <c r="Q190" t="s">
        <v>22</v>
      </c>
      <c r="R190">
        <v>51.848999999999997</v>
      </c>
      <c r="S190">
        <v>18.517499999999998</v>
      </c>
      <c r="T190">
        <v>9.9</v>
      </c>
    </row>
    <row r="191" spans="1:20" x14ac:dyDescent="0.55000000000000004">
      <c r="A191" t="s">
        <v>224</v>
      </c>
      <c r="B191" t="s">
        <v>24</v>
      </c>
      <c r="C191" t="s">
        <v>25</v>
      </c>
      <c r="D191" t="str">
        <f>"Br. "&amp;Data[[#This Row],[Branch]]&amp;" ("&amp;Data[[#This Row],[City]]&amp;")"</f>
        <v>Br. C (Naypyitaw)</v>
      </c>
      <c r="E191" t="s">
        <v>26</v>
      </c>
      <c r="F191" t="s">
        <v>20</v>
      </c>
      <c r="G191" t="s">
        <v>31</v>
      </c>
      <c r="H191">
        <v>69.81</v>
      </c>
      <c r="I191">
        <v>4</v>
      </c>
      <c r="J191">
        <v>13.962</v>
      </c>
      <c r="K191">
        <v>279.24</v>
      </c>
      <c r="L191" s="1">
        <v>43881</v>
      </c>
      <c r="M191" s="7">
        <f>DAY(Data[[#This Row],[Date]])</f>
        <v>20</v>
      </c>
      <c r="N191" s="7">
        <f>MONTH(Data[[#This Row],[Date]])</f>
        <v>2</v>
      </c>
      <c r="O191" s="7">
        <f>YEAR(Data[[#This Row],[Date]])</f>
        <v>2020</v>
      </c>
      <c r="P191" s="2">
        <v>0.86805555555555558</v>
      </c>
      <c r="Q191" t="s">
        <v>32</v>
      </c>
      <c r="R191">
        <v>195.46799999999999</v>
      </c>
      <c r="S191">
        <v>69.81</v>
      </c>
      <c r="T191">
        <v>5.9</v>
      </c>
    </row>
    <row r="192" spans="1:20" x14ac:dyDescent="0.55000000000000004">
      <c r="A192" t="s">
        <v>225</v>
      </c>
      <c r="B192" t="s">
        <v>41</v>
      </c>
      <c r="C192" t="s">
        <v>42</v>
      </c>
      <c r="D192" t="str">
        <f>"Br. "&amp;Data[[#This Row],[Branch]]&amp;" ("&amp;Data[[#This Row],[City]]&amp;")"</f>
        <v>Br. B (Mandalay)</v>
      </c>
      <c r="E192" t="s">
        <v>26</v>
      </c>
      <c r="F192" t="s">
        <v>20</v>
      </c>
      <c r="G192" t="s">
        <v>31</v>
      </c>
      <c r="H192">
        <v>77.040000000000006</v>
      </c>
      <c r="I192">
        <v>3</v>
      </c>
      <c r="J192">
        <v>11.555999999999999</v>
      </c>
      <c r="K192">
        <v>231.12</v>
      </c>
      <c r="L192" s="1">
        <v>43881</v>
      </c>
      <c r="M192" s="7">
        <f>DAY(Data[[#This Row],[Date]])</f>
        <v>20</v>
      </c>
      <c r="N192" s="7">
        <f>MONTH(Data[[#This Row],[Date]])</f>
        <v>2</v>
      </c>
      <c r="O192" s="7">
        <f>YEAR(Data[[#This Row],[Date]])</f>
        <v>2020</v>
      </c>
      <c r="P192" s="2">
        <v>0.44374999999999998</v>
      </c>
      <c r="Q192" t="s">
        <v>32</v>
      </c>
      <c r="R192">
        <v>161.78399999999999</v>
      </c>
      <c r="S192">
        <v>57.78</v>
      </c>
      <c r="T192">
        <v>7.2</v>
      </c>
    </row>
    <row r="193" spans="1:20" x14ac:dyDescent="0.55000000000000004">
      <c r="A193" t="s">
        <v>226</v>
      </c>
      <c r="B193" t="s">
        <v>41</v>
      </c>
      <c r="C193" t="s">
        <v>42</v>
      </c>
      <c r="D193" t="str">
        <f>"Br. "&amp;Data[[#This Row],[Branch]]&amp;" ("&amp;Data[[#This Row],[City]]&amp;")"</f>
        <v>Br. B (Mandalay)</v>
      </c>
      <c r="E193" t="s">
        <v>26</v>
      </c>
      <c r="F193" t="s">
        <v>20</v>
      </c>
      <c r="G193" t="s">
        <v>45</v>
      </c>
      <c r="H193">
        <v>73.52</v>
      </c>
      <c r="I193">
        <v>2</v>
      </c>
      <c r="J193">
        <v>7.3520000000000003</v>
      </c>
      <c r="K193">
        <v>147.04</v>
      </c>
      <c r="L193" s="1">
        <v>43881</v>
      </c>
      <c r="M193" s="7">
        <f>DAY(Data[[#This Row],[Date]])</f>
        <v>20</v>
      </c>
      <c r="N193" s="7">
        <f>MONTH(Data[[#This Row],[Date]])</f>
        <v>2</v>
      </c>
      <c r="O193" s="7">
        <f>YEAR(Data[[#This Row],[Date]])</f>
        <v>2020</v>
      </c>
      <c r="P193" s="2">
        <v>0.57013888888888886</v>
      </c>
      <c r="Q193" t="s">
        <v>22</v>
      </c>
      <c r="R193">
        <v>102.928</v>
      </c>
      <c r="S193">
        <v>36.76</v>
      </c>
      <c r="T193">
        <v>4.5999999999999996</v>
      </c>
    </row>
    <row r="194" spans="1:20" x14ac:dyDescent="0.55000000000000004">
      <c r="A194" t="s">
        <v>227</v>
      </c>
      <c r="B194" t="s">
        <v>24</v>
      </c>
      <c r="C194" t="s">
        <v>25</v>
      </c>
      <c r="D194" t="str">
        <f>"Br. "&amp;Data[[#This Row],[Branch]]&amp;" ("&amp;Data[[#This Row],[City]]&amp;")"</f>
        <v>Br. C (Naypyitaw)</v>
      </c>
      <c r="E194" t="s">
        <v>26</v>
      </c>
      <c r="F194" t="s">
        <v>20</v>
      </c>
      <c r="G194" t="s">
        <v>43</v>
      </c>
      <c r="H194">
        <v>87.8</v>
      </c>
      <c r="I194">
        <v>9</v>
      </c>
      <c r="J194">
        <v>39.51</v>
      </c>
      <c r="K194">
        <v>790.2</v>
      </c>
      <c r="L194" s="1">
        <v>43881</v>
      </c>
      <c r="M194" s="7">
        <f>DAY(Data[[#This Row],[Date]])</f>
        <v>20</v>
      </c>
      <c r="N194" s="7">
        <f>MONTH(Data[[#This Row],[Date]])</f>
        <v>2</v>
      </c>
      <c r="O194" s="7">
        <f>YEAR(Data[[#This Row],[Date]])</f>
        <v>2020</v>
      </c>
      <c r="P194" s="2">
        <v>0.79722222222222228</v>
      </c>
      <c r="Q194" t="s">
        <v>28</v>
      </c>
      <c r="R194">
        <v>553.14</v>
      </c>
      <c r="S194">
        <v>197.55</v>
      </c>
      <c r="T194">
        <v>9.1999999999999993</v>
      </c>
    </row>
    <row r="195" spans="1:20" x14ac:dyDescent="0.55000000000000004">
      <c r="A195" t="s">
        <v>228</v>
      </c>
      <c r="B195" t="s">
        <v>41</v>
      </c>
      <c r="C195" t="s">
        <v>42</v>
      </c>
      <c r="D195" t="str">
        <f>"Br. "&amp;Data[[#This Row],[Branch]]&amp;" ("&amp;Data[[#This Row],[City]]&amp;")"</f>
        <v>Br. B (Mandalay)</v>
      </c>
      <c r="E195" t="s">
        <v>26</v>
      </c>
      <c r="F195" t="s">
        <v>30</v>
      </c>
      <c r="G195" t="s">
        <v>31</v>
      </c>
      <c r="H195">
        <v>25.55</v>
      </c>
      <c r="I195">
        <v>4</v>
      </c>
      <c r="J195">
        <v>5.1100000000000003</v>
      </c>
      <c r="K195">
        <v>102.2</v>
      </c>
      <c r="L195" s="1">
        <v>43881</v>
      </c>
      <c r="M195" s="7">
        <f>DAY(Data[[#This Row],[Date]])</f>
        <v>20</v>
      </c>
      <c r="N195" s="7">
        <f>MONTH(Data[[#This Row],[Date]])</f>
        <v>2</v>
      </c>
      <c r="O195" s="7">
        <f>YEAR(Data[[#This Row],[Date]])</f>
        <v>2020</v>
      </c>
      <c r="P195" s="2">
        <v>0.84930555555555554</v>
      </c>
      <c r="Q195" t="s">
        <v>22</v>
      </c>
      <c r="R195">
        <v>71.540000000000006</v>
      </c>
      <c r="S195">
        <v>25.55</v>
      </c>
      <c r="T195">
        <v>5.7</v>
      </c>
    </row>
    <row r="196" spans="1:20" x14ac:dyDescent="0.55000000000000004">
      <c r="A196" t="s">
        <v>229</v>
      </c>
      <c r="B196" t="s">
        <v>17</v>
      </c>
      <c r="C196" t="s">
        <v>18</v>
      </c>
      <c r="D196" t="str">
        <f>"Br. "&amp;Data[[#This Row],[Branch]]&amp;" ("&amp;Data[[#This Row],[City]]&amp;")"</f>
        <v>Br. A (Yangon)</v>
      </c>
      <c r="E196" t="s">
        <v>26</v>
      </c>
      <c r="F196" t="s">
        <v>30</v>
      </c>
      <c r="G196" t="s">
        <v>27</v>
      </c>
      <c r="H196">
        <v>32.71</v>
      </c>
      <c r="I196">
        <v>5</v>
      </c>
      <c r="J196">
        <v>8.1775000000000002</v>
      </c>
      <c r="K196">
        <v>163.55000000000001</v>
      </c>
      <c r="L196" s="1">
        <v>43881</v>
      </c>
      <c r="M196" s="7">
        <f>DAY(Data[[#This Row],[Date]])</f>
        <v>20</v>
      </c>
      <c r="N196" s="7">
        <f>MONTH(Data[[#This Row],[Date]])</f>
        <v>2</v>
      </c>
      <c r="O196" s="7">
        <f>YEAR(Data[[#This Row],[Date]])</f>
        <v>2020</v>
      </c>
      <c r="P196" s="2">
        <v>0.47916666666666669</v>
      </c>
      <c r="Q196" t="s">
        <v>32</v>
      </c>
      <c r="R196">
        <v>114.485</v>
      </c>
      <c r="S196">
        <v>40.887500000000003</v>
      </c>
      <c r="T196">
        <v>9.9</v>
      </c>
    </row>
    <row r="197" spans="1:20" x14ac:dyDescent="0.55000000000000004">
      <c r="A197" t="s">
        <v>230</v>
      </c>
      <c r="B197" t="s">
        <v>24</v>
      </c>
      <c r="C197" t="s">
        <v>25</v>
      </c>
      <c r="D197" t="str">
        <f>"Br. "&amp;Data[[#This Row],[Branch]]&amp;" ("&amp;Data[[#This Row],[City]]&amp;")"</f>
        <v>Br. C (Naypyitaw)</v>
      </c>
      <c r="E197" t="s">
        <v>19</v>
      </c>
      <c r="F197" t="s">
        <v>20</v>
      </c>
      <c r="G197" t="s">
        <v>45</v>
      </c>
      <c r="H197">
        <v>74.290000000000006</v>
      </c>
      <c r="I197">
        <v>1</v>
      </c>
      <c r="J197">
        <v>3.7145000000000001</v>
      </c>
      <c r="K197">
        <v>74.290000000000006</v>
      </c>
      <c r="L197" s="1">
        <v>43881</v>
      </c>
      <c r="M197" s="7">
        <f>DAY(Data[[#This Row],[Date]])</f>
        <v>20</v>
      </c>
      <c r="N197" s="7">
        <f>MONTH(Data[[#This Row],[Date]])</f>
        <v>2</v>
      </c>
      <c r="O197" s="7">
        <f>YEAR(Data[[#This Row],[Date]])</f>
        <v>2020</v>
      </c>
      <c r="P197" s="2">
        <v>0.8125</v>
      </c>
      <c r="Q197" t="s">
        <v>28</v>
      </c>
      <c r="R197">
        <v>52.003</v>
      </c>
      <c r="S197">
        <v>18.572500000000002</v>
      </c>
      <c r="T197">
        <v>5</v>
      </c>
    </row>
    <row r="198" spans="1:20" x14ac:dyDescent="0.55000000000000004">
      <c r="A198" t="s">
        <v>231</v>
      </c>
      <c r="B198" t="s">
        <v>24</v>
      </c>
      <c r="C198" t="s">
        <v>25</v>
      </c>
      <c r="D198" t="str">
        <f>"Br. "&amp;Data[[#This Row],[Branch]]&amp;" ("&amp;Data[[#This Row],[City]]&amp;")"</f>
        <v>Br. C (Naypyitaw)</v>
      </c>
      <c r="E198" t="s">
        <v>19</v>
      </c>
      <c r="F198" t="s">
        <v>30</v>
      </c>
      <c r="G198" t="s">
        <v>21</v>
      </c>
      <c r="H198">
        <v>43.7</v>
      </c>
      <c r="I198">
        <v>2</v>
      </c>
      <c r="J198">
        <v>4.37</v>
      </c>
      <c r="K198">
        <v>87.4</v>
      </c>
      <c r="L198" s="1">
        <v>43881</v>
      </c>
      <c r="M198" s="7">
        <f>DAY(Data[[#This Row],[Date]])</f>
        <v>20</v>
      </c>
      <c r="N198" s="7">
        <f>MONTH(Data[[#This Row],[Date]])</f>
        <v>2</v>
      </c>
      <c r="O198" s="7">
        <f>YEAR(Data[[#This Row],[Date]])</f>
        <v>2020</v>
      </c>
      <c r="P198" s="2">
        <v>0.75208333333333333</v>
      </c>
      <c r="Q198" t="s">
        <v>28</v>
      </c>
      <c r="R198">
        <v>61.18</v>
      </c>
      <c r="S198">
        <v>21.85</v>
      </c>
      <c r="T198">
        <v>4.9000000000000004</v>
      </c>
    </row>
    <row r="199" spans="1:20" x14ac:dyDescent="0.55000000000000004">
      <c r="A199" t="s">
        <v>232</v>
      </c>
      <c r="B199" t="s">
        <v>17</v>
      </c>
      <c r="C199" t="s">
        <v>18</v>
      </c>
      <c r="D199" t="str">
        <f>"Br. "&amp;Data[[#This Row],[Branch]]&amp;" ("&amp;Data[[#This Row],[City]]&amp;")"</f>
        <v>Br. A (Yangon)</v>
      </c>
      <c r="E199" t="s">
        <v>26</v>
      </c>
      <c r="F199" t="s">
        <v>20</v>
      </c>
      <c r="G199" t="s">
        <v>31</v>
      </c>
      <c r="H199">
        <v>25.29</v>
      </c>
      <c r="I199">
        <v>1</v>
      </c>
      <c r="J199">
        <v>1.2645</v>
      </c>
      <c r="K199">
        <v>25.29</v>
      </c>
      <c r="L199" s="1">
        <v>43881</v>
      </c>
      <c r="M199" s="7">
        <f>DAY(Data[[#This Row],[Date]])</f>
        <v>20</v>
      </c>
      <c r="N199" s="7">
        <f>MONTH(Data[[#This Row],[Date]])</f>
        <v>2</v>
      </c>
      <c r="O199" s="7">
        <f>YEAR(Data[[#This Row],[Date]])</f>
        <v>2020</v>
      </c>
      <c r="P199" s="2">
        <v>0.42569444444444443</v>
      </c>
      <c r="Q199" t="s">
        <v>22</v>
      </c>
      <c r="R199">
        <v>17.702999999999999</v>
      </c>
      <c r="S199">
        <v>6.3224999999999998</v>
      </c>
      <c r="T199">
        <v>6.1</v>
      </c>
    </row>
    <row r="200" spans="1:20" x14ac:dyDescent="0.55000000000000004">
      <c r="A200" t="s">
        <v>233</v>
      </c>
      <c r="B200" t="s">
        <v>24</v>
      </c>
      <c r="C200" t="s">
        <v>25</v>
      </c>
      <c r="D200" t="str">
        <f>"Br. "&amp;Data[[#This Row],[Branch]]&amp;" ("&amp;Data[[#This Row],[City]]&amp;")"</f>
        <v>Br. C (Naypyitaw)</v>
      </c>
      <c r="E200" t="s">
        <v>26</v>
      </c>
      <c r="F200" t="s">
        <v>30</v>
      </c>
      <c r="G200" t="s">
        <v>21</v>
      </c>
      <c r="H200">
        <v>41.5</v>
      </c>
      <c r="I200">
        <v>4</v>
      </c>
      <c r="J200">
        <v>8.3000000000000007</v>
      </c>
      <c r="K200">
        <v>166</v>
      </c>
      <c r="L200" s="1">
        <v>43881</v>
      </c>
      <c r="M200" s="7">
        <f>DAY(Data[[#This Row],[Date]])</f>
        <v>20</v>
      </c>
      <c r="N200" s="7">
        <f>MONTH(Data[[#This Row],[Date]])</f>
        <v>2</v>
      </c>
      <c r="O200" s="7">
        <f>YEAR(Data[[#This Row],[Date]])</f>
        <v>2020</v>
      </c>
      <c r="P200" s="2">
        <v>0.83194444444444449</v>
      </c>
      <c r="Q200" t="s">
        <v>32</v>
      </c>
      <c r="R200">
        <v>116.2</v>
      </c>
      <c r="S200">
        <v>41.5</v>
      </c>
      <c r="T200">
        <v>8.1999999999999993</v>
      </c>
    </row>
    <row r="201" spans="1:20" x14ac:dyDescent="0.55000000000000004">
      <c r="A201" t="s">
        <v>234</v>
      </c>
      <c r="B201" t="s">
        <v>24</v>
      </c>
      <c r="C201" t="s">
        <v>25</v>
      </c>
      <c r="D201" t="str">
        <f>"Br. "&amp;Data[[#This Row],[Branch]]&amp;" ("&amp;Data[[#This Row],[City]]&amp;")"</f>
        <v>Br. C (Naypyitaw)</v>
      </c>
      <c r="E201" t="s">
        <v>19</v>
      </c>
      <c r="F201" t="s">
        <v>20</v>
      </c>
      <c r="G201" t="s">
        <v>43</v>
      </c>
      <c r="H201">
        <v>71.39</v>
      </c>
      <c r="I201">
        <v>5</v>
      </c>
      <c r="J201">
        <v>17.8475</v>
      </c>
      <c r="K201">
        <v>356.95</v>
      </c>
      <c r="L201" s="1">
        <v>43881</v>
      </c>
      <c r="M201" s="7">
        <f>DAY(Data[[#This Row],[Date]])</f>
        <v>20</v>
      </c>
      <c r="N201" s="7">
        <f>MONTH(Data[[#This Row],[Date]])</f>
        <v>2</v>
      </c>
      <c r="O201" s="7">
        <f>YEAR(Data[[#This Row],[Date]])</f>
        <v>2020</v>
      </c>
      <c r="P201" s="2">
        <v>0.83125000000000004</v>
      </c>
      <c r="Q201" t="s">
        <v>32</v>
      </c>
      <c r="R201">
        <v>249.86500000000001</v>
      </c>
      <c r="S201">
        <v>89.237499999999997</v>
      </c>
      <c r="T201">
        <v>5.5</v>
      </c>
    </row>
    <row r="202" spans="1:20" x14ac:dyDescent="0.55000000000000004">
      <c r="A202" t="s">
        <v>235</v>
      </c>
      <c r="B202" t="s">
        <v>24</v>
      </c>
      <c r="C202" t="s">
        <v>25</v>
      </c>
      <c r="D202" t="str">
        <f>"Br. "&amp;Data[[#This Row],[Branch]]&amp;" ("&amp;Data[[#This Row],[City]]&amp;")"</f>
        <v>Br. C (Naypyitaw)</v>
      </c>
      <c r="E202" t="s">
        <v>19</v>
      </c>
      <c r="F202" t="s">
        <v>20</v>
      </c>
      <c r="G202" t="s">
        <v>35</v>
      </c>
      <c r="H202">
        <v>19.149999999999999</v>
      </c>
      <c r="I202">
        <v>6</v>
      </c>
      <c r="J202">
        <v>5.7450000000000001</v>
      </c>
      <c r="K202">
        <v>114.9</v>
      </c>
      <c r="L202" s="1">
        <v>43881</v>
      </c>
      <c r="M202" s="7">
        <f>DAY(Data[[#This Row],[Date]])</f>
        <v>20</v>
      </c>
      <c r="N202" s="7">
        <f>MONTH(Data[[#This Row],[Date]])</f>
        <v>2</v>
      </c>
      <c r="O202" s="7">
        <f>YEAR(Data[[#This Row],[Date]])</f>
        <v>2020</v>
      </c>
      <c r="P202" s="2">
        <v>0.41736111111111113</v>
      </c>
      <c r="Q202" t="s">
        <v>32</v>
      </c>
      <c r="R202">
        <v>80.430000000000007</v>
      </c>
      <c r="S202">
        <v>28.725000000000001</v>
      </c>
      <c r="T202">
        <v>6.8</v>
      </c>
    </row>
    <row r="203" spans="1:20" x14ac:dyDescent="0.55000000000000004">
      <c r="A203" t="s">
        <v>236</v>
      </c>
      <c r="B203" t="s">
        <v>41</v>
      </c>
      <c r="C203" t="s">
        <v>42</v>
      </c>
      <c r="D203" t="str">
        <f>"Br. "&amp;Data[[#This Row],[Branch]]&amp;" ("&amp;Data[[#This Row],[City]]&amp;")"</f>
        <v>Br. B (Mandalay)</v>
      </c>
      <c r="E203" t="s">
        <v>19</v>
      </c>
      <c r="F203" t="s">
        <v>20</v>
      </c>
      <c r="G203" t="s">
        <v>27</v>
      </c>
      <c r="H203">
        <v>57.49</v>
      </c>
      <c r="I203">
        <v>4</v>
      </c>
      <c r="J203">
        <v>11.497999999999999</v>
      </c>
      <c r="K203">
        <v>229.96</v>
      </c>
      <c r="L203" s="1">
        <v>43881</v>
      </c>
      <c r="M203" s="7">
        <f>DAY(Data[[#This Row],[Date]])</f>
        <v>20</v>
      </c>
      <c r="N203" s="7">
        <f>MONTH(Data[[#This Row],[Date]])</f>
        <v>2</v>
      </c>
      <c r="O203" s="7">
        <f>YEAR(Data[[#This Row],[Date]])</f>
        <v>2020</v>
      </c>
      <c r="P203" s="2">
        <v>0.49791666666666667</v>
      </c>
      <c r="Q203" t="s">
        <v>28</v>
      </c>
      <c r="R203">
        <v>160.97200000000001</v>
      </c>
      <c r="S203">
        <v>57.49</v>
      </c>
      <c r="T203">
        <v>6.6</v>
      </c>
    </row>
    <row r="204" spans="1:20" x14ac:dyDescent="0.55000000000000004">
      <c r="A204" t="s">
        <v>237</v>
      </c>
      <c r="B204" t="s">
        <v>24</v>
      </c>
      <c r="C204" t="s">
        <v>25</v>
      </c>
      <c r="D204" t="str">
        <f>"Br. "&amp;Data[[#This Row],[Branch]]&amp;" ("&amp;Data[[#This Row],[City]]&amp;")"</f>
        <v>Br. C (Naypyitaw)</v>
      </c>
      <c r="E204" t="s">
        <v>26</v>
      </c>
      <c r="F204" t="s">
        <v>30</v>
      </c>
      <c r="G204" t="s">
        <v>27</v>
      </c>
      <c r="H204">
        <v>61.41</v>
      </c>
      <c r="I204">
        <v>7</v>
      </c>
      <c r="J204">
        <v>21.493500000000001</v>
      </c>
      <c r="K204">
        <v>429.87</v>
      </c>
      <c r="L204" s="1">
        <v>43881</v>
      </c>
      <c r="M204" s="7">
        <f>DAY(Data[[#This Row],[Date]])</f>
        <v>20</v>
      </c>
      <c r="N204" s="7">
        <f>MONTH(Data[[#This Row],[Date]])</f>
        <v>2</v>
      </c>
      <c r="O204" s="7">
        <f>YEAR(Data[[#This Row],[Date]])</f>
        <v>2020</v>
      </c>
      <c r="P204" s="2">
        <v>0.41805555555555557</v>
      </c>
      <c r="Q204" t="s">
        <v>28</v>
      </c>
      <c r="R204">
        <v>300.90899999999999</v>
      </c>
      <c r="S204">
        <v>107.4675</v>
      </c>
      <c r="T204">
        <v>9.8000000000000007</v>
      </c>
    </row>
    <row r="205" spans="1:20" x14ac:dyDescent="0.55000000000000004">
      <c r="A205" t="s">
        <v>238</v>
      </c>
      <c r="B205" t="s">
        <v>41</v>
      </c>
      <c r="C205" t="s">
        <v>42</v>
      </c>
      <c r="D205" t="str">
        <f>"Br. "&amp;Data[[#This Row],[Branch]]&amp;" ("&amp;Data[[#This Row],[City]]&amp;")"</f>
        <v>Br. B (Mandalay)</v>
      </c>
      <c r="E205" t="s">
        <v>19</v>
      </c>
      <c r="F205" t="s">
        <v>30</v>
      </c>
      <c r="G205" t="s">
        <v>21</v>
      </c>
      <c r="H205">
        <v>25.9</v>
      </c>
      <c r="I205">
        <v>10</v>
      </c>
      <c r="J205">
        <v>12.95</v>
      </c>
      <c r="K205">
        <v>259</v>
      </c>
      <c r="L205" s="1">
        <v>43881</v>
      </c>
      <c r="M205" s="7">
        <f>DAY(Data[[#This Row],[Date]])</f>
        <v>20</v>
      </c>
      <c r="N205" s="7">
        <f>MONTH(Data[[#This Row],[Date]])</f>
        <v>2</v>
      </c>
      <c r="O205" s="7">
        <f>YEAR(Data[[#This Row],[Date]])</f>
        <v>2020</v>
      </c>
      <c r="P205" s="2">
        <v>0.61875000000000002</v>
      </c>
      <c r="Q205" t="s">
        <v>22</v>
      </c>
      <c r="R205">
        <v>181.3</v>
      </c>
      <c r="S205">
        <v>64.75</v>
      </c>
      <c r="T205">
        <v>8.6999999999999993</v>
      </c>
    </row>
    <row r="206" spans="1:20" x14ac:dyDescent="0.55000000000000004">
      <c r="A206" t="s">
        <v>239</v>
      </c>
      <c r="B206" t="s">
        <v>41</v>
      </c>
      <c r="C206" t="s">
        <v>42</v>
      </c>
      <c r="D206" t="str">
        <f>"Br. "&amp;Data[[#This Row],[Branch]]&amp;" ("&amp;Data[[#This Row],[City]]&amp;")"</f>
        <v>Br. B (Mandalay)</v>
      </c>
      <c r="E206" t="s">
        <v>19</v>
      </c>
      <c r="F206" t="s">
        <v>30</v>
      </c>
      <c r="G206" t="s">
        <v>31</v>
      </c>
      <c r="H206">
        <v>17.77</v>
      </c>
      <c r="I206">
        <v>5</v>
      </c>
      <c r="J206">
        <v>4.4424999999999999</v>
      </c>
      <c r="K206">
        <v>88.85</v>
      </c>
      <c r="L206" s="1">
        <v>43881</v>
      </c>
      <c r="M206" s="7">
        <f>DAY(Data[[#This Row],[Date]])</f>
        <v>20</v>
      </c>
      <c r="N206" s="7">
        <f>MONTH(Data[[#This Row],[Date]])</f>
        <v>2</v>
      </c>
      <c r="O206" s="7">
        <f>YEAR(Data[[#This Row],[Date]])</f>
        <v>2020</v>
      </c>
      <c r="P206" s="2">
        <v>0.52916666666666667</v>
      </c>
      <c r="Q206" t="s">
        <v>32</v>
      </c>
      <c r="R206">
        <v>62.195</v>
      </c>
      <c r="S206">
        <v>22.212499999999999</v>
      </c>
      <c r="T206">
        <v>5.4</v>
      </c>
    </row>
    <row r="207" spans="1:20" x14ac:dyDescent="0.55000000000000004">
      <c r="A207" t="s">
        <v>240</v>
      </c>
      <c r="B207" t="s">
        <v>17</v>
      </c>
      <c r="C207" t="s">
        <v>18</v>
      </c>
      <c r="D207" t="str">
        <f>"Br. "&amp;Data[[#This Row],[Branch]]&amp;" ("&amp;Data[[#This Row],[City]]&amp;")"</f>
        <v>Br. A (Yangon)</v>
      </c>
      <c r="E207" t="s">
        <v>26</v>
      </c>
      <c r="F207" t="s">
        <v>20</v>
      </c>
      <c r="G207" t="s">
        <v>21</v>
      </c>
      <c r="H207">
        <v>23.03</v>
      </c>
      <c r="I207">
        <v>9</v>
      </c>
      <c r="J207">
        <v>10.3635</v>
      </c>
      <c r="K207">
        <v>207.27</v>
      </c>
      <c r="L207" s="1">
        <v>43881</v>
      </c>
      <c r="M207" s="7">
        <f>DAY(Data[[#This Row],[Date]])</f>
        <v>20</v>
      </c>
      <c r="N207" s="7">
        <f>MONTH(Data[[#This Row],[Date]])</f>
        <v>2</v>
      </c>
      <c r="O207" s="7">
        <f>YEAR(Data[[#This Row],[Date]])</f>
        <v>2020</v>
      </c>
      <c r="P207" s="2">
        <v>0.50138888888888888</v>
      </c>
      <c r="Q207" t="s">
        <v>22</v>
      </c>
      <c r="R207">
        <v>145.089</v>
      </c>
      <c r="S207">
        <v>51.817500000000003</v>
      </c>
      <c r="T207">
        <v>7.9</v>
      </c>
    </row>
    <row r="208" spans="1:20" x14ac:dyDescent="0.55000000000000004">
      <c r="A208" t="s">
        <v>241</v>
      </c>
      <c r="B208" t="s">
        <v>24</v>
      </c>
      <c r="C208" t="s">
        <v>25</v>
      </c>
      <c r="D208" t="str">
        <f>"Br. "&amp;Data[[#This Row],[Branch]]&amp;" ("&amp;Data[[#This Row],[City]]&amp;")"</f>
        <v>Br. C (Naypyitaw)</v>
      </c>
      <c r="E208" t="s">
        <v>19</v>
      </c>
      <c r="F208" t="s">
        <v>20</v>
      </c>
      <c r="G208" t="s">
        <v>27</v>
      </c>
      <c r="H208">
        <v>66.650000000000006</v>
      </c>
      <c r="I208">
        <v>9</v>
      </c>
      <c r="J208">
        <v>29.9925</v>
      </c>
      <c r="K208">
        <v>599.85</v>
      </c>
      <c r="L208" s="1">
        <v>43881</v>
      </c>
      <c r="M208" s="7">
        <f>DAY(Data[[#This Row],[Date]])</f>
        <v>20</v>
      </c>
      <c r="N208" s="7">
        <f>MONTH(Data[[#This Row],[Date]])</f>
        <v>2</v>
      </c>
      <c r="O208" s="7">
        <f>YEAR(Data[[#This Row],[Date]])</f>
        <v>2020</v>
      </c>
      <c r="P208" s="2">
        <v>0.7631944444444444</v>
      </c>
      <c r="Q208" t="s">
        <v>32</v>
      </c>
      <c r="R208">
        <v>419.89499999999998</v>
      </c>
      <c r="S208">
        <v>149.96250000000001</v>
      </c>
      <c r="T208">
        <v>9.6999999999999993</v>
      </c>
    </row>
    <row r="209" spans="1:20" x14ac:dyDescent="0.55000000000000004">
      <c r="A209" t="s">
        <v>242</v>
      </c>
      <c r="B209" t="s">
        <v>24</v>
      </c>
      <c r="C209" t="s">
        <v>25</v>
      </c>
      <c r="D209" t="str">
        <f>"Br. "&amp;Data[[#This Row],[Branch]]&amp;" ("&amp;Data[[#This Row],[City]]&amp;")"</f>
        <v>Br. C (Naypyitaw)</v>
      </c>
      <c r="E209" t="s">
        <v>19</v>
      </c>
      <c r="F209" t="s">
        <v>20</v>
      </c>
      <c r="G209" t="s">
        <v>31</v>
      </c>
      <c r="H209">
        <v>28.53</v>
      </c>
      <c r="I209">
        <v>10</v>
      </c>
      <c r="J209">
        <v>14.265000000000001</v>
      </c>
      <c r="K209">
        <v>285.3</v>
      </c>
      <c r="L209" s="1">
        <v>43881</v>
      </c>
      <c r="M209" s="7">
        <f>DAY(Data[[#This Row],[Date]])</f>
        <v>20</v>
      </c>
      <c r="N209" s="7">
        <f>MONTH(Data[[#This Row],[Date]])</f>
        <v>2</v>
      </c>
      <c r="O209" s="7">
        <f>YEAR(Data[[#This Row],[Date]])</f>
        <v>2020</v>
      </c>
      <c r="P209" s="2">
        <v>0.73472222222222228</v>
      </c>
      <c r="Q209" t="s">
        <v>22</v>
      </c>
      <c r="R209">
        <v>199.71</v>
      </c>
      <c r="S209">
        <v>71.325000000000003</v>
      </c>
      <c r="T209">
        <v>7.8</v>
      </c>
    </row>
    <row r="210" spans="1:20" x14ac:dyDescent="0.55000000000000004">
      <c r="A210" t="s">
        <v>243</v>
      </c>
      <c r="B210" t="s">
        <v>41</v>
      </c>
      <c r="C210" t="s">
        <v>42</v>
      </c>
      <c r="D210" t="str">
        <f>"Br. "&amp;Data[[#This Row],[Branch]]&amp;" ("&amp;Data[[#This Row],[City]]&amp;")"</f>
        <v>Br. B (Mandalay)</v>
      </c>
      <c r="E210" t="s">
        <v>26</v>
      </c>
      <c r="F210" t="s">
        <v>20</v>
      </c>
      <c r="G210" t="s">
        <v>45</v>
      </c>
      <c r="H210">
        <v>30.37</v>
      </c>
      <c r="I210">
        <v>3</v>
      </c>
      <c r="J210">
        <v>4.5555000000000003</v>
      </c>
      <c r="K210">
        <v>91.11</v>
      </c>
      <c r="L210" s="1">
        <v>43881</v>
      </c>
      <c r="M210" s="7">
        <f>DAY(Data[[#This Row],[Date]])</f>
        <v>20</v>
      </c>
      <c r="N210" s="7">
        <f>MONTH(Data[[#This Row],[Date]])</f>
        <v>2</v>
      </c>
      <c r="O210" s="7">
        <f>YEAR(Data[[#This Row],[Date]])</f>
        <v>2020</v>
      </c>
      <c r="P210" s="2">
        <v>0.57013888888888886</v>
      </c>
      <c r="Q210" t="s">
        <v>22</v>
      </c>
      <c r="R210">
        <v>63.777000000000001</v>
      </c>
      <c r="S210">
        <v>22.7775</v>
      </c>
      <c r="T210">
        <v>5.0999999999999996</v>
      </c>
    </row>
    <row r="211" spans="1:20" x14ac:dyDescent="0.55000000000000004">
      <c r="A211" t="s">
        <v>244</v>
      </c>
      <c r="B211" t="s">
        <v>41</v>
      </c>
      <c r="C211" t="s">
        <v>42</v>
      </c>
      <c r="D211" t="str">
        <f>"Br. "&amp;Data[[#This Row],[Branch]]&amp;" ("&amp;Data[[#This Row],[City]]&amp;")"</f>
        <v>Br. B (Mandalay)</v>
      </c>
      <c r="E211" t="s">
        <v>26</v>
      </c>
      <c r="F211" t="s">
        <v>20</v>
      </c>
      <c r="G211" t="s">
        <v>27</v>
      </c>
      <c r="H211">
        <v>99.73</v>
      </c>
      <c r="I211">
        <v>9</v>
      </c>
      <c r="J211">
        <v>44.878500000000003</v>
      </c>
      <c r="K211">
        <v>897.57</v>
      </c>
      <c r="L211" s="1">
        <v>43881</v>
      </c>
      <c r="M211" s="7">
        <f>DAY(Data[[#This Row],[Date]])</f>
        <v>20</v>
      </c>
      <c r="N211" s="7">
        <f>MONTH(Data[[#This Row],[Date]])</f>
        <v>2</v>
      </c>
      <c r="O211" s="7">
        <f>YEAR(Data[[#This Row],[Date]])</f>
        <v>2020</v>
      </c>
      <c r="P211" s="2">
        <v>0.8208333333333333</v>
      </c>
      <c r="Q211" t="s">
        <v>32</v>
      </c>
      <c r="R211">
        <v>628.29899999999998</v>
      </c>
      <c r="S211">
        <v>224.39250000000001</v>
      </c>
      <c r="T211">
        <v>6.5</v>
      </c>
    </row>
    <row r="212" spans="1:20" x14ac:dyDescent="0.55000000000000004">
      <c r="A212" t="s">
        <v>245</v>
      </c>
      <c r="B212" t="s">
        <v>17</v>
      </c>
      <c r="C212" t="s">
        <v>18</v>
      </c>
      <c r="D212" t="str">
        <f>"Br. "&amp;Data[[#This Row],[Branch]]&amp;" ("&amp;Data[[#This Row],[City]]&amp;")"</f>
        <v>Br. A (Yangon)</v>
      </c>
      <c r="E212" t="s">
        <v>26</v>
      </c>
      <c r="F212" t="s">
        <v>30</v>
      </c>
      <c r="G212" t="s">
        <v>27</v>
      </c>
      <c r="H212">
        <v>26.23</v>
      </c>
      <c r="I212">
        <v>9</v>
      </c>
      <c r="J212">
        <v>11.8035</v>
      </c>
      <c r="K212">
        <v>236.07</v>
      </c>
      <c r="L212" s="1">
        <v>43881</v>
      </c>
      <c r="M212" s="7">
        <f>DAY(Data[[#This Row],[Date]])</f>
        <v>20</v>
      </c>
      <c r="N212" s="7">
        <f>MONTH(Data[[#This Row],[Date]])</f>
        <v>2</v>
      </c>
      <c r="O212" s="7">
        <f>YEAR(Data[[#This Row],[Date]])</f>
        <v>2020</v>
      </c>
      <c r="P212" s="2">
        <v>0.85</v>
      </c>
      <c r="Q212" t="s">
        <v>22</v>
      </c>
      <c r="R212">
        <v>165.249</v>
      </c>
      <c r="S212">
        <v>59.017499999999998</v>
      </c>
      <c r="T212">
        <v>5.9</v>
      </c>
    </row>
    <row r="213" spans="1:20" x14ac:dyDescent="0.55000000000000004">
      <c r="A213" t="s">
        <v>246</v>
      </c>
      <c r="B213" t="s">
        <v>24</v>
      </c>
      <c r="C213" t="s">
        <v>25</v>
      </c>
      <c r="D213" t="str">
        <f>"Br. "&amp;Data[[#This Row],[Branch]]&amp;" ("&amp;Data[[#This Row],[City]]&amp;")"</f>
        <v>Br. C (Naypyitaw)</v>
      </c>
      <c r="E213" t="s">
        <v>26</v>
      </c>
      <c r="F213" t="s">
        <v>20</v>
      </c>
      <c r="G213" t="s">
        <v>43</v>
      </c>
      <c r="H213">
        <v>93.26</v>
      </c>
      <c r="I213">
        <v>9</v>
      </c>
      <c r="J213">
        <v>41.966999999999999</v>
      </c>
      <c r="K213">
        <v>839.34</v>
      </c>
      <c r="L213" s="1">
        <v>43881</v>
      </c>
      <c r="M213" s="7">
        <f>DAY(Data[[#This Row],[Date]])</f>
        <v>20</v>
      </c>
      <c r="N213" s="7">
        <f>MONTH(Data[[#This Row],[Date]])</f>
        <v>2</v>
      </c>
      <c r="O213" s="7">
        <f>YEAR(Data[[#This Row],[Date]])</f>
        <v>2020</v>
      </c>
      <c r="P213" s="2">
        <v>0.75555555555555554</v>
      </c>
      <c r="Q213" t="s">
        <v>28</v>
      </c>
      <c r="R213">
        <v>587.53800000000001</v>
      </c>
      <c r="S213">
        <v>209.83500000000001</v>
      </c>
      <c r="T213">
        <v>8.8000000000000007</v>
      </c>
    </row>
    <row r="214" spans="1:20" x14ac:dyDescent="0.55000000000000004">
      <c r="A214" t="s">
        <v>247</v>
      </c>
      <c r="B214" t="s">
        <v>41</v>
      </c>
      <c r="C214" t="s">
        <v>42</v>
      </c>
      <c r="D214" t="str">
        <f>"Br. "&amp;Data[[#This Row],[Branch]]&amp;" ("&amp;Data[[#This Row],[City]]&amp;")"</f>
        <v>Br. B (Mandalay)</v>
      </c>
      <c r="E214" t="s">
        <v>26</v>
      </c>
      <c r="F214" t="s">
        <v>30</v>
      </c>
      <c r="G214" t="s">
        <v>31</v>
      </c>
      <c r="H214">
        <v>92.36</v>
      </c>
      <c r="I214">
        <v>5</v>
      </c>
      <c r="J214">
        <v>23.09</v>
      </c>
      <c r="K214">
        <v>461.8</v>
      </c>
      <c r="L214" s="1">
        <v>43881</v>
      </c>
      <c r="M214" s="7">
        <f>DAY(Data[[#This Row],[Date]])</f>
        <v>20</v>
      </c>
      <c r="N214" s="7">
        <f>MONTH(Data[[#This Row],[Date]])</f>
        <v>2</v>
      </c>
      <c r="O214" s="7">
        <f>YEAR(Data[[#This Row],[Date]])</f>
        <v>2020</v>
      </c>
      <c r="P214" s="2">
        <v>0.80347222222222225</v>
      </c>
      <c r="Q214" t="s">
        <v>22</v>
      </c>
      <c r="R214">
        <v>323.26</v>
      </c>
      <c r="S214">
        <v>115.45</v>
      </c>
      <c r="T214">
        <v>4.9000000000000004</v>
      </c>
    </row>
    <row r="215" spans="1:20" x14ac:dyDescent="0.55000000000000004">
      <c r="A215" t="s">
        <v>248</v>
      </c>
      <c r="B215" t="s">
        <v>41</v>
      </c>
      <c r="C215" t="s">
        <v>42</v>
      </c>
      <c r="D215" t="str">
        <f>"Br. "&amp;Data[[#This Row],[Branch]]&amp;" ("&amp;Data[[#This Row],[City]]&amp;")"</f>
        <v>Br. B (Mandalay)</v>
      </c>
      <c r="E215" t="s">
        <v>26</v>
      </c>
      <c r="F215" t="s">
        <v>30</v>
      </c>
      <c r="G215" t="s">
        <v>35</v>
      </c>
      <c r="H215">
        <v>46.42</v>
      </c>
      <c r="I215">
        <v>3</v>
      </c>
      <c r="J215">
        <v>6.9630000000000001</v>
      </c>
      <c r="K215">
        <v>139.26</v>
      </c>
      <c r="L215" s="1">
        <v>43881</v>
      </c>
      <c r="M215" s="7">
        <f>DAY(Data[[#This Row],[Date]])</f>
        <v>20</v>
      </c>
      <c r="N215" s="7">
        <f>MONTH(Data[[#This Row],[Date]])</f>
        <v>2</v>
      </c>
      <c r="O215" s="7">
        <f>YEAR(Data[[#This Row],[Date]])</f>
        <v>2020</v>
      </c>
      <c r="P215" s="2">
        <v>0.55833333333333335</v>
      </c>
      <c r="Q215" t="s">
        <v>32</v>
      </c>
      <c r="R215">
        <v>97.481999999999999</v>
      </c>
      <c r="S215">
        <v>34.814999999999998</v>
      </c>
      <c r="T215">
        <v>4.4000000000000004</v>
      </c>
    </row>
    <row r="216" spans="1:20" x14ac:dyDescent="0.55000000000000004">
      <c r="A216" t="s">
        <v>249</v>
      </c>
      <c r="B216" t="s">
        <v>41</v>
      </c>
      <c r="C216" t="s">
        <v>42</v>
      </c>
      <c r="D216" t="str">
        <f>"Br. "&amp;Data[[#This Row],[Branch]]&amp;" ("&amp;Data[[#This Row],[City]]&amp;")"</f>
        <v>Br. B (Mandalay)</v>
      </c>
      <c r="E216" t="s">
        <v>19</v>
      </c>
      <c r="F216" t="s">
        <v>20</v>
      </c>
      <c r="G216" t="s">
        <v>35</v>
      </c>
      <c r="H216">
        <v>29.61</v>
      </c>
      <c r="I216">
        <v>7</v>
      </c>
      <c r="J216">
        <v>10.3635</v>
      </c>
      <c r="K216">
        <v>207.27</v>
      </c>
      <c r="L216" s="1">
        <v>43881</v>
      </c>
      <c r="M216" s="7">
        <f>DAY(Data[[#This Row],[Date]])</f>
        <v>20</v>
      </c>
      <c r="N216" s="7">
        <f>MONTH(Data[[#This Row],[Date]])</f>
        <v>2</v>
      </c>
      <c r="O216" s="7">
        <f>YEAR(Data[[#This Row],[Date]])</f>
        <v>2020</v>
      </c>
      <c r="P216" s="2">
        <v>0.66180555555555554</v>
      </c>
      <c r="Q216" t="s">
        <v>28</v>
      </c>
      <c r="R216">
        <v>145.089</v>
      </c>
      <c r="S216">
        <v>51.817500000000003</v>
      </c>
      <c r="T216">
        <v>6.5</v>
      </c>
    </row>
    <row r="217" spans="1:20" x14ac:dyDescent="0.55000000000000004">
      <c r="A217" t="s">
        <v>250</v>
      </c>
      <c r="B217" t="s">
        <v>17</v>
      </c>
      <c r="C217" t="s">
        <v>18</v>
      </c>
      <c r="D217" t="str">
        <f>"Br. "&amp;Data[[#This Row],[Branch]]&amp;" ("&amp;Data[[#This Row],[City]]&amp;")"</f>
        <v>Br. A (Yangon)</v>
      </c>
      <c r="E217" t="s">
        <v>26</v>
      </c>
      <c r="F217" t="s">
        <v>30</v>
      </c>
      <c r="G217" t="s">
        <v>31</v>
      </c>
      <c r="H217">
        <v>18.28</v>
      </c>
      <c r="I217">
        <v>1</v>
      </c>
      <c r="J217">
        <v>0.91400000000000003</v>
      </c>
      <c r="K217">
        <v>18.28</v>
      </c>
      <c r="L217" s="1">
        <v>43881</v>
      </c>
      <c r="M217" s="7">
        <f>DAY(Data[[#This Row],[Date]])</f>
        <v>20</v>
      </c>
      <c r="N217" s="7">
        <f>MONTH(Data[[#This Row],[Date]])</f>
        <v>2</v>
      </c>
      <c r="O217" s="7">
        <f>YEAR(Data[[#This Row],[Date]])</f>
        <v>2020</v>
      </c>
      <c r="P217" s="2">
        <v>0.62847222222222221</v>
      </c>
      <c r="Q217" t="s">
        <v>32</v>
      </c>
      <c r="R217">
        <v>12.795999999999999</v>
      </c>
      <c r="S217">
        <v>4.57</v>
      </c>
      <c r="T217">
        <v>8.3000000000000007</v>
      </c>
    </row>
    <row r="218" spans="1:20" x14ac:dyDescent="0.55000000000000004">
      <c r="A218" t="s">
        <v>251</v>
      </c>
      <c r="B218" t="s">
        <v>41</v>
      </c>
      <c r="C218" t="s">
        <v>42</v>
      </c>
      <c r="D218" t="str">
        <f>"Br. "&amp;Data[[#This Row],[Branch]]&amp;" ("&amp;Data[[#This Row],[City]]&amp;")"</f>
        <v>Br. B (Mandalay)</v>
      </c>
      <c r="E218" t="s">
        <v>26</v>
      </c>
      <c r="F218" t="s">
        <v>20</v>
      </c>
      <c r="G218" t="s">
        <v>35</v>
      </c>
      <c r="H218">
        <v>24.77</v>
      </c>
      <c r="I218">
        <v>5</v>
      </c>
      <c r="J218">
        <v>6.1924999999999999</v>
      </c>
      <c r="K218">
        <v>123.85</v>
      </c>
      <c r="L218" s="1">
        <v>43881</v>
      </c>
      <c r="M218" s="7">
        <f>DAY(Data[[#This Row],[Date]])</f>
        <v>20</v>
      </c>
      <c r="N218" s="7">
        <f>MONTH(Data[[#This Row],[Date]])</f>
        <v>2</v>
      </c>
      <c r="O218" s="7">
        <f>YEAR(Data[[#This Row],[Date]])</f>
        <v>2020</v>
      </c>
      <c r="P218" s="2">
        <v>0.76875000000000004</v>
      </c>
      <c r="Q218" t="s">
        <v>28</v>
      </c>
      <c r="R218">
        <v>86.694999999999993</v>
      </c>
      <c r="S218">
        <v>30.962499999999999</v>
      </c>
      <c r="T218">
        <v>8.5</v>
      </c>
    </row>
    <row r="219" spans="1:20" x14ac:dyDescent="0.55000000000000004">
      <c r="A219" t="s">
        <v>252</v>
      </c>
      <c r="B219" t="s">
        <v>17</v>
      </c>
      <c r="C219" t="s">
        <v>18</v>
      </c>
      <c r="D219" t="str">
        <f>"Br. "&amp;Data[[#This Row],[Branch]]&amp;" ("&amp;Data[[#This Row],[City]]&amp;")"</f>
        <v>Br. A (Yangon)</v>
      </c>
      <c r="E219" t="s">
        <v>19</v>
      </c>
      <c r="F219" t="s">
        <v>20</v>
      </c>
      <c r="G219" t="s">
        <v>27</v>
      </c>
      <c r="H219">
        <v>94.64</v>
      </c>
      <c r="I219">
        <v>3</v>
      </c>
      <c r="J219">
        <v>14.196</v>
      </c>
      <c r="K219">
        <v>283.92</v>
      </c>
      <c r="L219" s="1">
        <v>43881</v>
      </c>
      <c r="M219" s="7">
        <f>DAY(Data[[#This Row],[Date]])</f>
        <v>20</v>
      </c>
      <c r="N219" s="7">
        <f>MONTH(Data[[#This Row],[Date]])</f>
        <v>2</v>
      </c>
      <c r="O219" s="7">
        <f>YEAR(Data[[#This Row],[Date]])</f>
        <v>2020</v>
      </c>
      <c r="P219" s="2">
        <v>0.70486111111111116</v>
      </c>
      <c r="Q219" t="s">
        <v>28</v>
      </c>
      <c r="R219">
        <v>198.744</v>
      </c>
      <c r="S219">
        <v>70.98</v>
      </c>
      <c r="T219">
        <v>5.5</v>
      </c>
    </row>
    <row r="220" spans="1:20" x14ac:dyDescent="0.55000000000000004">
      <c r="A220" t="s">
        <v>253</v>
      </c>
      <c r="B220" t="s">
        <v>41</v>
      </c>
      <c r="C220" t="s">
        <v>42</v>
      </c>
      <c r="D220" t="str">
        <f>"Br. "&amp;Data[[#This Row],[Branch]]&amp;" ("&amp;Data[[#This Row],[City]]&amp;")"</f>
        <v>Br. B (Mandalay)</v>
      </c>
      <c r="E220" t="s">
        <v>26</v>
      </c>
      <c r="F220" t="s">
        <v>30</v>
      </c>
      <c r="G220" t="s">
        <v>45</v>
      </c>
      <c r="H220">
        <v>94.87</v>
      </c>
      <c r="I220">
        <v>8</v>
      </c>
      <c r="J220">
        <v>37.948</v>
      </c>
      <c r="K220">
        <v>758.96</v>
      </c>
      <c r="L220" s="1">
        <v>43881</v>
      </c>
      <c r="M220" s="7">
        <f>DAY(Data[[#This Row],[Date]])</f>
        <v>20</v>
      </c>
      <c r="N220" s="7">
        <f>MONTH(Data[[#This Row],[Date]])</f>
        <v>2</v>
      </c>
      <c r="O220" s="7">
        <f>YEAR(Data[[#This Row],[Date]])</f>
        <v>2020</v>
      </c>
      <c r="P220" s="2">
        <v>0.54027777777777775</v>
      </c>
      <c r="Q220" t="s">
        <v>22</v>
      </c>
      <c r="R220">
        <v>531.27200000000005</v>
      </c>
      <c r="S220">
        <v>189.74</v>
      </c>
      <c r="T220">
        <v>8.6999999999999993</v>
      </c>
    </row>
    <row r="221" spans="1:20" x14ac:dyDescent="0.55000000000000004">
      <c r="A221" t="s">
        <v>254</v>
      </c>
      <c r="B221" t="s">
        <v>41</v>
      </c>
      <c r="C221" t="s">
        <v>42</v>
      </c>
      <c r="D221" t="str">
        <f>"Br. "&amp;Data[[#This Row],[Branch]]&amp;" ("&amp;Data[[#This Row],[City]]&amp;")"</f>
        <v>Br. B (Mandalay)</v>
      </c>
      <c r="E221" t="s">
        <v>26</v>
      </c>
      <c r="F221" t="s">
        <v>20</v>
      </c>
      <c r="G221" t="s">
        <v>43</v>
      </c>
      <c r="H221">
        <v>57.34</v>
      </c>
      <c r="I221">
        <v>3</v>
      </c>
      <c r="J221">
        <v>8.6010000000000009</v>
      </c>
      <c r="K221">
        <v>172.02</v>
      </c>
      <c r="L221" s="1">
        <v>43881</v>
      </c>
      <c r="M221" s="7">
        <f>DAY(Data[[#This Row],[Date]])</f>
        <v>20</v>
      </c>
      <c r="N221" s="7">
        <f>MONTH(Data[[#This Row],[Date]])</f>
        <v>2</v>
      </c>
      <c r="O221" s="7">
        <f>YEAR(Data[[#This Row],[Date]])</f>
        <v>2020</v>
      </c>
      <c r="P221" s="2">
        <v>0.79097222222222219</v>
      </c>
      <c r="Q221" t="s">
        <v>32</v>
      </c>
      <c r="R221">
        <v>120.414</v>
      </c>
      <c r="S221">
        <v>43.005000000000003</v>
      </c>
      <c r="T221">
        <v>7.9</v>
      </c>
    </row>
    <row r="222" spans="1:20" x14ac:dyDescent="0.55000000000000004">
      <c r="A222" t="s">
        <v>255</v>
      </c>
      <c r="B222" t="s">
        <v>41</v>
      </c>
      <c r="C222" t="s">
        <v>42</v>
      </c>
      <c r="D222" t="str">
        <f>"Br. "&amp;Data[[#This Row],[Branch]]&amp;" ("&amp;Data[[#This Row],[City]]&amp;")"</f>
        <v>Br. B (Mandalay)</v>
      </c>
      <c r="E222" t="s">
        <v>26</v>
      </c>
      <c r="F222" t="s">
        <v>30</v>
      </c>
      <c r="G222" t="s">
        <v>27</v>
      </c>
      <c r="H222">
        <v>45.35</v>
      </c>
      <c r="I222">
        <v>6</v>
      </c>
      <c r="J222">
        <v>13.605</v>
      </c>
      <c r="K222">
        <v>272.10000000000002</v>
      </c>
      <c r="L222" s="1">
        <v>43881</v>
      </c>
      <c r="M222" s="7">
        <f>DAY(Data[[#This Row],[Date]])</f>
        <v>20</v>
      </c>
      <c r="N222" s="7">
        <f>MONTH(Data[[#This Row],[Date]])</f>
        <v>2</v>
      </c>
      <c r="O222" s="7">
        <f>YEAR(Data[[#This Row],[Date]])</f>
        <v>2020</v>
      </c>
      <c r="P222" s="2">
        <v>0.57222222222222219</v>
      </c>
      <c r="Q222" t="s">
        <v>22</v>
      </c>
      <c r="R222">
        <v>190.47</v>
      </c>
      <c r="S222">
        <v>68.025000000000006</v>
      </c>
      <c r="T222">
        <v>6.1</v>
      </c>
    </row>
    <row r="223" spans="1:20" x14ac:dyDescent="0.55000000000000004">
      <c r="A223" t="s">
        <v>256</v>
      </c>
      <c r="B223" t="s">
        <v>41</v>
      </c>
      <c r="C223" t="s">
        <v>42</v>
      </c>
      <c r="D223" t="str">
        <f>"Br. "&amp;Data[[#This Row],[Branch]]&amp;" ("&amp;Data[[#This Row],[City]]&amp;")"</f>
        <v>Br. B (Mandalay)</v>
      </c>
      <c r="E223" t="s">
        <v>26</v>
      </c>
      <c r="F223" t="s">
        <v>30</v>
      </c>
      <c r="G223" t="s">
        <v>43</v>
      </c>
      <c r="H223">
        <v>62.08</v>
      </c>
      <c r="I223">
        <v>7</v>
      </c>
      <c r="J223">
        <v>21.728000000000002</v>
      </c>
      <c r="K223">
        <v>434.56</v>
      </c>
      <c r="L223" s="1">
        <v>43881</v>
      </c>
      <c r="M223" s="7">
        <f>DAY(Data[[#This Row],[Date]])</f>
        <v>20</v>
      </c>
      <c r="N223" s="7">
        <f>MONTH(Data[[#This Row],[Date]])</f>
        <v>2</v>
      </c>
      <c r="O223" s="7">
        <f>YEAR(Data[[#This Row],[Date]])</f>
        <v>2020</v>
      </c>
      <c r="P223" s="2">
        <v>0.57361111111111107</v>
      </c>
      <c r="Q223" t="s">
        <v>22</v>
      </c>
      <c r="R223">
        <v>304.19200000000001</v>
      </c>
      <c r="S223">
        <v>108.64</v>
      </c>
      <c r="T223">
        <v>5.4</v>
      </c>
    </row>
    <row r="224" spans="1:20" x14ac:dyDescent="0.55000000000000004">
      <c r="A224" t="s">
        <v>257</v>
      </c>
      <c r="B224" t="s">
        <v>24</v>
      </c>
      <c r="C224" t="s">
        <v>25</v>
      </c>
      <c r="D224" t="str">
        <f>"Br. "&amp;Data[[#This Row],[Branch]]&amp;" ("&amp;Data[[#This Row],[City]]&amp;")"</f>
        <v>Br. C (Naypyitaw)</v>
      </c>
      <c r="E224" t="s">
        <v>26</v>
      </c>
      <c r="F224" t="s">
        <v>30</v>
      </c>
      <c r="G224" t="s">
        <v>27</v>
      </c>
      <c r="H224">
        <v>11.81</v>
      </c>
      <c r="I224">
        <v>5</v>
      </c>
      <c r="J224">
        <v>2.9525000000000001</v>
      </c>
      <c r="K224">
        <v>59.05</v>
      </c>
      <c r="L224" s="1">
        <v>43881</v>
      </c>
      <c r="M224" s="7">
        <f>DAY(Data[[#This Row],[Date]])</f>
        <v>20</v>
      </c>
      <c r="N224" s="7">
        <f>MONTH(Data[[#This Row],[Date]])</f>
        <v>2</v>
      </c>
      <c r="O224" s="7">
        <f>YEAR(Data[[#This Row],[Date]])</f>
        <v>2020</v>
      </c>
      <c r="P224" s="2">
        <v>0.75416666666666665</v>
      </c>
      <c r="Q224" t="s">
        <v>28</v>
      </c>
      <c r="R224">
        <v>41.335000000000001</v>
      </c>
      <c r="S224">
        <v>14.762499999999999</v>
      </c>
      <c r="T224">
        <v>9.4</v>
      </c>
    </row>
    <row r="225" spans="1:20" x14ac:dyDescent="0.55000000000000004">
      <c r="A225" t="s">
        <v>258</v>
      </c>
      <c r="B225" t="s">
        <v>24</v>
      </c>
      <c r="C225" t="s">
        <v>25</v>
      </c>
      <c r="D225" t="str">
        <f>"Br. "&amp;Data[[#This Row],[Branch]]&amp;" ("&amp;Data[[#This Row],[City]]&amp;")"</f>
        <v>Br. C (Naypyitaw)</v>
      </c>
      <c r="E225" t="s">
        <v>19</v>
      </c>
      <c r="F225" t="s">
        <v>20</v>
      </c>
      <c r="G225" t="s">
        <v>45</v>
      </c>
      <c r="H225">
        <v>12.54</v>
      </c>
      <c r="I225">
        <v>1</v>
      </c>
      <c r="J225">
        <v>0.627</v>
      </c>
      <c r="K225">
        <v>12.54</v>
      </c>
      <c r="L225" s="1">
        <v>43881</v>
      </c>
      <c r="M225" s="7">
        <f>DAY(Data[[#This Row],[Date]])</f>
        <v>20</v>
      </c>
      <c r="N225" s="7">
        <f>MONTH(Data[[#This Row],[Date]])</f>
        <v>2</v>
      </c>
      <c r="O225" s="7">
        <f>YEAR(Data[[#This Row],[Date]])</f>
        <v>2020</v>
      </c>
      <c r="P225" s="2">
        <v>0.52638888888888891</v>
      </c>
      <c r="Q225" t="s">
        <v>28</v>
      </c>
      <c r="R225">
        <v>8.7780000000000005</v>
      </c>
      <c r="S225">
        <v>3.1349999999999998</v>
      </c>
      <c r="T225">
        <v>8.1999999999999993</v>
      </c>
    </row>
    <row r="226" spans="1:20" x14ac:dyDescent="0.55000000000000004">
      <c r="A226" t="s">
        <v>259</v>
      </c>
      <c r="B226" t="s">
        <v>17</v>
      </c>
      <c r="C226" t="s">
        <v>18</v>
      </c>
      <c r="D226" t="str">
        <f>"Br. "&amp;Data[[#This Row],[Branch]]&amp;" ("&amp;Data[[#This Row],[City]]&amp;")"</f>
        <v>Br. A (Yangon)</v>
      </c>
      <c r="E226" t="s">
        <v>26</v>
      </c>
      <c r="F226" t="s">
        <v>30</v>
      </c>
      <c r="G226" t="s">
        <v>43</v>
      </c>
      <c r="H226">
        <v>43.25</v>
      </c>
      <c r="I226">
        <v>2</v>
      </c>
      <c r="J226">
        <v>4.3250000000000002</v>
      </c>
      <c r="K226">
        <v>86.5</v>
      </c>
      <c r="L226" s="1">
        <v>43881</v>
      </c>
      <c r="M226" s="7">
        <f>DAY(Data[[#This Row],[Date]])</f>
        <v>20</v>
      </c>
      <c r="N226" s="7">
        <f>MONTH(Data[[#This Row],[Date]])</f>
        <v>2</v>
      </c>
      <c r="O226" s="7">
        <f>YEAR(Data[[#This Row],[Date]])</f>
        <v>2020</v>
      </c>
      <c r="P226" s="2">
        <v>0.66388888888888886</v>
      </c>
      <c r="Q226" t="s">
        <v>28</v>
      </c>
      <c r="R226">
        <v>60.55</v>
      </c>
      <c r="S226">
        <v>21.625</v>
      </c>
      <c r="T226">
        <v>6.2</v>
      </c>
    </row>
    <row r="227" spans="1:20" x14ac:dyDescent="0.55000000000000004">
      <c r="A227" t="s">
        <v>260</v>
      </c>
      <c r="B227" t="s">
        <v>24</v>
      </c>
      <c r="C227" t="s">
        <v>25</v>
      </c>
      <c r="D227" t="str">
        <f>"Br. "&amp;Data[[#This Row],[Branch]]&amp;" ("&amp;Data[[#This Row],[City]]&amp;")"</f>
        <v>Br. C (Naypyitaw)</v>
      </c>
      <c r="E227" t="s">
        <v>19</v>
      </c>
      <c r="F227" t="s">
        <v>20</v>
      </c>
      <c r="G227" t="s">
        <v>35</v>
      </c>
      <c r="H227">
        <v>87.16</v>
      </c>
      <c r="I227">
        <v>2</v>
      </c>
      <c r="J227">
        <v>8.7159999999999993</v>
      </c>
      <c r="K227">
        <v>174.32</v>
      </c>
      <c r="L227" s="1">
        <v>43881</v>
      </c>
      <c r="M227" s="7">
        <f>DAY(Data[[#This Row],[Date]])</f>
        <v>20</v>
      </c>
      <c r="N227" s="7">
        <f>MONTH(Data[[#This Row],[Date]])</f>
        <v>2</v>
      </c>
      <c r="O227" s="7">
        <f>YEAR(Data[[#This Row],[Date]])</f>
        <v>2020</v>
      </c>
      <c r="P227" s="2">
        <v>0.60347222222222219</v>
      </c>
      <c r="Q227" t="s">
        <v>32</v>
      </c>
      <c r="R227">
        <v>122.024</v>
      </c>
      <c r="S227">
        <v>43.58</v>
      </c>
      <c r="T227">
        <v>9.6999999999999993</v>
      </c>
    </row>
    <row r="228" spans="1:20" x14ac:dyDescent="0.55000000000000004">
      <c r="A228" t="s">
        <v>261</v>
      </c>
      <c r="B228" t="s">
        <v>41</v>
      </c>
      <c r="C228" t="s">
        <v>42</v>
      </c>
      <c r="D228" t="str">
        <f>"Br. "&amp;Data[[#This Row],[Branch]]&amp;" ("&amp;Data[[#This Row],[City]]&amp;")"</f>
        <v>Br. B (Mandalay)</v>
      </c>
      <c r="E228" t="s">
        <v>19</v>
      </c>
      <c r="F228" t="s">
        <v>30</v>
      </c>
      <c r="G228" t="s">
        <v>21</v>
      </c>
      <c r="H228">
        <v>69.37</v>
      </c>
      <c r="I228">
        <v>9</v>
      </c>
      <c r="J228">
        <v>31.2165</v>
      </c>
      <c r="K228">
        <v>624.33000000000004</v>
      </c>
      <c r="L228" s="1">
        <v>43881</v>
      </c>
      <c r="M228" s="7">
        <f>DAY(Data[[#This Row],[Date]])</f>
        <v>20</v>
      </c>
      <c r="N228" s="7">
        <f>MONTH(Data[[#This Row],[Date]])</f>
        <v>2</v>
      </c>
      <c r="O228" s="7">
        <f>YEAR(Data[[#This Row],[Date]])</f>
        <v>2020</v>
      </c>
      <c r="P228" s="2">
        <v>0.80138888888888893</v>
      </c>
      <c r="Q228" t="s">
        <v>22</v>
      </c>
      <c r="R228">
        <v>437.03100000000001</v>
      </c>
      <c r="S228">
        <v>156.08250000000001</v>
      </c>
      <c r="T228">
        <v>4</v>
      </c>
    </row>
    <row r="229" spans="1:20" x14ac:dyDescent="0.55000000000000004">
      <c r="A229" t="s">
        <v>262</v>
      </c>
      <c r="B229" t="s">
        <v>24</v>
      </c>
      <c r="C229" t="s">
        <v>25</v>
      </c>
      <c r="D229" t="str">
        <f>"Br. "&amp;Data[[#This Row],[Branch]]&amp;" ("&amp;Data[[#This Row],[City]]&amp;")"</f>
        <v>Br. C (Naypyitaw)</v>
      </c>
      <c r="E229" t="s">
        <v>19</v>
      </c>
      <c r="F229" t="s">
        <v>30</v>
      </c>
      <c r="G229" t="s">
        <v>27</v>
      </c>
      <c r="H229">
        <v>37.06</v>
      </c>
      <c r="I229">
        <v>4</v>
      </c>
      <c r="J229">
        <v>7.4119999999999999</v>
      </c>
      <c r="K229">
        <v>148.24</v>
      </c>
      <c r="L229" s="1">
        <v>43881</v>
      </c>
      <c r="M229" s="7">
        <f>DAY(Data[[#This Row],[Date]])</f>
        <v>20</v>
      </c>
      <c r="N229" s="7">
        <f>MONTH(Data[[#This Row],[Date]])</f>
        <v>2</v>
      </c>
      <c r="O229" s="7">
        <f>YEAR(Data[[#This Row],[Date]])</f>
        <v>2020</v>
      </c>
      <c r="P229" s="2">
        <v>0.68333333333333335</v>
      </c>
      <c r="Q229" t="s">
        <v>22</v>
      </c>
      <c r="R229">
        <v>103.768</v>
      </c>
      <c r="S229">
        <v>37.06</v>
      </c>
      <c r="T229">
        <v>9.6999999999999993</v>
      </c>
    </row>
    <row r="230" spans="1:20" x14ac:dyDescent="0.55000000000000004">
      <c r="A230" t="s">
        <v>263</v>
      </c>
      <c r="B230" t="s">
        <v>41</v>
      </c>
      <c r="C230" t="s">
        <v>42</v>
      </c>
      <c r="D230" t="str">
        <f>"Br. "&amp;Data[[#This Row],[Branch]]&amp;" ("&amp;Data[[#This Row],[City]]&amp;")"</f>
        <v>Br. B (Mandalay)</v>
      </c>
      <c r="E230" t="s">
        <v>19</v>
      </c>
      <c r="F230" t="s">
        <v>20</v>
      </c>
      <c r="G230" t="s">
        <v>27</v>
      </c>
      <c r="H230">
        <v>90.7</v>
      </c>
      <c r="I230">
        <v>6</v>
      </c>
      <c r="J230">
        <v>27.21</v>
      </c>
      <c r="K230">
        <v>544.20000000000005</v>
      </c>
      <c r="L230" s="1">
        <v>43881</v>
      </c>
      <c r="M230" s="7">
        <f>DAY(Data[[#This Row],[Date]])</f>
        <v>20</v>
      </c>
      <c r="N230" s="7">
        <f>MONTH(Data[[#This Row],[Date]])</f>
        <v>2</v>
      </c>
      <c r="O230" s="7">
        <f>YEAR(Data[[#This Row],[Date]])</f>
        <v>2020</v>
      </c>
      <c r="P230" s="2">
        <v>0.45277777777777778</v>
      </c>
      <c r="Q230" t="s">
        <v>28</v>
      </c>
      <c r="R230">
        <v>380.94</v>
      </c>
      <c r="S230">
        <v>136.05000000000001</v>
      </c>
      <c r="T230">
        <v>5.3</v>
      </c>
    </row>
    <row r="231" spans="1:20" x14ac:dyDescent="0.55000000000000004">
      <c r="A231" t="s">
        <v>264</v>
      </c>
      <c r="B231" t="s">
        <v>17</v>
      </c>
      <c r="C231" t="s">
        <v>18</v>
      </c>
      <c r="D231" t="str">
        <f>"Br. "&amp;Data[[#This Row],[Branch]]&amp;" ("&amp;Data[[#This Row],[City]]&amp;")"</f>
        <v>Br. A (Yangon)</v>
      </c>
      <c r="E231" t="s">
        <v>26</v>
      </c>
      <c r="F231" t="s">
        <v>20</v>
      </c>
      <c r="G231" t="s">
        <v>31</v>
      </c>
      <c r="H231">
        <v>63.42</v>
      </c>
      <c r="I231">
        <v>8</v>
      </c>
      <c r="J231">
        <v>25.367999999999999</v>
      </c>
      <c r="K231">
        <v>507.36</v>
      </c>
      <c r="L231" s="1">
        <v>43881</v>
      </c>
      <c r="M231" s="7">
        <f>DAY(Data[[#This Row],[Date]])</f>
        <v>20</v>
      </c>
      <c r="N231" s="7">
        <f>MONTH(Data[[#This Row],[Date]])</f>
        <v>2</v>
      </c>
      <c r="O231" s="7">
        <f>YEAR(Data[[#This Row],[Date]])</f>
        <v>2020</v>
      </c>
      <c r="P231" s="2">
        <v>0.53819444444444442</v>
      </c>
      <c r="Q231" t="s">
        <v>22</v>
      </c>
      <c r="R231">
        <v>355.15199999999999</v>
      </c>
      <c r="S231">
        <v>126.84</v>
      </c>
      <c r="T231">
        <v>7.4</v>
      </c>
    </row>
    <row r="232" spans="1:20" x14ac:dyDescent="0.55000000000000004">
      <c r="A232" t="s">
        <v>265</v>
      </c>
      <c r="B232" t="s">
        <v>41</v>
      </c>
      <c r="C232" t="s">
        <v>42</v>
      </c>
      <c r="D232" t="str">
        <f>"Br. "&amp;Data[[#This Row],[Branch]]&amp;" ("&amp;Data[[#This Row],[City]]&amp;")"</f>
        <v>Br. B (Mandalay)</v>
      </c>
      <c r="E232" t="s">
        <v>26</v>
      </c>
      <c r="F232" t="s">
        <v>20</v>
      </c>
      <c r="G232" t="s">
        <v>45</v>
      </c>
      <c r="H232">
        <v>81.37</v>
      </c>
      <c r="I232">
        <v>2</v>
      </c>
      <c r="J232">
        <v>8.1370000000000005</v>
      </c>
      <c r="K232">
        <v>162.74</v>
      </c>
      <c r="L232" s="1">
        <v>43881</v>
      </c>
      <c r="M232" s="7">
        <f>DAY(Data[[#This Row],[Date]])</f>
        <v>20</v>
      </c>
      <c r="N232" s="7">
        <f>MONTH(Data[[#This Row],[Date]])</f>
        <v>2</v>
      </c>
      <c r="O232" s="7">
        <f>YEAR(Data[[#This Row],[Date]])</f>
        <v>2020</v>
      </c>
      <c r="P232" s="2">
        <v>0.81111111111111112</v>
      </c>
      <c r="Q232" t="s">
        <v>28</v>
      </c>
      <c r="R232">
        <v>113.91800000000001</v>
      </c>
      <c r="S232">
        <v>40.685000000000002</v>
      </c>
      <c r="T232">
        <v>6.5</v>
      </c>
    </row>
    <row r="233" spans="1:20" x14ac:dyDescent="0.55000000000000004">
      <c r="A233" t="s">
        <v>266</v>
      </c>
      <c r="B233" t="s">
        <v>41</v>
      </c>
      <c r="C233" t="s">
        <v>42</v>
      </c>
      <c r="D233" t="str">
        <f>"Br. "&amp;Data[[#This Row],[Branch]]&amp;" ("&amp;Data[[#This Row],[City]]&amp;")"</f>
        <v>Br. B (Mandalay)</v>
      </c>
      <c r="E233" t="s">
        <v>19</v>
      </c>
      <c r="F233" t="s">
        <v>20</v>
      </c>
      <c r="G233" t="s">
        <v>27</v>
      </c>
      <c r="H233">
        <v>10.59</v>
      </c>
      <c r="I233">
        <v>3</v>
      </c>
      <c r="J233">
        <v>1.5885</v>
      </c>
      <c r="K233">
        <v>31.77</v>
      </c>
      <c r="L233" s="1">
        <v>43881</v>
      </c>
      <c r="M233" s="7">
        <f>DAY(Data[[#This Row],[Date]])</f>
        <v>20</v>
      </c>
      <c r="N233" s="7">
        <f>MONTH(Data[[#This Row],[Date]])</f>
        <v>2</v>
      </c>
      <c r="O233" s="7">
        <f>YEAR(Data[[#This Row],[Date]])</f>
        <v>2020</v>
      </c>
      <c r="P233" s="2">
        <v>0.57777777777777772</v>
      </c>
      <c r="Q233" t="s">
        <v>32</v>
      </c>
      <c r="R233">
        <v>22.239000000000001</v>
      </c>
      <c r="S233">
        <v>7.9424999999999999</v>
      </c>
      <c r="T233">
        <v>8.6999999999999993</v>
      </c>
    </row>
    <row r="234" spans="1:20" x14ac:dyDescent="0.55000000000000004">
      <c r="A234" t="s">
        <v>267</v>
      </c>
      <c r="B234" t="s">
        <v>41</v>
      </c>
      <c r="C234" t="s">
        <v>42</v>
      </c>
      <c r="D234" t="str">
        <f>"Br. "&amp;Data[[#This Row],[Branch]]&amp;" ("&amp;Data[[#This Row],[City]]&amp;")"</f>
        <v>Br. B (Mandalay)</v>
      </c>
      <c r="E234" t="s">
        <v>26</v>
      </c>
      <c r="F234" t="s">
        <v>20</v>
      </c>
      <c r="G234" t="s">
        <v>21</v>
      </c>
      <c r="H234">
        <v>84.09</v>
      </c>
      <c r="I234">
        <v>9</v>
      </c>
      <c r="J234">
        <v>37.840499999999999</v>
      </c>
      <c r="K234">
        <v>756.81</v>
      </c>
      <c r="L234" s="1">
        <v>43881</v>
      </c>
      <c r="M234" s="7">
        <f>DAY(Data[[#This Row],[Date]])</f>
        <v>20</v>
      </c>
      <c r="N234" s="7">
        <f>MONTH(Data[[#This Row],[Date]])</f>
        <v>2</v>
      </c>
      <c r="O234" s="7">
        <f>YEAR(Data[[#This Row],[Date]])</f>
        <v>2020</v>
      </c>
      <c r="P234" s="2">
        <v>0.45416666666666666</v>
      </c>
      <c r="Q234" t="s">
        <v>28</v>
      </c>
      <c r="R234">
        <v>529.76700000000005</v>
      </c>
      <c r="S234">
        <v>189.20249999999999</v>
      </c>
      <c r="T234">
        <v>8</v>
      </c>
    </row>
    <row r="235" spans="1:20" x14ac:dyDescent="0.55000000000000004">
      <c r="A235" t="s">
        <v>268</v>
      </c>
      <c r="B235" t="s">
        <v>41</v>
      </c>
      <c r="C235" t="s">
        <v>42</v>
      </c>
      <c r="D235" t="str">
        <f>"Br. "&amp;Data[[#This Row],[Branch]]&amp;" ("&amp;Data[[#This Row],[City]]&amp;")"</f>
        <v>Br. B (Mandalay)</v>
      </c>
      <c r="E235" t="s">
        <v>19</v>
      </c>
      <c r="F235" t="s">
        <v>30</v>
      </c>
      <c r="G235" t="s">
        <v>45</v>
      </c>
      <c r="H235">
        <v>73.819999999999993</v>
      </c>
      <c r="I235">
        <v>4</v>
      </c>
      <c r="J235">
        <v>14.763999999999999</v>
      </c>
      <c r="K235">
        <v>295.27999999999997</v>
      </c>
      <c r="L235" s="1">
        <v>43881</v>
      </c>
      <c r="M235" s="7">
        <f>DAY(Data[[#This Row],[Date]])</f>
        <v>20</v>
      </c>
      <c r="N235" s="7">
        <f>MONTH(Data[[#This Row],[Date]])</f>
        <v>2</v>
      </c>
      <c r="O235" s="7">
        <f>YEAR(Data[[#This Row],[Date]])</f>
        <v>2020</v>
      </c>
      <c r="P235" s="2">
        <v>0.77152777777777781</v>
      </c>
      <c r="Q235" t="s">
        <v>28</v>
      </c>
      <c r="R235">
        <v>206.696</v>
      </c>
      <c r="S235">
        <v>73.819999999999993</v>
      </c>
      <c r="T235">
        <v>6.7</v>
      </c>
    </row>
    <row r="236" spans="1:20" x14ac:dyDescent="0.55000000000000004">
      <c r="A236" t="s">
        <v>269</v>
      </c>
      <c r="B236" t="s">
        <v>17</v>
      </c>
      <c r="C236" t="s">
        <v>18</v>
      </c>
      <c r="D236" t="str">
        <f>"Br. "&amp;Data[[#This Row],[Branch]]&amp;" ("&amp;Data[[#This Row],[City]]&amp;")"</f>
        <v>Br. A (Yangon)</v>
      </c>
      <c r="E236" t="s">
        <v>19</v>
      </c>
      <c r="F236" t="s">
        <v>30</v>
      </c>
      <c r="G236" t="s">
        <v>21</v>
      </c>
      <c r="H236">
        <v>51.94</v>
      </c>
      <c r="I236">
        <v>10</v>
      </c>
      <c r="J236">
        <v>25.97</v>
      </c>
      <c r="K236">
        <v>519.4</v>
      </c>
      <c r="L236" s="1">
        <v>43881</v>
      </c>
      <c r="M236" s="7">
        <f>DAY(Data[[#This Row],[Date]])</f>
        <v>20</v>
      </c>
      <c r="N236" s="7">
        <f>MONTH(Data[[#This Row],[Date]])</f>
        <v>2</v>
      </c>
      <c r="O236" s="7">
        <f>YEAR(Data[[#This Row],[Date]])</f>
        <v>2020</v>
      </c>
      <c r="P236" s="2">
        <v>0.76666666666666672</v>
      </c>
      <c r="Q236" t="s">
        <v>22</v>
      </c>
      <c r="R236">
        <v>363.58</v>
      </c>
      <c r="S236">
        <v>129.85</v>
      </c>
      <c r="T236">
        <v>6.5</v>
      </c>
    </row>
    <row r="237" spans="1:20" x14ac:dyDescent="0.55000000000000004">
      <c r="A237" t="s">
        <v>270</v>
      </c>
      <c r="B237" t="s">
        <v>17</v>
      </c>
      <c r="C237" t="s">
        <v>18</v>
      </c>
      <c r="D237" t="str">
        <f>"Br. "&amp;Data[[#This Row],[Branch]]&amp;" ("&amp;Data[[#This Row],[City]]&amp;")"</f>
        <v>Br. A (Yangon)</v>
      </c>
      <c r="E237" t="s">
        <v>26</v>
      </c>
      <c r="F237" t="s">
        <v>20</v>
      </c>
      <c r="G237" t="s">
        <v>35</v>
      </c>
      <c r="H237">
        <v>93.14</v>
      </c>
      <c r="I237">
        <v>2</v>
      </c>
      <c r="J237">
        <v>9.3140000000000001</v>
      </c>
      <c r="K237">
        <v>186.28</v>
      </c>
      <c r="L237" s="1">
        <v>43881</v>
      </c>
      <c r="M237" s="7">
        <f>DAY(Data[[#This Row],[Date]])</f>
        <v>20</v>
      </c>
      <c r="N237" s="7">
        <f>MONTH(Data[[#This Row],[Date]])</f>
        <v>2</v>
      </c>
      <c r="O237" s="7">
        <f>YEAR(Data[[#This Row],[Date]])</f>
        <v>2020</v>
      </c>
      <c r="P237" s="2">
        <v>0.75624999999999998</v>
      </c>
      <c r="Q237" t="s">
        <v>22</v>
      </c>
      <c r="R237">
        <v>130.39599999999999</v>
      </c>
      <c r="S237">
        <v>46.57</v>
      </c>
      <c r="T237">
        <v>4.0999999999999996</v>
      </c>
    </row>
    <row r="238" spans="1:20" x14ac:dyDescent="0.55000000000000004">
      <c r="A238" t="s">
        <v>271</v>
      </c>
      <c r="B238" t="s">
        <v>24</v>
      </c>
      <c r="C238" t="s">
        <v>25</v>
      </c>
      <c r="D238" t="str">
        <f>"Br. "&amp;Data[[#This Row],[Branch]]&amp;" ("&amp;Data[[#This Row],[City]]&amp;")"</f>
        <v>Br. C (Naypyitaw)</v>
      </c>
      <c r="E238" t="s">
        <v>26</v>
      </c>
      <c r="F238" t="s">
        <v>30</v>
      </c>
      <c r="G238" t="s">
        <v>21</v>
      </c>
      <c r="H238">
        <v>17.41</v>
      </c>
      <c r="I238">
        <v>5</v>
      </c>
      <c r="J238">
        <v>4.3525</v>
      </c>
      <c r="K238">
        <v>87.05</v>
      </c>
      <c r="L238" s="1">
        <v>43881</v>
      </c>
      <c r="M238" s="7">
        <f>DAY(Data[[#This Row],[Date]])</f>
        <v>20</v>
      </c>
      <c r="N238" s="7">
        <f>MONTH(Data[[#This Row],[Date]])</f>
        <v>2</v>
      </c>
      <c r="O238" s="7">
        <f>YEAR(Data[[#This Row],[Date]])</f>
        <v>2020</v>
      </c>
      <c r="P238" s="2">
        <v>0.63611111111111107</v>
      </c>
      <c r="Q238" t="s">
        <v>32</v>
      </c>
      <c r="R238">
        <v>60.935000000000002</v>
      </c>
      <c r="S238">
        <v>21.762499999999999</v>
      </c>
      <c r="T238">
        <v>4.9000000000000004</v>
      </c>
    </row>
    <row r="239" spans="1:20" x14ac:dyDescent="0.55000000000000004">
      <c r="A239" t="s">
        <v>272</v>
      </c>
      <c r="B239" t="s">
        <v>24</v>
      </c>
      <c r="C239" t="s">
        <v>25</v>
      </c>
      <c r="D239" t="str">
        <f>"Br. "&amp;Data[[#This Row],[Branch]]&amp;" ("&amp;Data[[#This Row],[City]]&amp;")"</f>
        <v>Br. C (Naypyitaw)</v>
      </c>
      <c r="E239" t="s">
        <v>19</v>
      </c>
      <c r="F239" t="s">
        <v>20</v>
      </c>
      <c r="G239" t="s">
        <v>45</v>
      </c>
      <c r="H239">
        <v>44.22</v>
      </c>
      <c r="I239">
        <v>5</v>
      </c>
      <c r="J239">
        <v>11.055</v>
      </c>
      <c r="K239">
        <v>221.1</v>
      </c>
      <c r="L239" s="1">
        <v>43881</v>
      </c>
      <c r="M239" s="7">
        <f>DAY(Data[[#This Row],[Date]])</f>
        <v>20</v>
      </c>
      <c r="N239" s="7">
        <f>MONTH(Data[[#This Row],[Date]])</f>
        <v>2</v>
      </c>
      <c r="O239" s="7">
        <f>YEAR(Data[[#This Row],[Date]])</f>
        <v>2020</v>
      </c>
      <c r="P239" s="2">
        <v>0.71319444444444446</v>
      </c>
      <c r="Q239" t="s">
        <v>32</v>
      </c>
      <c r="R239">
        <v>154.77000000000001</v>
      </c>
      <c r="S239">
        <v>55.274999999999999</v>
      </c>
      <c r="T239">
        <v>8.6</v>
      </c>
    </row>
    <row r="240" spans="1:20" x14ac:dyDescent="0.55000000000000004">
      <c r="A240" t="s">
        <v>273</v>
      </c>
      <c r="B240" t="s">
        <v>41</v>
      </c>
      <c r="C240" t="s">
        <v>42</v>
      </c>
      <c r="D240" t="str">
        <f>"Br. "&amp;Data[[#This Row],[Branch]]&amp;" ("&amp;Data[[#This Row],[City]]&amp;")"</f>
        <v>Br. B (Mandalay)</v>
      </c>
      <c r="E240" t="s">
        <v>19</v>
      </c>
      <c r="F240" t="s">
        <v>20</v>
      </c>
      <c r="G240" t="s">
        <v>27</v>
      </c>
      <c r="H240">
        <v>13.22</v>
      </c>
      <c r="I240">
        <v>5</v>
      </c>
      <c r="J240">
        <v>3.3050000000000002</v>
      </c>
      <c r="K240">
        <v>66.099999999999994</v>
      </c>
      <c r="L240" s="1">
        <v>43881</v>
      </c>
      <c r="M240" s="7">
        <f>DAY(Data[[#This Row],[Date]])</f>
        <v>20</v>
      </c>
      <c r="N240" s="7">
        <f>MONTH(Data[[#This Row],[Date]])</f>
        <v>2</v>
      </c>
      <c r="O240" s="7">
        <f>YEAR(Data[[#This Row],[Date]])</f>
        <v>2020</v>
      </c>
      <c r="P240" s="2">
        <v>0.80972222222222223</v>
      </c>
      <c r="Q240" t="s">
        <v>28</v>
      </c>
      <c r="R240">
        <v>46.27</v>
      </c>
      <c r="S240">
        <v>16.524999999999999</v>
      </c>
      <c r="T240">
        <v>4.3</v>
      </c>
    </row>
    <row r="241" spans="1:20" x14ac:dyDescent="0.55000000000000004">
      <c r="A241" t="s">
        <v>274</v>
      </c>
      <c r="B241" t="s">
        <v>17</v>
      </c>
      <c r="C241" t="s">
        <v>18</v>
      </c>
      <c r="D241" t="str">
        <f>"Br. "&amp;Data[[#This Row],[Branch]]&amp;" ("&amp;Data[[#This Row],[City]]&amp;")"</f>
        <v>Br. A (Yangon)</v>
      </c>
      <c r="E241" t="s">
        <v>26</v>
      </c>
      <c r="F241" t="s">
        <v>30</v>
      </c>
      <c r="G241" t="s">
        <v>45</v>
      </c>
      <c r="H241">
        <v>89.69</v>
      </c>
      <c r="I241">
        <v>1</v>
      </c>
      <c r="J241">
        <v>4.4844999999999997</v>
      </c>
      <c r="K241">
        <v>89.69</v>
      </c>
      <c r="L241" s="1">
        <v>43881</v>
      </c>
      <c r="M241" s="7">
        <f>DAY(Data[[#This Row],[Date]])</f>
        <v>20</v>
      </c>
      <c r="N241" s="7">
        <f>MONTH(Data[[#This Row],[Date]])</f>
        <v>2</v>
      </c>
      <c r="O241" s="7">
        <f>YEAR(Data[[#This Row],[Date]])</f>
        <v>2020</v>
      </c>
      <c r="P241" s="2">
        <v>0.47222222222222221</v>
      </c>
      <c r="Q241" t="s">
        <v>22</v>
      </c>
      <c r="R241">
        <v>62.783000000000001</v>
      </c>
      <c r="S241">
        <v>22.422499999999999</v>
      </c>
      <c r="T241">
        <v>4.9000000000000004</v>
      </c>
    </row>
    <row r="242" spans="1:20" x14ac:dyDescent="0.55000000000000004">
      <c r="A242" t="s">
        <v>275</v>
      </c>
      <c r="B242" t="s">
        <v>17</v>
      </c>
      <c r="C242" t="s">
        <v>18</v>
      </c>
      <c r="D242" t="str">
        <f>"Br. "&amp;Data[[#This Row],[Branch]]&amp;" ("&amp;Data[[#This Row],[City]]&amp;")"</f>
        <v>Br. A (Yangon)</v>
      </c>
      <c r="E242" t="s">
        <v>26</v>
      </c>
      <c r="F242" t="s">
        <v>30</v>
      </c>
      <c r="G242" t="s">
        <v>43</v>
      </c>
      <c r="H242">
        <v>24.94</v>
      </c>
      <c r="I242">
        <v>9</v>
      </c>
      <c r="J242">
        <v>11.223000000000001</v>
      </c>
      <c r="K242">
        <v>224.46</v>
      </c>
      <c r="L242" s="1">
        <v>43881</v>
      </c>
      <c r="M242" s="7">
        <f>DAY(Data[[#This Row],[Date]])</f>
        <v>20</v>
      </c>
      <c r="N242" s="7">
        <f>MONTH(Data[[#This Row],[Date]])</f>
        <v>2</v>
      </c>
      <c r="O242" s="7">
        <f>YEAR(Data[[#This Row],[Date]])</f>
        <v>2020</v>
      </c>
      <c r="P242" s="2">
        <v>0.7006944444444444</v>
      </c>
      <c r="Q242" t="s">
        <v>32</v>
      </c>
      <c r="R242">
        <v>157.12200000000001</v>
      </c>
      <c r="S242">
        <v>56.115000000000002</v>
      </c>
      <c r="T242">
        <v>5.6</v>
      </c>
    </row>
    <row r="243" spans="1:20" x14ac:dyDescent="0.55000000000000004">
      <c r="A243" t="s">
        <v>276</v>
      </c>
      <c r="B243" t="s">
        <v>17</v>
      </c>
      <c r="C243" t="s">
        <v>18</v>
      </c>
      <c r="D243" t="str">
        <f>"Br. "&amp;Data[[#This Row],[Branch]]&amp;" ("&amp;Data[[#This Row],[City]]&amp;")"</f>
        <v>Br. A (Yangon)</v>
      </c>
      <c r="E243" t="s">
        <v>26</v>
      </c>
      <c r="F243" t="s">
        <v>30</v>
      </c>
      <c r="G243" t="s">
        <v>21</v>
      </c>
      <c r="H243">
        <v>59.77</v>
      </c>
      <c r="I243">
        <v>2</v>
      </c>
      <c r="J243">
        <v>5.9770000000000003</v>
      </c>
      <c r="K243">
        <v>119.54</v>
      </c>
      <c r="L243" s="1">
        <v>43881</v>
      </c>
      <c r="M243" s="7">
        <f>DAY(Data[[#This Row],[Date]])</f>
        <v>20</v>
      </c>
      <c r="N243" s="7">
        <f>MONTH(Data[[#This Row],[Date]])</f>
        <v>2</v>
      </c>
      <c r="O243" s="7">
        <f>YEAR(Data[[#This Row],[Date]])</f>
        <v>2020</v>
      </c>
      <c r="P243" s="2">
        <v>0.50069444444444444</v>
      </c>
      <c r="Q243" t="s">
        <v>32</v>
      </c>
      <c r="R243">
        <v>83.677999999999997</v>
      </c>
      <c r="S243">
        <v>29.885000000000002</v>
      </c>
      <c r="T243">
        <v>5.8</v>
      </c>
    </row>
    <row r="244" spans="1:20" x14ac:dyDescent="0.55000000000000004">
      <c r="A244" t="s">
        <v>277</v>
      </c>
      <c r="B244" t="s">
        <v>24</v>
      </c>
      <c r="C244" t="s">
        <v>25</v>
      </c>
      <c r="D244" t="str">
        <f>"Br. "&amp;Data[[#This Row],[Branch]]&amp;" ("&amp;Data[[#This Row],[City]]&amp;")"</f>
        <v>Br. C (Naypyitaw)</v>
      </c>
      <c r="E244" t="s">
        <v>19</v>
      </c>
      <c r="F244" t="s">
        <v>30</v>
      </c>
      <c r="G244" t="s">
        <v>45</v>
      </c>
      <c r="H244">
        <v>93.2</v>
      </c>
      <c r="I244">
        <v>2</v>
      </c>
      <c r="J244">
        <v>9.32</v>
      </c>
      <c r="K244">
        <v>186.4</v>
      </c>
      <c r="L244" s="1">
        <v>43881</v>
      </c>
      <c r="M244" s="7">
        <f>DAY(Data[[#This Row],[Date]])</f>
        <v>20</v>
      </c>
      <c r="N244" s="7">
        <f>MONTH(Data[[#This Row],[Date]])</f>
        <v>2</v>
      </c>
      <c r="O244" s="7">
        <f>YEAR(Data[[#This Row],[Date]])</f>
        <v>2020</v>
      </c>
      <c r="P244" s="2">
        <v>0.77569444444444446</v>
      </c>
      <c r="Q244" t="s">
        <v>32</v>
      </c>
      <c r="R244">
        <v>130.47999999999999</v>
      </c>
      <c r="S244">
        <v>46.6</v>
      </c>
      <c r="T244">
        <v>6</v>
      </c>
    </row>
    <row r="245" spans="1:20" x14ac:dyDescent="0.55000000000000004">
      <c r="A245" t="s">
        <v>278</v>
      </c>
      <c r="B245" t="s">
        <v>17</v>
      </c>
      <c r="C245" t="s">
        <v>18</v>
      </c>
      <c r="D245" t="str">
        <f>"Br. "&amp;Data[[#This Row],[Branch]]&amp;" ("&amp;Data[[#This Row],[City]]&amp;")"</f>
        <v>Br. A (Yangon)</v>
      </c>
      <c r="E245" t="s">
        <v>19</v>
      </c>
      <c r="F245" t="s">
        <v>30</v>
      </c>
      <c r="G245" t="s">
        <v>31</v>
      </c>
      <c r="H245">
        <v>62.65</v>
      </c>
      <c r="I245">
        <v>4</v>
      </c>
      <c r="J245">
        <v>12.53</v>
      </c>
      <c r="K245">
        <v>250.6</v>
      </c>
      <c r="L245" s="1">
        <v>43881</v>
      </c>
      <c r="M245" s="7">
        <f>DAY(Data[[#This Row],[Date]])</f>
        <v>20</v>
      </c>
      <c r="N245" s="7">
        <f>MONTH(Data[[#This Row],[Date]])</f>
        <v>2</v>
      </c>
      <c r="O245" s="7">
        <f>YEAR(Data[[#This Row],[Date]])</f>
        <v>2020</v>
      </c>
      <c r="P245" s="2">
        <v>0.47569444444444442</v>
      </c>
      <c r="Q245" t="s">
        <v>28</v>
      </c>
      <c r="R245">
        <v>175.42</v>
      </c>
      <c r="S245">
        <v>62.65</v>
      </c>
      <c r="T245">
        <v>4.2</v>
      </c>
    </row>
    <row r="246" spans="1:20" x14ac:dyDescent="0.55000000000000004">
      <c r="A246" t="s">
        <v>279</v>
      </c>
      <c r="B246" t="s">
        <v>41</v>
      </c>
      <c r="C246" t="s">
        <v>42</v>
      </c>
      <c r="D246" t="str">
        <f>"Br. "&amp;Data[[#This Row],[Branch]]&amp;" ("&amp;Data[[#This Row],[City]]&amp;")"</f>
        <v>Br. B (Mandalay)</v>
      </c>
      <c r="E246" t="s">
        <v>26</v>
      </c>
      <c r="F246" t="s">
        <v>30</v>
      </c>
      <c r="G246" t="s">
        <v>31</v>
      </c>
      <c r="H246">
        <v>93.87</v>
      </c>
      <c r="I246">
        <v>8</v>
      </c>
      <c r="J246">
        <v>37.548000000000002</v>
      </c>
      <c r="K246">
        <v>750.96</v>
      </c>
      <c r="L246" s="1">
        <v>43881</v>
      </c>
      <c r="M246" s="7">
        <f>DAY(Data[[#This Row],[Date]])</f>
        <v>20</v>
      </c>
      <c r="N246" s="7">
        <f>MONTH(Data[[#This Row],[Date]])</f>
        <v>2</v>
      </c>
      <c r="O246" s="7">
        <f>YEAR(Data[[#This Row],[Date]])</f>
        <v>2020</v>
      </c>
      <c r="P246" s="2">
        <v>0.77916666666666667</v>
      </c>
      <c r="Q246" t="s">
        <v>32</v>
      </c>
      <c r="R246">
        <v>525.67200000000003</v>
      </c>
      <c r="S246">
        <v>187.74</v>
      </c>
      <c r="T246">
        <v>8.3000000000000007</v>
      </c>
    </row>
    <row r="247" spans="1:20" x14ac:dyDescent="0.55000000000000004">
      <c r="A247" t="s">
        <v>280</v>
      </c>
      <c r="B247" t="s">
        <v>17</v>
      </c>
      <c r="C247" t="s">
        <v>18</v>
      </c>
      <c r="D247" t="str">
        <f>"Br. "&amp;Data[[#This Row],[Branch]]&amp;" ("&amp;Data[[#This Row],[City]]&amp;")"</f>
        <v>Br. A (Yangon)</v>
      </c>
      <c r="E247" t="s">
        <v>19</v>
      </c>
      <c r="F247" t="s">
        <v>30</v>
      </c>
      <c r="G247" t="s">
        <v>31</v>
      </c>
      <c r="H247">
        <v>47.59</v>
      </c>
      <c r="I247">
        <v>8</v>
      </c>
      <c r="J247">
        <v>19.036000000000001</v>
      </c>
      <c r="K247">
        <v>380.72</v>
      </c>
      <c r="L247" s="1">
        <v>43881</v>
      </c>
      <c r="M247" s="7">
        <f>DAY(Data[[#This Row],[Date]])</f>
        <v>20</v>
      </c>
      <c r="N247" s="7">
        <f>MONTH(Data[[#This Row],[Date]])</f>
        <v>2</v>
      </c>
      <c r="O247" s="7">
        <f>YEAR(Data[[#This Row],[Date]])</f>
        <v>2020</v>
      </c>
      <c r="P247" s="2">
        <v>0.61597222222222225</v>
      </c>
      <c r="Q247" t="s">
        <v>28</v>
      </c>
      <c r="R247">
        <v>266.50400000000002</v>
      </c>
      <c r="S247">
        <v>95.18</v>
      </c>
      <c r="T247">
        <v>5.7</v>
      </c>
    </row>
    <row r="248" spans="1:20" x14ac:dyDescent="0.55000000000000004">
      <c r="A248" t="s">
        <v>281</v>
      </c>
      <c r="B248" t="s">
        <v>41</v>
      </c>
      <c r="C248" t="s">
        <v>42</v>
      </c>
      <c r="D248" t="str">
        <f>"Br. "&amp;Data[[#This Row],[Branch]]&amp;" ("&amp;Data[[#This Row],[City]]&amp;")"</f>
        <v>Br. B (Mandalay)</v>
      </c>
      <c r="E248" t="s">
        <v>19</v>
      </c>
      <c r="F248" t="s">
        <v>20</v>
      </c>
      <c r="G248" t="s">
        <v>27</v>
      </c>
      <c r="H248">
        <v>81.400000000000006</v>
      </c>
      <c r="I248">
        <v>3</v>
      </c>
      <c r="J248">
        <v>12.21</v>
      </c>
      <c r="K248">
        <v>244.2</v>
      </c>
      <c r="L248" s="1">
        <v>43881</v>
      </c>
      <c r="M248" s="7">
        <f>DAY(Data[[#This Row],[Date]])</f>
        <v>20</v>
      </c>
      <c r="N248" s="7">
        <f>MONTH(Data[[#This Row],[Date]])</f>
        <v>2</v>
      </c>
      <c r="O248" s="7">
        <f>YEAR(Data[[#This Row],[Date]])</f>
        <v>2020</v>
      </c>
      <c r="P248" s="2">
        <v>0.82152777777777775</v>
      </c>
      <c r="Q248" t="s">
        <v>28</v>
      </c>
      <c r="R248">
        <v>170.94</v>
      </c>
      <c r="S248">
        <v>61.05</v>
      </c>
      <c r="T248">
        <v>4.8</v>
      </c>
    </row>
    <row r="249" spans="1:20" x14ac:dyDescent="0.55000000000000004">
      <c r="A249" t="s">
        <v>282</v>
      </c>
      <c r="B249" t="s">
        <v>17</v>
      </c>
      <c r="C249" t="s">
        <v>18</v>
      </c>
      <c r="D249" t="str">
        <f>"Br. "&amp;Data[[#This Row],[Branch]]&amp;" ("&amp;Data[[#This Row],[City]]&amp;")"</f>
        <v>Br. A (Yangon)</v>
      </c>
      <c r="E249" t="s">
        <v>19</v>
      </c>
      <c r="F249" t="s">
        <v>30</v>
      </c>
      <c r="G249" t="s">
        <v>45</v>
      </c>
      <c r="H249">
        <v>17.940000000000001</v>
      </c>
      <c r="I249">
        <v>5</v>
      </c>
      <c r="J249">
        <v>4.4850000000000003</v>
      </c>
      <c r="K249">
        <v>89.7</v>
      </c>
      <c r="L249" s="1">
        <v>43881</v>
      </c>
      <c r="M249" s="7">
        <f>DAY(Data[[#This Row],[Date]])</f>
        <v>20</v>
      </c>
      <c r="N249" s="7">
        <f>MONTH(Data[[#This Row],[Date]])</f>
        <v>2</v>
      </c>
      <c r="O249" s="7">
        <f>YEAR(Data[[#This Row],[Date]])</f>
        <v>2020</v>
      </c>
      <c r="P249" s="2">
        <v>0.58611111111111114</v>
      </c>
      <c r="Q249" t="s">
        <v>22</v>
      </c>
      <c r="R249">
        <v>62.79</v>
      </c>
      <c r="S249">
        <v>22.425000000000001</v>
      </c>
      <c r="T249">
        <v>6.8</v>
      </c>
    </row>
    <row r="250" spans="1:20" x14ac:dyDescent="0.55000000000000004">
      <c r="A250" t="s">
        <v>283</v>
      </c>
      <c r="B250" t="s">
        <v>17</v>
      </c>
      <c r="C250" t="s">
        <v>18</v>
      </c>
      <c r="D250" t="str">
        <f>"Br. "&amp;Data[[#This Row],[Branch]]&amp;" ("&amp;Data[[#This Row],[City]]&amp;")"</f>
        <v>Br. A (Yangon)</v>
      </c>
      <c r="E250" t="s">
        <v>19</v>
      </c>
      <c r="F250" t="s">
        <v>30</v>
      </c>
      <c r="G250" t="s">
        <v>27</v>
      </c>
      <c r="H250">
        <v>77.72</v>
      </c>
      <c r="I250">
        <v>4</v>
      </c>
      <c r="J250">
        <v>15.544</v>
      </c>
      <c r="K250">
        <v>310.88</v>
      </c>
      <c r="L250" s="1">
        <v>43881</v>
      </c>
      <c r="M250" s="7">
        <f>DAY(Data[[#This Row],[Date]])</f>
        <v>20</v>
      </c>
      <c r="N250" s="7">
        <f>MONTH(Data[[#This Row],[Date]])</f>
        <v>2</v>
      </c>
      <c r="O250" s="7">
        <f>YEAR(Data[[#This Row],[Date]])</f>
        <v>2020</v>
      </c>
      <c r="P250" s="2">
        <v>0.6743055555555556</v>
      </c>
      <c r="Q250" t="s">
        <v>32</v>
      </c>
      <c r="R250">
        <v>217.61600000000001</v>
      </c>
      <c r="S250">
        <v>77.72</v>
      </c>
      <c r="T250">
        <v>8.8000000000000007</v>
      </c>
    </row>
    <row r="251" spans="1:20" x14ac:dyDescent="0.55000000000000004">
      <c r="A251" t="s">
        <v>284</v>
      </c>
      <c r="B251" t="s">
        <v>41</v>
      </c>
      <c r="C251" t="s">
        <v>42</v>
      </c>
      <c r="D251" t="str">
        <f>"Br. "&amp;Data[[#This Row],[Branch]]&amp;" ("&amp;Data[[#This Row],[City]]&amp;")"</f>
        <v>Br. B (Mandalay)</v>
      </c>
      <c r="E251" t="s">
        <v>26</v>
      </c>
      <c r="F251" t="s">
        <v>30</v>
      </c>
      <c r="G251" t="s">
        <v>43</v>
      </c>
      <c r="H251">
        <v>73.06</v>
      </c>
      <c r="I251">
        <v>7</v>
      </c>
      <c r="J251">
        <v>25.571000000000002</v>
      </c>
      <c r="K251">
        <v>511.42</v>
      </c>
      <c r="L251" s="1">
        <v>43881</v>
      </c>
      <c r="M251" s="7">
        <f>DAY(Data[[#This Row],[Date]])</f>
        <v>20</v>
      </c>
      <c r="N251" s="7">
        <f>MONTH(Data[[#This Row],[Date]])</f>
        <v>2</v>
      </c>
      <c r="O251" s="7">
        <f>YEAR(Data[[#This Row],[Date]])</f>
        <v>2020</v>
      </c>
      <c r="P251" s="2">
        <v>0.79583333333333328</v>
      </c>
      <c r="Q251" t="s">
        <v>32</v>
      </c>
      <c r="R251">
        <v>357.99400000000003</v>
      </c>
      <c r="S251">
        <v>127.855</v>
      </c>
      <c r="T251">
        <v>4.2</v>
      </c>
    </row>
    <row r="252" spans="1:20" x14ac:dyDescent="0.55000000000000004">
      <c r="A252" t="s">
        <v>285</v>
      </c>
      <c r="B252" t="s">
        <v>41</v>
      </c>
      <c r="C252" t="s">
        <v>42</v>
      </c>
      <c r="D252" t="str">
        <f>"Br. "&amp;Data[[#This Row],[Branch]]&amp;" ("&amp;Data[[#This Row],[City]]&amp;")"</f>
        <v>Br. B (Mandalay)</v>
      </c>
      <c r="E252" t="s">
        <v>19</v>
      </c>
      <c r="F252" t="s">
        <v>30</v>
      </c>
      <c r="G252" t="s">
        <v>43</v>
      </c>
      <c r="H252">
        <v>46.55</v>
      </c>
      <c r="I252">
        <v>9</v>
      </c>
      <c r="J252">
        <v>20.947500000000002</v>
      </c>
      <c r="K252">
        <v>418.95</v>
      </c>
      <c r="L252" s="1">
        <v>43881</v>
      </c>
      <c r="M252" s="7">
        <f>DAY(Data[[#This Row],[Date]])</f>
        <v>20</v>
      </c>
      <c r="N252" s="7">
        <f>MONTH(Data[[#This Row],[Date]])</f>
        <v>2</v>
      </c>
      <c r="O252" s="7">
        <f>YEAR(Data[[#This Row],[Date]])</f>
        <v>2020</v>
      </c>
      <c r="P252" s="2">
        <v>0.64861111111111114</v>
      </c>
      <c r="Q252" t="s">
        <v>22</v>
      </c>
      <c r="R252">
        <v>293.26499999999999</v>
      </c>
      <c r="S252">
        <v>104.7375</v>
      </c>
      <c r="T252">
        <v>6.4</v>
      </c>
    </row>
    <row r="253" spans="1:20" x14ac:dyDescent="0.55000000000000004">
      <c r="A253" t="s">
        <v>286</v>
      </c>
      <c r="B253" t="s">
        <v>24</v>
      </c>
      <c r="C253" t="s">
        <v>25</v>
      </c>
      <c r="D253" t="str">
        <f>"Br. "&amp;Data[[#This Row],[Branch]]&amp;" ("&amp;Data[[#This Row],[City]]&amp;")"</f>
        <v>Br. C (Naypyitaw)</v>
      </c>
      <c r="E253" t="s">
        <v>19</v>
      </c>
      <c r="F253" t="s">
        <v>30</v>
      </c>
      <c r="G253" t="s">
        <v>45</v>
      </c>
      <c r="H253">
        <v>35.19</v>
      </c>
      <c r="I253">
        <v>10</v>
      </c>
      <c r="J253">
        <v>17.594999999999999</v>
      </c>
      <c r="K253">
        <v>351.9</v>
      </c>
      <c r="L253" s="1">
        <v>43881</v>
      </c>
      <c r="M253" s="7">
        <f>DAY(Data[[#This Row],[Date]])</f>
        <v>20</v>
      </c>
      <c r="N253" s="7">
        <f>MONTH(Data[[#This Row],[Date]])</f>
        <v>2</v>
      </c>
      <c r="O253" s="7">
        <f>YEAR(Data[[#This Row],[Date]])</f>
        <v>2020</v>
      </c>
      <c r="P253" s="2">
        <v>0.79583333333333328</v>
      </c>
      <c r="Q253" t="s">
        <v>32</v>
      </c>
      <c r="R253">
        <v>246.33</v>
      </c>
      <c r="S253">
        <v>87.974999999999994</v>
      </c>
      <c r="T253">
        <v>8.4</v>
      </c>
    </row>
    <row r="254" spans="1:20" x14ac:dyDescent="0.55000000000000004">
      <c r="A254" t="s">
        <v>287</v>
      </c>
      <c r="B254" t="s">
        <v>24</v>
      </c>
      <c r="C254" t="s">
        <v>25</v>
      </c>
      <c r="D254" t="str">
        <f>"Br. "&amp;Data[[#This Row],[Branch]]&amp;" ("&amp;Data[[#This Row],[City]]&amp;")"</f>
        <v>Br. C (Naypyitaw)</v>
      </c>
      <c r="E254" t="s">
        <v>26</v>
      </c>
      <c r="F254" t="s">
        <v>20</v>
      </c>
      <c r="G254" t="s">
        <v>35</v>
      </c>
      <c r="H254">
        <v>14.39</v>
      </c>
      <c r="I254">
        <v>2</v>
      </c>
      <c r="J254">
        <v>1.4390000000000001</v>
      </c>
      <c r="K254">
        <v>28.78</v>
      </c>
      <c r="L254" s="1">
        <v>43881</v>
      </c>
      <c r="M254" s="7">
        <f>DAY(Data[[#This Row],[Date]])</f>
        <v>20</v>
      </c>
      <c r="N254" s="7">
        <f>MONTH(Data[[#This Row],[Date]])</f>
        <v>2</v>
      </c>
      <c r="O254" s="7">
        <f>YEAR(Data[[#This Row],[Date]])</f>
        <v>2020</v>
      </c>
      <c r="P254" s="2">
        <v>0.82222222222222219</v>
      </c>
      <c r="Q254" t="s">
        <v>32</v>
      </c>
      <c r="R254">
        <v>20.146000000000001</v>
      </c>
      <c r="S254">
        <v>7.1950000000000003</v>
      </c>
      <c r="T254">
        <v>7.2</v>
      </c>
    </row>
    <row r="255" spans="1:20" x14ac:dyDescent="0.55000000000000004">
      <c r="A255" t="s">
        <v>288</v>
      </c>
      <c r="B255" t="s">
        <v>17</v>
      </c>
      <c r="C255" t="s">
        <v>18</v>
      </c>
      <c r="D255" t="str">
        <f>"Br. "&amp;Data[[#This Row],[Branch]]&amp;" ("&amp;Data[[#This Row],[City]]&amp;")"</f>
        <v>Br. A (Yangon)</v>
      </c>
      <c r="E255" t="s">
        <v>26</v>
      </c>
      <c r="F255" t="s">
        <v>30</v>
      </c>
      <c r="G255" t="s">
        <v>31</v>
      </c>
      <c r="H255">
        <v>23.75</v>
      </c>
      <c r="I255">
        <v>4</v>
      </c>
      <c r="J255">
        <v>4.75</v>
      </c>
      <c r="K255">
        <v>95</v>
      </c>
      <c r="L255" s="1">
        <v>43881</v>
      </c>
      <c r="M255" s="7">
        <f>DAY(Data[[#This Row],[Date]])</f>
        <v>20</v>
      </c>
      <c r="N255" s="7">
        <f>MONTH(Data[[#This Row],[Date]])</f>
        <v>2</v>
      </c>
      <c r="O255" s="7">
        <f>YEAR(Data[[#This Row],[Date]])</f>
        <v>2020</v>
      </c>
      <c r="P255" s="2">
        <v>0.47361111111111109</v>
      </c>
      <c r="Q255" t="s">
        <v>28</v>
      </c>
      <c r="R255">
        <v>66.5</v>
      </c>
      <c r="S255">
        <v>23.75</v>
      </c>
      <c r="T255">
        <v>5.2</v>
      </c>
    </row>
    <row r="256" spans="1:20" x14ac:dyDescent="0.55000000000000004">
      <c r="A256" t="s">
        <v>289</v>
      </c>
      <c r="B256" t="s">
        <v>17</v>
      </c>
      <c r="C256" t="s">
        <v>18</v>
      </c>
      <c r="D256" t="str">
        <f>"Br. "&amp;Data[[#This Row],[Branch]]&amp;" ("&amp;Data[[#This Row],[City]]&amp;")"</f>
        <v>Br. A (Yangon)</v>
      </c>
      <c r="E256" t="s">
        <v>19</v>
      </c>
      <c r="F256" t="s">
        <v>30</v>
      </c>
      <c r="G256" t="s">
        <v>31</v>
      </c>
      <c r="H256">
        <v>58.9</v>
      </c>
      <c r="I256">
        <v>8</v>
      </c>
      <c r="J256">
        <v>23.56</v>
      </c>
      <c r="K256">
        <v>471.2</v>
      </c>
      <c r="L256" s="1">
        <v>43881</v>
      </c>
      <c r="M256" s="7">
        <f>DAY(Data[[#This Row],[Date]])</f>
        <v>20</v>
      </c>
      <c r="N256" s="7">
        <f>MONTH(Data[[#This Row],[Date]])</f>
        <v>2</v>
      </c>
      <c r="O256" s="7">
        <f>YEAR(Data[[#This Row],[Date]])</f>
        <v>2020</v>
      </c>
      <c r="P256" s="2">
        <v>0.47430555555555554</v>
      </c>
      <c r="Q256" t="s">
        <v>28</v>
      </c>
      <c r="R256">
        <v>329.84</v>
      </c>
      <c r="S256">
        <v>117.8</v>
      </c>
      <c r="T256">
        <v>8.9</v>
      </c>
    </row>
    <row r="257" spans="1:20" x14ac:dyDescent="0.55000000000000004">
      <c r="A257" t="s">
        <v>290</v>
      </c>
      <c r="B257" t="s">
        <v>41</v>
      </c>
      <c r="C257" t="s">
        <v>42</v>
      </c>
      <c r="D257" t="str">
        <f>"Br. "&amp;Data[[#This Row],[Branch]]&amp;" ("&amp;Data[[#This Row],[City]]&amp;")"</f>
        <v>Br. B (Mandalay)</v>
      </c>
      <c r="E257" t="s">
        <v>19</v>
      </c>
      <c r="F257" t="s">
        <v>30</v>
      </c>
      <c r="G257" t="s">
        <v>45</v>
      </c>
      <c r="H257">
        <v>32.619999999999997</v>
      </c>
      <c r="I257">
        <v>4</v>
      </c>
      <c r="J257">
        <v>6.524</v>
      </c>
      <c r="K257">
        <v>130.47999999999999</v>
      </c>
      <c r="L257" s="1">
        <v>43881</v>
      </c>
      <c r="M257" s="7">
        <f>DAY(Data[[#This Row],[Date]])</f>
        <v>20</v>
      </c>
      <c r="N257" s="7">
        <f>MONTH(Data[[#This Row],[Date]])</f>
        <v>2</v>
      </c>
      <c r="O257" s="7">
        <f>YEAR(Data[[#This Row],[Date]])</f>
        <v>2020</v>
      </c>
      <c r="P257" s="2">
        <v>0.59166666666666667</v>
      </c>
      <c r="Q257" t="s">
        <v>28</v>
      </c>
      <c r="R257">
        <v>91.335999999999999</v>
      </c>
      <c r="S257">
        <v>32.619999999999997</v>
      </c>
      <c r="T257">
        <v>9</v>
      </c>
    </row>
    <row r="258" spans="1:20" x14ac:dyDescent="0.55000000000000004">
      <c r="A258" t="s">
        <v>291</v>
      </c>
      <c r="B258" t="s">
        <v>17</v>
      </c>
      <c r="C258" t="s">
        <v>18</v>
      </c>
      <c r="D258" t="str">
        <f>"Br. "&amp;Data[[#This Row],[Branch]]&amp;" ("&amp;Data[[#This Row],[City]]&amp;")"</f>
        <v>Br. A (Yangon)</v>
      </c>
      <c r="E258" t="s">
        <v>19</v>
      </c>
      <c r="F258" t="s">
        <v>30</v>
      </c>
      <c r="G258" t="s">
        <v>27</v>
      </c>
      <c r="H258">
        <v>66.349999999999994</v>
      </c>
      <c r="I258">
        <v>1</v>
      </c>
      <c r="J258">
        <v>3.3174999999999999</v>
      </c>
      <c r="K258">
        <v>66.349999999999994</v>
      </c>
      <c r="L258" s="1">
        <v>43881</v>
      </c>
      <c r="M258" s="7">
        <f>DAY(Data[[#This Row],[Date]])</f>
        <v>20</v>
      </c>
      <c r="N258" s="7">
        <f>MONTH(Data[[#This Row],[Date]])</f>
        <v>2</v>
      </c>
      <c r="O258" s="7">
        <f>YEAR(Data[[#This Row],[Date]])</f>
        <v>2020</v>
      </c>
      <c r="P258" s="2">
        <v>0.44861111111111113</v>
      </c>
      <c r="Q258" t="s">
        <v>32</v>
      </c>
      <c r="R258">
        <v>46.445</v>
      </c>
      <c r="S258">
        <v>16.587499999999999</v>
      </c>
      <c r="T258">
        <v>9.6999999999999993</v>
      </c>
    </row>
    <row r="259" spans="1:20" x14ac:dyDescent="0.55000000000000004">
      <c r="A259" t="s">
        <v>292</v>
      </c>
      <c r="B259" t="s">
        <v>17</v>
      </c>
      <c r="C259" t="s">
        <v>18</v>
      </c>
      <c r="D259" t="str">
        <f>"Br. "&amp;Data[[#This Row],[Branch]]&amp;" ("&amp;Data[[#This Row],[City]]&amp;")"</f>
        <v>Br. A (Yangon)</v>
      </c>
      <c r="E259" t="s">
        <v>19</v>
      </c>
      <c r="F259" t="s">
        <v>30</v>
      </c>
      <c r="G259" t="s">
        <v>31</v>
      </c>
      <c r="H259">
        <v>25.91</v>
      </c>
      <c r="I259">
        <v>6</v>
      </c>
      <c r="J259">
        <v>7.7729999999999997</v>
      </c>
      <c r="K259">
        <v>155.46</v>
      </c>
      <c r="L259" s="1">
        <v>43881</v>
      </c>
      <c r="M259" s="7">
        <f>DAY(Data[[#This Row],[Date]])</f>
        <v>20</v>
      </c>
      <c r="N259" s="7">
        <f>MONTH(Data[[#This Row],[Date]])</f>
        <v>2</v>
      </c>
      <c r="O259" s="7">
        <f>YEAR(Data[[#This Row],[Date]])</f>
        <v>2020</v>
      </c>
      <c r="P259" s="2">
        <v>0.42777777777777776</v>
      </c>
      <c r="Q259" t="s">
        <v>22</v>
      </c>
      <c r="R259">
        <v>108.822</v>
      </c>
      <c r="S259">
        <v>38.865000000000002</v>
      </c>
      <c r="T259">
        <v>8.6999999999999993</v>
      </c>
    </row>
    <row r="260" spans="1:20" x14ac:dyDescent="0.55000000000000004">
      <c r="A260" t="s">
        <v>293</v>
      </c>
      <c r="B260" t="s">
        <v>17</v>
      </c>
      <c r="C260" t="s">
        <v>18</v>
      </c>
      <c r="D260" t="str">
        <f>"Br. "&amp;Data[[#This Row],[Branch]]&amp;" ("&amp;Data[[#This Row],[City]]&amp;")"</f>
        <v>Br. A (Yangon)</v>
      </c>
      <c r="E260" t="s">
        <v>19</v>
      </c>
      <c r="F260" t="s">
        <v>30</v>
      </c>
      <c r="G260" t="s">
        <v>27</v>
      </c>
      <c r="H260">
        <v>32.25</v>
      </c>
      <c r="I260">
        <v>4</v>
      </c>
      <c r="J260">
        <v>6.45</v>
      </c>
      <c r="K260">
        <v>129</v>
      </c>
      <c r="L260" s="1">
        <v>43881</v>
      </c>
      <c r="M260" s="7">
        <f>DAY(Data[[#This Row],[Date]])</f>
        <v>20</v>
      </c>
      <c r="N260" s="7">
        <f>MONTH(Data[[#This Row],[Date]])</f>
        <v>2</v>
      </c>
      <c r="O260" s="7">
        <f>YEAR(Data[[#This Row],[Date]])</f>
        <v>2020</v>
      </c>
      <c r="P260" s="2">
        <v>0.52638888888888891</v>
      </c>
      <c r="Q260" t="s">
        <v>22</v>
      </c>
      <c r="R260">
        <v>90.3</v>
      </c>
      <c r="S260">
        <v>32.25</v>
      </c>
      <c r="T260">
        <v>6.5</v>
      </c>
    </row>
    <row r="261" spans="1:20" x14ac:dyDescent="0.55000000000000004">
      <c r="A261" t="s">
        <v>294</v>
      </c>
      <c r="B261" t="s">
        <v>24</v>
      </c>
      <c r="C261" t="s">
        <v>25</v>
      </c>
      <c r="D261" t="str">
        <f>"Br. "&amp;Data[[#This Row],[Branch]]&amp;" ("&amp;Data[[#This Row],[City]]&amp;")"</f>
        <v>Br. C (Naypyitaw)</v>
      </c>
      <c r="E261" t="s">
        <v>19</v>
      </c>
      <c r="F261" t="s">
        <v>30</v>
      </c>
      <c r="G261" t="s">
        <v>27</v>
      </c>
      <c r="H261">
        <v>65.94</v>
      </c>
      <c r="I261">
        <v>4</v>
      </c>
      <c r="J261">
        <v>13.188000000000001</v>
      </c>
      <c r="K261">
        <v>263.76</v>
      </c>
      <c r="L261" s="1">
        <v>43881</v>
      </c>
      <c r="M261" s="7">
        <f>DAY(Data[[#This Row],[Date]])</f>
        <v>20</v>
      </c>
      <c r="N261" s="7">
        <f>MONTH(Data[[#This Row],[Date]])</f>
        <v>2</v>
      </c>
      <c r="O261" s="7">
        <f>YEAR(Data[[#This Row],[Date]])</f>
        <v>2020</v>
      </c>
      <c r="P261" s="2">
        <v>0.54513888888888884</v>
      </c>
      <c r="Q261" t="s">
        <v>32</v>
      </c>
      <c r="R261">
        <v>184.63200000000001</v>
      </c>
      <c r="S261">
        <v>65.94</v>
      </c>
      <c r="T261">
        <v>6.9</v>
      </c>
    </row>
    <row r="262" spans="1:20" x14ac:dyDescent="0.55000000000000004">
      <c r="A262" t="s">
        <v>295</v>
      </c>
      <c r="B262" t="s">
        <v>17</v>
      </c>
      <c r="C262" t="s">
        <v>18</v>
      </c>
      <c r="D262" t="str">
        <f>"Br. "&amp;Data[[#This Row],[Branch]]&amp;" ("&amp;Data[[#This Row],[City]]&amp;")"</f>
        <v>Br. A (Yangon)</v>
      </c>
      <c r="E262" t="s">
        <v>26</v>
      </c>
      <c r="F262" t="s">
        <v>20</v>
      </c>
      <c r="G262" t="s">
        <v>27</v>
      </c>
      <c r="H262">
        <v>75.06</v>
      </c>
      <c r="I262">
        <v>9</v>
      </c>
      <c r="J262">
        <v>33.777000000000001</v>
      </c>
      <c r="K262">
        <v>675.54</v>
      </c>
      <c r="L262" s="1">
        <v>43881</v>
      </c>
      <c r="M262" s="7">
        <f>DAY(Data[[#This Row],[Date]])</f>
        <v>20</v>
      </c>
      <c r="N262" s="7">
        <f>MONTH(Data[[#This Row],[Date]])</f>
        <v>2</v>
      </c>
      <c r="O262" s="7">
        <f>YEAR(Data[[#This Row],[Date]])</f>
        <v>2020</v>
      </c>
      <c r="P262" s="2">
        <v>0.55902777777777779</v>
      </c>
      <c r="Q262" t="s">
        <v>22</v>
      </c>
      <c r="R262">
        <v>472.87799999999999</v>
      </c>
      <c r="S262">
        <v>168.88499999999999</v>
      </c>
      <c r="T262">
        <v>6.2</v>
      </c>
    </row>
    <row r="263" spans="1:20" x14ac:dyDescent="0.55000000000000004">
      <c r="A263" t="s">
        <v>296</v>
      </c>
      <c r="B263" t="s">
        <v>24</v>
      </c>
      <c r="C263" t="s">
        <v>25</v>
      </c>
      <c r="D263" t="str">
        <f>"Br. "&amp;Data[[#This Row],[Branch]]&amp;" ("&amp;Data[[#This Row],[City]]&amp;")"</f>
        <v>Br. C (Naypyitaw)</v>
      </c>
      <c r="E263" t="s">
        <v>26</v>
      </c>
      <c r="F263" t="s">
        <v>20</v>
      </c>
      <c r="G263" t="s">
        <v>45</v>
      </c>
      <c r="H263">
        <v>16.45</v>
      </c>
      <c r="I263">
        <v>4</v>
      </c>
      <c r="J263">
        <v>3.29</v>
      </c>
      <c r="K263">
        <v>65.8</v>
      </c>
      <c r="L263" s="1">
        <v>43881</v>
      </c>
      <c r="M263" s="7">
        <f>DAY(Data[[#This Row],[Date]])</f>
        <v>20</v>
      </c>
      <c r="N263" s="7">
        <f>MONTH(Data[[#This Row],[Date]])</f>
        <v>2</v>
      </c>
      <c r="O263" s="7">
        <f>YEAR(Data[[#This Row],[Date]])</f>
        <v>2020</v>
      </c>
      <c r="P263" s="2">
        <v>0.62013888888888891</v>
      </c>
      <c r="Q263" t="s">
        <v>22</v>
      </c>
      <c r="R263">
        <v>46.06</v>
      </c>
      <c r="S263">
        <v>16.45</v>
      </c>
      <c r="T263">
        <v>5.6</v>
      </c>
    </row>
    <row r="264" spans="1:20" x14ac:dyDescent="0.55000000000000004">
      <c r="A264" t="s">
        <v>297</v>
      </c>
      <c r="B264" t="s">
        <v>41</v>
      </c>
      <c r="C264" t="s">
        <v>42</v>
      </c>
      <c r="D264" t="str">
        <f>"Br. "&amp;Data[[#This Row],[Branch]]&amp;" ("&amp;Data[[#This Row],[City]]&amp;")"</f>
        <v>Br. B (Mandalay)</v>
      </c>
      <c r="E264" t="s">
        <v>19</v>
      </c>
      <c r="F264" t="s">
        <v>20</v>
      </c>
      <c r="G264" t="s">
        <v>45</v>
      </c>
      <c r="H264">
        <v>38.299999999999997</v>
      </c>
      <c r="I264">
        <v>4</v>
      </c>
      <c r="J264">
        <v>7.66</v>
      </c>
      <c r="K264">
        <v>153.19999999999999</v>
      </c>
      <c r="L264" s="1">
        <v>43881</v>
      </c>
      <c r="M264" s="7">
        <f>DAY(Data[[#This Row],[Date]])</f>
        <v>20</v>
      </c>
      <c r="N264" s="7">
        <f>MONTH(Data[[#This Row],[Date]])</f>
        <v>2</v>
      </c>
      <c r="O264" s="7">
        <f>YEAR(Data[[#This Row],[Date]])</f>
        <v>2020</v>
      </c>
      <c r="P264" s="2">
        <v>0.80694444444444446</v>
      </c>
      <c r="Q264" t="s">
        <v>28</v>
      </c>
      <c r="R264">
        <v>107.24</v>
      </c>
      <c r="S264">
        <v>38.299999999999997</v>
      </c>
      <c r="T264">
        <v>5.7</v>
      </c>
    </row>
    <row r="265" spans="1:20" x14ac:dyDescent="0.55000000000000004">
      <c r="A265" t="s">
        <v>298</v>
      </c>
      <c r="B265" t="s">
        <v>17</v>
      </c>
      <c r="C265" t="s">
        <v>18</v>
      </c>
      <c r="D265" t="str">
        <f>"Br. "&amp;Data[[#This Row],[Branch]]&amp;" ("&amp;Data[[#This Row],[City]]&amp;")"</f>
        <v>Br. A (Yangon)</v>
      </c>
      <c r="E265" t="s">
        <v>19</v>
      </c>
      <c r="F265" t="s">
        <v>20</v>
      </c>
      <c r="G265" t="s">
        <v>35</v>
      </c>
      <c r="H265">
        <v>22.24</v>
      </c>
      <c r="I265">
        <v>10</v>
      </c>
      <c r="J265">
        <v>11.12</v>
      </c>
      <c r="K265">
        <v>222.4</v>
      </c>
      <c r="L265" s="1">
        <v>43881</v>
      </c>
      <c r="M265" s="7">
        <f>DAY(Data[[#This Row],[Date]])</f>
        <v>20</v>
      </c>
      <c r="N265" s="7">
        <f>MONTH(Data[[#This Row],[Date]])</f>
        <v>2</v>
      </c>
      <c r="O265" s="7">
        <f>YEAR(Data[[#This Row],[Date]])</f>
        <v>2020</v>
      </c>
      <c r="P265" s="2">
        <v>0.45833333333333331</v>
      </c>
      <c r="Q265" t="s">
        <v>28</v>
      </c>
      <c r="R265">
        <v>155.68</v>
      </c>
      <c r="S265">
        <v>55.6</v>
      </c>
      <c r="T265">
        <v>4.2</v>
      </c>
    </row>
    <row r="266" spans="1:20" x14ac:dyDescent="0.55000000000000004">
      <c r="A266" t="s">
        <v>299</v>
      </c>
      <c r="B266" t="s">
        <v>41</v>
      </c>
      <c r="C266" t="s">
        <v>42</v>
      </c>
      <c r="D266" t="str">
        <f>"Br. "&amp;Data[[#This Row],[Branch]]&amp;" ("&amp;Data[[#This Row],[City]]&amp;")"</f>
        <v>Br. B (Mandalay)</v>
      </c>
      <c r="E266" t="s">
        <v>26</v>
      </c>
      <c r="F266" t="s">
        <v>30</v>
      </c>
      <c r="G266" t="s">
        <v>35</v>
      </c>
      <c r="H266">
        <v>54.45</v>
      </c>
      <c r="I266">
        <v>1</v>
      </c>
      <c r="J266">
        <v>2.7225000000000001</v>
      </c>
      <c r="K266">
        <v>54.45</v>
      </c>
      <c r="L266" s="1">
        <v>43881</v>
      </c>
      <c r="M266" s="7">
        <f>DAY(Data[[#This Row],[Date]])</f>
        <v>20</v>
      </c>
      <c r="N266" s="7">
        <f>MONTH(Data[[#This Row],[Date]])</f>
        <v>2</v>
      </c>
      <c r="O266" s="7">
        <f>YEAR(Data[[#This Row],[Date]])</f>
        <v>2020</v>
      </c>
      <c r="P266" s="2">
        <v>0.80833333333333335</v>
      </c>
      <c r="Q266" t="s">
        <v>22</v>
      </c>
      <c r="R266">
        <v>38.115000000000002</v>
      </c>
      <c r="S266">
        <v>13.612500000000001</v>
      </c>
      <c r="T266">
        <v>7.9</v>
      </c>
    </row>
    <row r="267" spans="1:20" x14ac:dyDescent="0.55000000000000004">
      <c r="A267" t="s">
        <v>300</v>
      </c>
      <c r="B267" t="s">
        <v>17</v>
      </c>
      <c r="C267" t="s">
        <v>18</v>
      </c>
      <c r="D267" t="str">
        <f>"Br. "&amp;Data[[#This Row],[Branch]]&amp;" ("&amp;Data[[#This Row],[City]]&amp;")"</f>
        <v>Br. A (Yangon)</v>
      </c>
      <c r="E267" t="s">
        <v>19</v>
      </c>
      <c r="F267" t="s">
        <v>20</v>
      </c>
      <c r="G267" t="s">
        <v>35</v>
      </c>
      <c r="H267">
        <v>98.4</v>
      </c>
      <c r="I267">
        <v>7</v>
      </c>
      <c r="J267">
        <v>34.44</v>
      </c>
      <c r="K267">
        <v>688.8</v>
      </c>
      <c r="L267" s="1">
        <v>43881</v>
      </c>
      <c r="M267" s="7">
        <f>DAY(Data[[#This Row],[Date]])</f>
        <v>20</v>
      </c>
      <c r="N267" s="7">
        <f>MONTH(Data[[#This Row],[Date]])</f>
        <v>2</v>
      </c>
      <c r="O267" s="7">
        <f>YEAR(Data[[#This Row],[Date]])</f>
        <v>2020</v>
      </c>
      <c r="P267" s="2">
        <v>0.52986111111111112</v>
      </c>
      <c r="Q267" t="s">
        <v>32</v>
      </c>
      <c r="R267">
        <v>482.16</v>
      </c>
      <c r="S267">
        <v>172.2</v>
      </c>
      <c r="T267">
        <v>8.6999999999999993</v>
      </c>
    </row>
    <row r="268" spans="1:20" x14ac:dyDescent="0.55000000000000004">
      <c r="A268" t="s">
        <v>301</v>
      </c>
      <c r="B268" t="s">
        <v>24</v>
      </c>
      <c r="C268" t="s">
        <v>25</v>
      </c>
      <c r="D268" t="str">
        <f>"Br. "&amp;Data[[#This Row],[Branch]]&amp;" ("&amp;Data[[#This Row],[City]]&amp;")"</f>
        <v>Br. C (Naypyitaw)</v>
      </c>
      <c r="E268" t="s">
        <v>26</v>
      </c>
      <c r="F268" t="s">
        <v>30</v>
      </c>
      <c r="G268" t="s">
        <v>31</v>
      </c>
      <c r="H268">
        <v>35.47</v>
      </c>
      <c r="I268">
        <v>4</v>
      </c>
      <c r="J268">
        <v>7.0940000000000003</v>
      </c>
      <c r="K268">
        <v>141.88</v>
      </c>
      <c r="L268" s="1">
        <v>43881</v>
      </c>
      <c r="M268" s="7">
        <f>DAY(Data[[#This Row],[Date]])</f>
        <v>20</v>
      </c>
      <c r="N268" s="7">
        <f>MONTH(Data[[#This Row],[Date]])</f>
        <v>2</v>
      </c>
      <c r="O268" s="7">
        <f>YEAR(Data[[#This Row],[Date]])</f>
        <v>2020</v>
      </c>
      <c r="P268" s="2">
        <v>0.72361111111111109</v>
      </c>
      <c r="Q268" t="s">
        <v>32</v>
      </c>
      <c r="R268">
        <v>99.316000000000003</v>
      </c>
      <c r="S268">
        <v>35.47</v>
      </c>
      <c r="T268">
        <v>6.9</v>
      </c>
    </row>
    <row r="269" spans="1:20" x14ac:dyDescent="0.55000000000000004">
      <c r="A269" t="s">
        <v>302</v>
      </c>
      <c r="B269" t="s">
        <v>41</v>
      </c>
      <c r="C269" t="s">
        <v>42</v>
      </c>
      <c r="D269" t="str">
        <f>"Br. "&amp;Data[[#This Row],[Branch]]&amp;" ("&amp;Data[[#This Row],[City]]&amp;")"</f>
        <v>Br. B (Mandalay)</v>
      </c>
      <c r="E269" t="s">
        <v>19</v>
      </c>
      <c r="F269" t="s">
        <v>20</v>
      </c>
      <c r="G269" t="s">
        <v>43</v>
      </c>
      <c r="H269">
        <v>74.599999999999994</v>
      </c>
      <c r="I269">
        <v>10</v>
      </c>
      <c r="J269">
        <v>37.299999999999997</v>
      </c>
      <c r="K269">
        <v>746</v>
      </c>
      <c r="L269" s="1">
        <v>43881</v>
      </c>
      <c r="M269" s="7">
        <f>DAY(Data[[#This Row],[Date]])</f>
        <v>20</v>
      </c>
      <c r="N269" s="7">
        <f>MONTH(Data[[#This Row],[Date]])</f>
        <v>2</v>
      </c>
      <c r="O269" s="7">
        <f>YEAR(Data[[#This Row],[Date]])</f>
        <v>2020</v>
      </c>
      <c r="P269" s="2">
        <v>0.87152777777777779</v>
      </c>
      <c r="Q269" t="s">
        <v>28</v>
      </c>
      <c r="R269">
        <v>522.20000000000005</v>
      </c>
      <c r="S269">
        <v>186.5</v>
      </c>
      <c r="T269">
        <v>9.5</v>
      </c>
    </row>
    <row r="270" spans="1:20" x14ac:dyDescent="0.55000000000000004">
      <c r="A270" t="s">
        <v>303</v>
      </c>
      <c r="B270" t="s">
        <v>17</v>
      </c>
      <c r="C270" t="s">
        <v>18</v>
      </c>
      <c r="D270" t="str">
        <f>"Br. "&amp;Data[[#This Row],[Branch]]&amp;" ("&amp;Data[[#This Row],[City]]&amp;")"</f>
        <v>Br. A (Yangon)</v>
      </c>
      <c r="E270" t="s">
        <v>19</v>
      </c>
      <c r="F270" t="s">
        <v>30</v>
      </c>
      <c r="G270" t="s">
        <v>31</v>
      </c>
      <c r="H270">
        <v>70.739999999999995</v>
      </c>
      <c r="I270">
        <v>4</v>
      </c>
      <c r="J270">
        <v>14.148</v>
      </c>
      <c r="K270">
        <v>282.95999999999998</v>
      </c>
      <c r="L270" s="1">
        <v>43881</v>
      </c>
      <c r="M270" s="7">
        <f>DAY(Data[[#This Row],[Date]])</f>
        <v>20</v>
      </c>
      <c r="N270" s="7">
        <f>MONTH(Data[[#This Row],[Date]])</f>
        <v>2</v>
      </c>
      <c r="O270" s="7">
        <f>YEAR(Data[[#This Row],[Date]])</f>
        <v>2020</v>
      </c>
      <c r="P270" s="2">
        <v>0.67013888888888884</v>
      </c>
      <c r="Q270" t="s">
        <v>32</v>
      </c>
      <c r="R270">
        <v>198.072</v>
      </c>
      <c r="S270">
        <v>70.739999999999995</v>
      </c>
      <c r="T270">
        <v>4.4000000000000004</v>
      </c>
    </row>
    <row r="271" spans="1:20" x14ac:dyDescent="0.55000000000000004">
      <c r="A271" t="s">
        <v>304</v>
      </c>
      <c r="B271" t="s">
        <v>17</v>
      </c>
      <c r="C271" t="s">
        <v>18</v>
      </c>
      <c r="D271" t="str">
        <f>"Br. "&amp;Data[[#This Row],[Branch]]&amp;" ("&amp;Data[[#This Row],[City]]&amp;")"</f>
        <v>Br. A (Yangon)</v>
      </c>
      <c r="E271" t="s">
        <v>19</v>
      </c>
      <c r="F271" t="s">
        <v>20</v>
      </c>
      <c r="G271" t="s">
        <v>31</v>
      </c>
      <c r="H271">
        <v>35.54</v>
      </c>
      <c r="I271">
        <v>10</v>
      </c>
      <c r="J271">
        <v>17.77</v>
      </c>
      <c r="K271">
        <v>355.4</v>
      </c>
      <c r="L271" s="1">
        <v>43881</v>
      </c>
      <c r="M271" s="7">
        <f>DAY(Data[[#This Row],[Date]])</f>
        <v>20</v>
      </c>
      <c r="N271" s="7">
        <f>MONTH(Data[[#This Row],[Date]])</f>
        <v>2</v>
      </c>
      <c r="O271" s="7">
        <f>YEAR(Data[[#This Row],[Date]])</f>
        <v>2020</v>
      </c>
      <c r="P271" s="2">
        <v>0.56527777777777777</v>
      </c>
      <c r="Q271" t="s">
        <v>22</v>
      </c>
      <c r="R271">
        <v>248.78</v>
      </c>
      <c r="S271">
        <v>88.85</v>
      </c>
      <c r="T271">
        <v>7</v>
      </c>
    </row>
    <row r="272" spans="1:20" x14ac:dyDescent="0.55000000000000004">
      <c r="A272" t="s">
        <v>305</v>
      </c>
      <c r="B272" t="s">
        <v>41</v>
      </c>
      <c r="C272" t="s">
        <v>42</v>
      </c>
      <c r="D272" t="str">
        <f>"Br. "&amp;Data[[#This Row],[Branch]]&amp;" ("&amp;Data[[#This Row],[City]]&amp;")"</f>
        <v>Br. B (Mandalay)</v>
      </c>
      <c r="E272" t="s">
        <v>26</v>
      </c>
      <c r="F272" t="s">
        <v>20</v>
      </c>
      <c r="G272" t="s">
        <v>35</v>
      </c>
      <c r="H272">
        <v>67.430000000000007</v>
      </c>
      <c r="I272">
        <v>5</v>
      </c>
      <c r="J272">
        <v>16.857500000000002</v>
      </c>
      <c r="K272">
        <v>337.15</v>
      </c>
      <c r="L272" s="1">
        <v>43881</v>
      </c>
      <c r="M272" s="7">
        <f>DAY(Data[[#This Row],[Date]])</f>
        <v>20</v>
      </c>
      <c r="N272" s="7">
        <f>MONTH(Data[[#This Row],[Date]])</f>
        <v>2</v>
      </c>
      <c r="O272" s="7">
        <f>YEAR(Data[[#This Row],[Date]])</f>
        <v>2020</v>
      </c>
      <c r="P272" s="2">
        <v>0.75902777777777775</v>
      </c>
      <c r="Q272" t="s">
        <v>22</v>
      </c>
      <c r="R272">
        <v>236.005</v>
      </c>
      <c r="S272">
        <v>84.287499999999994</v>
      </c>
      <c r="T272">
        <v>6.3</v>
      </c>
    </row>
    <row r="273" spans="1:20" x14ac:dyDescent="0.55000000000000004">
      <c r="A273" t="s">
        <v>306</v>
      </c>
      <c r="B273" t="s">
        <v>24</v>
      </c>
      <c r="C273" t="s">
        <v>25</v>
      </c>
      <c r="D273" t="str">
        <f>"Br. "&amp;Data[[#This Row],[Branch]]&amp;" ("&amp;Data[[#This Row],[City]]&amp;")"</f>
        <v>Br. C (Naypyitaw)</v>
      </c>
      <c r="E273" t="s">
        <v>19</v>
      </c>
      <c r="F273" t="s">
        <v>20</v>
      </c>
      <c r="G273" t="s">
        <v>21</v>
      </c>
      <c r="H273">
        <v>21.12</v>
      </c>
      <c r="I273">
        <v>2</v>
      </c>
      <c r="J273">
        <v>2.1120000000000001</v>
      </c>
      <c r="K273">
        <v>42.24</v>
      </c>
      <c r="L273" s="1">
        <v>43881</v>
      </c>
      <c r="M273" s="7">
        <f>DAY(Data[[#This Row],[Date]])</f>
        <v>20</v>
      </c>
      <c r="N273" s="7">
        <f>MONTH(Data[[#This Row],[Date]])</f>
        <v>2</v>
      </c>
      <c r="O273" s="7">
        <f>YEAR(Data[[#This Row],[Date]])</f>
        <v>2020</v>
      </c>
      <c r="P273" s="2">
        <v>0.80347222222222225</v>
      </c>
      <c r="Q273" t="s">
        <v>28</v>
      </c>
      <c r="R273">
        <v>29.568000000000001</v>
      </c>
      <c r="S273">
        <v>10.56</v>
      </c>
      <c r="T273">
        <v>9.6999999999999993</v>
      </c>
    </row>
    <row r="274" spans="1:20" x14ac:dyDescent="0.55000000000000004">
      <c r="A274" t="s">
        <v>307</v>
      </c>
      <c r="B274" t="s">
        <v>17</v>
      </c>
      <c r="C274" t="s">
        <v>18</v>
      </c>
      <c r="D274" t="str">
        <f>"Br. "&amp;Data[[#This Row],[Branch]]&amp;" ("&amp;Data[[#This Row],[City]]&amp;")"</f>
        <v>Br. A (Yangon)</v>
      </c>
      <c r="E274" t="s">
        <v>19</v>
      </c>
      <c r="F274" t="s">
        <v>20</v>
      </c>
      <c r="G274" t="s">
        <v>31</v>
      </c>
      <c r="H274">
        <v>21.54</v>
      </c>
      <c r="I274">
        <v>9</v>
      </c>
      <c r="J274">
        <v>9.6929999999999996</v>
      </c>
      <c r="K274">
        <v>193.86</v>
      </c>
      <c r="L274" s="1">
        <v>43881</v>
      </c>
      <c r="M274" s="7">
        <f>DAY(Data[[#This Row],[Date]])</f>
        <v>20</v>
      </c>
      <c r="N274" s="7">
        <f>MONTH(Data[[#This Row],[Date]])</f>
        <v>2</v>
      </c>
      <c r="O274" s="7">
        <f>YEAR(Data[[#This Row],[Date]])</f>
        <v>2020</v>
      </c>
      <c r="P274" s="2">
        <v>0.48888888888888887</v>
      </c>
      <c r="Q274" t="s">
        <v>32</v>
      </c>
      <c r="R274">
        <v>135.702</v>
      </c>
      <c r="S274">
        <v>48.465000000000003</v>
      </c>
      <c r="T274">
        <v>8.8000000000000007</v>
      </c>
    </row>
    <row r="275" spans="1:20" x14ac:dyDescent="0.55000000000000004">
      <c r="A275" t="s">
        <v>308</v>
      </c>
      <c r="B275" t="s">
        <v>17</v>
      </c>
      <c r="C275" t="s">
        <v>18</v>
      </c>
      <c r="D275" t="str">
        <f>"Br. "&amp;Data[[#This Row],[Branch]]&amp;" ("&amp;Data[[#This Row],[City]]&amp;")"</f>
        <v>Br. A (Yangon)</v>
      </c>
      <c r="E275" t="s">
        <v>26</v>
      </c>
      <c r="F275" t="s">
        <v>20</v>
      </c>
      <c r="G275" t="s">
        <v>31</v>
      </c>
      <c r="H275">
        <v>12.03</v>
      </c>
      <c r="I275">
        <v>2</v>
      </c>
      <c r="J275">
        <v>1.2030000000000001</v>
      </c>
      <c r="K275">
        <v>24.06</v>
      </c>
      <c r="L275" s="1">
        <v>43881</v>
      </c>
      <c r="M275" s="7">
        <f>DAY(Data[[#This Row],[Date]])</f>
        <v>20</v>
      </c>
      <c r="N275" s="7">
        <f>MONTH(Data[[#This Row],[Date]])</f>
        <v>2</v>
      </c>
      <c r="O275" s="7">
        <f>YEAR(Data[[#This Row],[Date]])</f>
        <v>2020</v>
      </c>
      <c r="P275" s="2">
        <v>0.66041666666666665</v>
      </c>
      <c r="Q275" t="s">
        <v>28</v>
      </c>
      <c r="R275">
        <v>16.841999999999999</v>
      </c>
      <c r="S275">
        <v>6.0149999999999997</v>
      </c>
      <c r="T275">
        <v>5.0999999999999996</v>
      </c>
    </row>
    <row r="276" spans="1:20" x14ac:dyDescent="0.55000000000000004">
      <c r="A276" t="s">
        <v>309</v>
      </c>
      <c r="B276" t="s">
        <v>41</v>
      </c>
      <c r="C276" t="s">
        <v>42</v>
      </c>
      <c r="D276" t="str">
        <f>"Br. "&amp;Data[[#This Row],[Branch]]&amp;" ("&amp;Data[[#This Row],[City]]&amp;")"</f>
        <v>Br. B (Mandalay)</v>
      </c>
      <c r="E276" t="s">
        <v>26</v>
      </c>
      <c r="F276" t="s">
        <v>20</v>
      </c>
      <c r="G276" t="s">
        <v>21</v>
      </c>
      <c r="H276">
        <v>99.71</v>
      </c>
      <c r="I276">
        <v>6</v>
      </c>
      <c r="J276">
        <v>29.913</v>
      </c>
      <c r="K276">
        <v>598.26</v>
      </c>
      <c r="L276" s="1">
        <v>43881</v>
      </c>
      <c r="M276" s="7">
        <f>DAY(Data[[#This Row],[Date]])</f>
        <v>20</v>
      </c>
      <c r="N276" s="7">
        <f>MONTH(Data[[#This Row],[Date]])</f>
        <v>2</v>
      </c>
      <c r="O276" s="7">
        <f>YEAR(Data[[#This Row],[Date]])</f>
        <v>2020</v>
      </c>
      <c r="P276" s="2">
        <v>0.70277777777777772</v>
      </c>
      <c r="Q276" t="s">
        <v>22</v>
      </c>
      <c r="R276">
        <v>418.78199999999998</v>
      </c>
      <c r="S276">
        <v>149.565</v>
      </c>
      <c r="T276">
        <v>7.9</v>
      </c>
    </row>
    <row r="277" spans="1:20" x14ac:dyDescent="0.55000000000000004">
      <c r="A277" t="s">
        <v>310</v>
      </c>
      <c r="B277" t="s">
        <v>41</v>
      </c>
      <c r="C277" t="s">
        <v>42</v>
      </c>
      <c r="D277" t="str">
        <f>"Br. "&amp;Data[[#This Row],[Branch]]&amp;" ("&amp;Data[[#This Row],[City]]&amp;")"</f>
        <v>Br. B (Mandalay)</v>
      </c>
      <c r="E277" t="s">
        <v>26</v>
      </c>
      <c r="F277" t="s">
        <v>30</v>
      </c>
      <c r="G277" t="s">
        <v>45</v>
      </c>
      <c r="H277">
        <v>47.97</v>
      </c>
      <c r="I277">
        <v>7</v>
      </c>
      <c r="J277">
        <v>16.7895</v>
      </c>
      <c r="K277">
        <v>335.79</v>
      </c>
      <c r="L277" s="1">
        <v>43881</v>
      </c>
      <c r="M277" s="7">
        <f>DAY(Data[[#This Row],[Date]])</f>
        <v>20</v>
      </c>
      <c r="N277" s="7">
        <f>MONTH(Data[[#This Row],[Date]])</f>
        <v>2</v>
      </c>
      <c r="O277" s="7">
        <f>YEAR(Data[[#This Row],[Date]])</f>
        <v>2020</v>
      </c>
      <c r="P277" s="2">
        <v>0.86944444444444446</v>
      </c>
      <c r="Q277" t="s">
        <v>28</v>
      </c>
      <c r="R277">
        <v>235.053</v>
      </c>
      <c r="S277">
        <v>83.947500000000005</v>
      </c>
      <c r="T277">
        <v>6.2</v>
      </c>
    </row>
    <row r="278" spans="1:20" x14ac:dyDescent="0.55000000000000004">
      <c r="A278" t="s">
        <v>311</v>
      </c>
      <c r="B278" t="s">
        <v>24</v>
      </c>
      <c r="C278" t="s">
        <v>25</v>
      </c>
      <c r="D278" t="str">
        <f>"Br. "&amp;Data[[#This Row],[Branch]]&amp;" ("&amp;Data[[#This Row],[City]]&amp;")"</f>
        <v>Br. C (Naypyitaw)</v>
      </c>
      <c r="E278" t="s">
        <v>19</v>
      </c>
      <c r="F278" t="s">
        <v>20</v>
      </c>
      <c r="G278" t="s">
        <v>31</v>
      </c>
      <c r="H278">
        <v>21.82</v>
      </c>
      <c r="I278">
        <v>10</v>
      </c>
      <c r="J278">
        <v>10.91</v>
      </c>
      <c r="K278">
        <v>218.2</v>
      </c>
      <c r="L278" s="1">
        <v>43881</v>
      </c>
      <c r="M278" s="7">
        <f>DAY(Data[[#This Row],[Date]])</f>
        <v>20</v>
      </c>
      <c r="N278" s="7">
        <f>MONTH(Data[[#This Row],[Date]])</f>
        <v>2</v>
      </c>
      <c r="O278" s="7">
        <f>YEAR(Data[[#This Row],[Date]])</f>
        <v>2020</v>
      </c>
      <c r="P278" s="2">
        <v>0.73333333333333328</v>
      </c>
      <c r="Q278" t="s">
        <v>28</v>
      </c>
      <c r="R278">
        <v>152.74</v>
      </c>
      <c r="S278">
        <v>54.55</v>
      </c>
      <c r="T278">
        <v>7.1</v>
      </c>
    </row>
    <row r="279" spans="1:20" x14ac:dyDescent="0.55000000000000004">
      <c r="A279" t="s">
        <v>312</v>
      </c>
      <c r="B279" t="s">
        <v>24</v>
      </c>
      <c r="C279" t="s">
        <v>25</v>
      </c>
      <c r="D279" t="str">
        <f>"Br. "&amp;Data[[#This Row],[Branch]]&amp;" ("&amp;Data[[#This Row],[City]]&amp;")"</f>
        <v>Br. C (Naypyitaw)</v>
      </c>
      <c r="E279" t="s">
        <v>26</v>
      </c>
      <c r="F279" t="s">
        <v>20</v>
      </c>
      <c r="G279" t="s">
        <v>45</v>
      </c>
      <c r="H279">
        <v>95.42</v>
      </c>
      <c r="I279">
        <v>4</v>
      </c>
      <c r="J279">
        <v>19.084</v>
      </c>
      <c r="K279">
        <v>381.68</v>
      </c>
      <c r="L279" s="1">
        <v>43881</v>
      </c>
      <c r="M279" s="7">
        <f>DAY(Data[[#This Row],[Date]])</f>
        <v>20</v>
      </c>
      <c r="N279" s="7">
        <f>MONTH(Data[[#This Row],[Date]])</f>
        <v>2</v>
      </c>
      <c r="O279" s="7">
        <f>YEAR(Data[[#This Row],[Date]])</f>
        <v>2020</v>
      </c>
      <c r="P279" s="2">
        <v>0.55763888888888891</v>
      </c>
      <c r="Q279" t="s">
        <v>22</v>
      </c>
      <c r="R279">
        <v>267.17599999999999</v>
      </c>
      <c r="S279">
        <v>95.42</v>
      </c>
      <c r="T279">
        <v>6.4</v>
      </c>
    </row>
    <row r="280" spans="1:20" x14ac:dyDescent="0.55000000000000004">
      <c r="A280" t="s">
        <v>313</v>
      </c>
      <c r="B280" t="s">
        <v>24</v>
      </c>
      <c r="C280" t="s">
        <v>25</v>
      </c>
      <c r="D280" t="str">
        <f>"Br. "&amp;Data[[#This Row],[Branch]]&amp;" ("&amp;Data[[#This Row],[City]]&amp;")"</f>
        <v>Br. C (Naypyitaw)</v>
      </c>
      <c r="E280" t="s">
        <v>19</v>
      </c>
      <c r="F280" t="s">
        <v>30</v>
      </c>
      <c r="G280" t="s">
        <v>45</v>
      </c>
      <c r="H280">
        <v>70.989999999999995</v>
      </c>
      <c r="I280">
        <v>10</v>
      </c>
      <c r="J280">
        <v>35.494999999999997</v>
      </c>
      <c r="K280">
        <v>709.9</v>
      </c>
      <c r="L280" s="1">
        <v>43881</v>
      </c>
      <c r="M280" s="7">
        <f>DAY(Data[[#This Row],[Date]])</f>
        <v>20</v>
      </c>
      <c r="N280" s="7">
        <f>MONTH(Data[[#This Row],[Date]])</f>
        <v>2</v>
      </c>
      <c r="O280" s="7">
        <f>YEAR(Data[[#This Row],[Date]])</f>
        <v>2020</v>
      </c>
      <c r="P280" s="2">
        <v>0.68611111111111112</v>
      </c>
      <c r="Q280" t="s">
        <v>28</v>
      </c>
      <c r="R280">
        <v>496.93</v>
      </c>
      <c r="S280">
        <v>177.47499999999999</v>
      </c>
      <c r="T280">
        <v>5.7</v>
      </c>
    </row>
    <row r="281" spans="1:20" x14ac:dyDescent="0.55000000000000004">
      <c r="A281" t="s">
        <v>314</v>
      </c>
      <c r="B281" t="s">
        <v>17</v>
      </c>
      <c r="C281" t="s">
        <v>18</v>
      </c>
      <c r="D281" t="str">
        <f>"Br. "&amp;Data[[#This Row],[Branch]]&amp;" ("&amp;Data[[#This Row],[City]]&amp;")"</f>
        <v>Br. A (Yangon)</v>
      </c>
      <c r="E281" t="s">
        <v>19</v>
      </c>
      <c r="F281" t="s">
        <v>30</v>
      </c>
      <c r="G281" t="s">
        <v>35</v>
      </c>
      <c r="H281">
        <v>44.02</v>
      </c>
      <c r="I281">
        <v>10</v>
      </c>
      <c r="J281">
        <v>22.01</v>
      </c>
      <c r="K281">
        <v>440.2</v>
      </c>
      <c r="L281" s="1">
        <v>43881</v>
      </c>
      <c r="M281" s="7">
        <f>DAY(Data[[#This Row],[Date]])</f>
        <v>20</v>
      </c>
      <c r="N281" s="7">
        <f>MONTH(Data[[#This Row],[Date]])</f>
        <v>2</v>
      </c>
      <c r="O281" s="7">
        <f>YEAR(Data[[#This Row],[Date]])</f>
        <v>2020</v>
      </c>
      <c r="P281" s="2">
        <v>0.83125000000000004</v>
      </c>
      <c r="Q281" t="s">
        <v>32</v>
      </c>
      <c r="R281">
        <v>308.14</v>
      </c>
      <c r="S281">
        <v>110.05</v>
      </c>
      <c r="T281">
        <v>9.6</v>
      </c>
    </row>
    <row r="282" spans="1:20" x14ac:dyDescent="0.55000000000000004">
      <c r="A282" t="s">
        <v>315</v>
      </c>
      <c r="B282" t="s">
        <v>17</v>
      </c>
      <c r="C282" t="s">
        <v>18</v>
      </c>
      <c r="D282" t="str">
        <f>"Br. "&amp;Data[[#This Row],[Branch]]&amp;" ("&amp;Data[[#This Row],[City]]&amp;")"</f>
        <v>Br. A (Yangon)</v>
      </c>
      <c r="E282" t="s">
        <v>26</v>
      </c>
      <c r="F282" t="s">
        <v>20</v>
      </c>
      <c r="G282" t="s">
        <v>31</v>
      </c>
      <c r="H282">
        <v>69.959999999999994</v>
      </c>
      <c r="I282">
        <v>8</v>
      </c>
      <c r="J282">
        <v>27.984000000000002</v>
      </c>
      <c r="K282">
        <v>559.67999999999995</v>
      </c>
      <c r="L282" s="1">
        <v>43881</v>
      </c>
      <c r="M282" s="7">
        <f>DAY(Data[[#This Row],[Date]])</f>
        <v>20</v>
      </c>
      <c r="N282" s="7">
        <f>MONTH(Data[[#This Row],[Date]])</f>
        <v>2</v>
      </c>
      <c r="O282" s="7">
        <f>YEAR(Data[[#This Row],[Date]])</f>
        <v>2020</v>
      </c>
      <c r="P282" s="2">
        <v>0.70902777777777781</v>
      </c>
      <c r="Q282" t="s">
        <v>32</v>
      </c>
      <c r="R282">
        <v>391.77600000000001</v>
      </c>
      <c r="S282">
        <v>139.91999999999999</v>
      </c>
      <c r="T282">
        <v>6.4</v>
      </c>
    </row>
    <row r="283" spans="1:20" x14ac:dyDescent="0.55000000000000004">
      <c r="A283" t="s">
        <v>316</v>
      </c>
      <c r="B283" t="s">
        <v>24</v>
      </c>
      <c r="C283" t="s">
        <v>25</v>
      </c>
      <c r="D283" t="str">
        <f>"Br. "&amp;Data[[#This Row],[Branch]]&amp;" ("&amp;Data[[#This Row],[City]]&amp;")"</f>
        <v>Br. C (Naypyitaw)</v>
      </c>
      <c r="E283" t="s">
        <v>26</v>
      </c>
      <c r="F283" t="s">
        <v>30</v>
      </c>
      <c r="G283" t="s">
        <v>31</v>
      </c>
      <c r="H283">
        <v>37</v>
      </c>
      <c r="I283">
        <v>1</v>
      </c>
      <c r="J283">
        <v>1.85</v>
      </c>
      <c r="K283">
        <v>37</v>
      </c>
      <c r="L283" s="1">
        <v>43881</v>
      </c>
      <c r="M283" s="7">
        <f>DAY(Data[[#This Row],[Date]])</f>
        <v>20</v>
      </c>
      <c r="N283" s="7">
        <f>MONTH(Data[[#This Row],[Date]])</f>
        <v>2</v>
      </c>
      <c r="O283" s="7">
        <f>YEAR(Data[[#This Row],[Date]])</f>
        <v>2020</v>
      </c>
      <c r="P283" s="2">
        <v>0.56180555555555556</v>
      </c>
      <c r="Q283" t="s">
        <v>32</v>
      </c>
      <c r="R283">
        <v>25.9</v>
      </c>
      <c r="S283">
        <v>9.25</v>
      </c>
      <c r="T283">
        <v>7.9</v>
      </c>
    </row>
    <row r="284" spans="1:20" x14ac:dyDescent="0.55000000000000004">
      <c r="A284" t="s">
        <v>317</v>
      </c>
      <c r="B284" t="s">
        <v>17</v>
      </c>
      <c r="C284" t="s">
        <v>18</v>
      </c>
      <c r="D284" t="str">
        <f>"Br. "&amp;Data[[#This Row],[Branch]]&amp;" ("&amp;Data[[#This Row],[City]]&amp;")"</f>
        <v>Br. A (Yangon)</v>
      </c>
      <c r="E284" t="s">
        <v>26</v>
      </c>
      <c r="F284" t="s">
        <v>20</v>
      </c>
      <c r="G284" t="s">
        <v>35</v>
      </c>
      <c r="H284">
        <v>15.34</v>
      </c>
      <c r="I284">
        <v>1</v>
      </c>
      <c r="J284">
        <v>0.76700000000000002</v>
      </c>
      <c r="K284">
        <v>15.34</v>
      </c>
      <c r="L284" s="1">
        <v>43881</v>
      </c>
      <c r="M284" s="7">
        <f>DAY(Data[[#This Row],[Date]])</f>
        <v>20</v>
      </c>
      <c r="N284" s="7">
        <f>MONTH(Data[[#This Row],[Date]])</f>
        <v>2</v>
      </c>
      <c r="O284" s="7">
        <f>YEAR(Data[[#This Row],[Date]])</f>
        <v>2020</v>
      </c>
      <c r="P284" s="2">
        <v>0.46458333333333335</v>
      </c>
      <c r="Q284" t="s">
        <v>28</v>
      </c>
      <c r="R284">
        <v>10.738</v>
      </c>
      <c r="S284">
        <v>3.835</v>
      </c>
      <c r="T284">
        <v>6.5</v>
      </c>
    </row>
    <row r="285" spans="1:20" x14ac:dyDescent="0.55000000000000004">
      <c r="A285" t="s">
        <v>318</v>
      </c>
      <c r="B285" t="s">
        <v>17</v>
      </c>
      <c r="C285" t="s">
        <v>18</v>
      </c>
      <c r="D285" t="str">
        <f>"Br. "&amp;Data[[#This Row],[Branch]]&amp;" ("&amp;Data[[#This Row],[City]]&amp;")"</f>
        <v>Br. A (Yangon)</v>
      </c>
      <c r="E285" t="s">
        <v>19</v>
      </c>
      <c r="F285" t="s">
        <v>30</v>
      </c>
      <c r="G285" t="s">
        <v>21</v>
      </c>
      <c r="H285">
        <v>99.83</v>
      </c>
      <c r="I285">
        <v>6</v>
      </c>
      <c r="J285">
        <v>29.949000000000002</v>
      </c>
      <c r="K285">
        <v>598.98</v>
      </c>
      <c r="L285" s="1">
        <v>43881</v>
      </c>
      <c r="M285" s="7">
        <f>DAY(Data[[#This Row],[Date]])</f>
        <v>20</v>
      </c>
      <c r="N285" s="7">
        <f>MONTH(Data[[#This Row],[Date]])</f>
        <v>2</v>
      </c>
      <c r="O285" s="7">
        <f>YEAR(Data[[#This Row],[Date]])</f>
        <v>2020</v>
      </c>
      <c r="P285" s="2">
        <v>0.62638888888888888</v>
      </c>
      <c r="Q285" t="s">
        <v>22</v>
      </c>
      <c r="R285">
        <v>419.286</v>
      </c>
      <c r="S285">
        <v>149.745</v>
      </c>
      <c r="T285">
        <v>8.5</v>
      </c>
    </row>
    <row r="286" spans="1:20" x14ac:dyDescent="0.55000000000000004">
      <c r="A286" t="s">
        <v>319</v>
      </c>
      <c r="B286" t="s">
        <v>17</v>
      </c>
      <c r="C286" t="s">
        <v>18</v>
      </c>
      <c r="D286" t="str">
        <f>"Br. "&amp;Data[[#This Row],[Branch]]&amp;" ("&amp;Data[[#This Row],[City]]&amp;")"</f>
        <v>Br. A (Yangon)</v>
      </c>
      <c r="E286" t="s">
        <v>19</v>
      </c>
      <c r="F286" t="s">
        <v>20</v>
      </c>
      <c r="G286" t="s">
        <v>21</v>
      </c>
      <c r="H286">
        <v>47.67</v>
      </c>
      <c r="I286">
        <v>4</v>
      </c>
      <c r="J286">
        <v>9.5340000000000007</v>
      </c>
      <c r="K286">
        <v>190.68</v>
      </c>
      <c r="L286" s="1">
        <v>43881</v>
      </c>
      <c r="M286" s="7">
        <f>DAY(Data[[#This Row],[Date]])</f>
        <v>20</v>
      </c>
      <c r="N286" s="7">
        <f>MONTH(Data[[#This Row],[Date]])</f>
        <v>2</v>
      </c>
      <c r="O286" s="7">
        <f>YEAR(Data[[#This Row],[Date]])</f>
        <v>2020</v>
      </c>
      <c r="P286" s="2">
        <v>0.59791666666666665</v>
      </c>
      <c r="Q286" t="s">
        <v>28</v>
      </c>
      <c r="R286">
        <v>133.476</v>
      </c>
      <c r="S286">
        <v>47.67</v>
      </c>
      <c r="T286">
        <v>9.1</v>
      </c>
    </row>
    <row r="287" spans="1:20" x14ac:dyDescent="0.55000000000000004">
      <c r="A287" t="s">
        <v>320</v>
      </c>
      <c r="B287" t="s">
        <v>41</v>
      </c>
      <c r="C287" t="s">
        <v>42</v>
      </c>
      <c r="D287" t="str">
        <f>"Br. "&amp;Data[[#This Row],[Branch]]&amp;" ("&amp;Data[[#This Row],[City]]&amp;")"</f>
        <v>Br. B (Mandalay)</v>
      </c>
      <c r="E287" t="s">
        <v>26</v>
      </c>
      <c r="F287" t="s">
        <v>30</v>
      </c>
      <c r="G287" t="s">
        <v>21</v>
      </c>
      <c r="H287">
        <v>66.680000000000007</v>
      </c>
      <c r="I287">
        <v>5</v>
      </c>
      <c r="J287">
        <v>16.670000000000002</v>
      </c>
      <c r="K287">
        <v>333.4</v>
      </c>
      <c r="L287" s="1">
        <v>43881</v>
      </c>
      <c r="M287" s="7">
        <f>DAY(Data[[#This Row],[Date]])</f>
        <v>20</v>
      </c>
      <c r="N287" s="7">
        <f>MONTH(Data[[#This Row],[Date]])</f>
        <v>2</v>
      </c>
      <c r="O287" s="7">
        <f>YEAR(Data[[#This Row],[Date]])</f>
        <v>2020</v>
      </c>
      <c r="P287" s="2">
        <v>0.75069444444444444</v>
      </c>
      <c r="Q287" t="s">
        <v>28</v>
      </c>
      <c r="R287">
        <v>233.38</v>
      </c>
      <c r="S287">
        <v>83.35</v>
      </c>
      <c r="T287">
        <v>7.6</v>
      </c>
    </row>
    <row r="288" spans="1:20" x14ac:dyDescent="0.55000000000000004">
      <c r="A288" t="s">
        <v>321</v>
      </c>
      <c r="B288" t="s">
        <v>24</v>
      </c>
      <c r="C288" t="s">
        <v>25</v>
      </c>
      <c r="D288" t="str">
        <f>"Br. "&amp;Data[[#This Row],[Branch]]&amp;" ("&amp;Data[[#This Row],[City]]&amp;")"</f>
        <v>Br. C (Naypyitaw)</v>
      </c>
      <c r="E288" t="s">
        <v>19</v>
      </c>
      <c r="F288" t="s">
        <v>30</v>
      </c>
      <c r="G288" t="s">
        <v>31</v>
      </c>
      <c r="H288">
        <v>74.86</v>
      </c>
      <c r="I288">
        <v>1</v>
      </c>
      <c r="J288">
        <v>3.7429999999999999</v>
      </c>
      <c r="K288">
        <v>74.86</v>
      </c>
      <c r="L288" s="1">
        <v>43881</v>
      </c>
      <c r="M288" s="7">
        <f>DAY(Data[[#This Row],[Date]])</f>
        <v>20</v>
      </c>
      <c r="N288" s="7">
        <f>MONTH(Data[[#This Row],[Date]])</f>
        <v>2</v>
      </c>
      <c r="O288" s="7">
        <f>YEAR(Data[[#This Row],[Date]])</f>
        <v>2020</v>
      </c>
      <c r="P288" s="2">
        <v>0.61736111111111114</v>
      </c>
      <c r="Q288" t="s">
        <v>28</v>
      </c>
      <c r="R288">
        <v>52.402000000000001</v>
      </c>
      <c r="S288">
        <v>18.715</v>
      </c>
      <c r="T288">
        <v>6.9</v>
      </c>
    </row>
    <row r="289" spans="1:20" x14ac:dyDescent="0.55000000000000004">
      <c r="A289" t="s">
        <v>322</v>
      </c>
      <c r="B289" t="s">
        <v>24</v>
      </c>
      <c r="C289" t="s">
        <v>25</v>
      </c>
      <c r="D289" t="str">
        <f>"Br. "&amp;Data[[#This Row],[Branch]]&amp;" ("&amp;Data[[#This Row],[City]]&amp;")"</f>
        <v>Br. C (Naypyitaw)</v>
      </c>
      <c r="E289" t="s">
        <v>26</v>
      </c>
      <c r="F289" t="s">
        <v>20</v>
      </c>
      <c r="G289" t="s">
        <v>35</v>
      </c>
      <c r="H289">
        <v>23.75</v>
      </c>
      <c r="I289">
        <v>9</v>
      </c>
      <c r="J289">
        <v>10.6875</v>
      </c>
      <c r="K289">
        <v>213.75</v>
      </c>
      <c r="L289" s="1">
        <v>43881</v>
      </c>
      <c r="M289" s="7">
        <f>DAY(Data[[#This Row],[Date]])</f>
        <v>20</v>
      </c>
      <c r="N289" s="7">
        <f>MONTH(Data[[#This Row],[Date]])</f>
        <v>2</v>
      </c>
      <c r="O289" s="7">
        <f>YEAR(Data[[#This Row],[Date]])</f>
        <v>2020</v>
      </c>
      <c r="P289" s="2">
        <v>0.50138888888888888</v>
      </c>
      <c r="Q289" t="s">
        <v>28</v>
      </c>
      <c r="R289">
        <v>149.625</v>
      </c>
      <c r="S289">
        <v>53.4375</v>
      </c>
      <c r="T289">
        <v>9.5</v>
      </c>
    </row>
    <row r="290" spans="1:20" x14ac:dyDescent="0.55000000000000004">
      <c r="A290" t="s">
        <v>323</v>
      </c>
      <c r="B290" t="s">
        <v>41</v>
      </c>
      <c r="C290" t="s">
        <v>42</v>
      </c>
      <c r="D290" t="str">
        <f>"Br. "&amp;Data[[#This Row],[Branch]]&amp;" ("&amp;Data[[#This Row],[City]]&amp;")"</f>
        <v>Br. B (Mandalay)</v>
      </c>
      <c r="E290" t="s">
        <v>26</v>
      </c>
      <c r="F290" t="s">
        <v>20</v>
      </c>
      <c r="G290" t="s">
        <v>43</v>
      </c>
      <c r="H290">
        <v>48.51</v>
      </c>
      <c r="I290">
        <v>7</v>
      </c>
      <c r="J290">
        <v>16.9785</v>
      </c>
      <c r="K290">
        <v>339.57</v>
      </c>
      <c r="L290" s="1">
        <v>43881</v>
      </c>
      <c r="M290" s="7">
        <f>DAY(Data[[#This Row],[Date]])</f>
        <v>20</v>
      </c>
      <c r="N290" s="7">
        <f>MONTH(Data[[#This Row],[Date]])</f>
        <v>2</v>
      </c>
      <c r="O290" s="7">
        <f>YEAR(Data[[#This Row],[Date]])</f>
        <v>2020</v>
      </c>
      <c r="P290" s="2">
        <v>0.5625</v>
      </c>
      <c r="Q290" t="s">
        <v>32</v>
      </c>
      <c r="R290">
        <v>237.69900000000001</v>
      </c>
      <c r="S290">
        <v>84.892499999999998</v>
      </c>
      <c r="T290">
        <v>5.2</v>
      </c>
    </row>
    <row r="291" spans="1:20" x14ac:dyDescent="0.55000000000000004">
      <c r="A291" t="s">
        <v>324</v>
      </c>
      <c r="B291" t="s">
        <v>17</v>
      </c>
      <c r="C291" t="s">
        <v>18</v>
      </c>
      <c r="D291" t="str">
        <f>"Br. "&amp;Data[[#This Row],[Branch]]&amp;" ("&amp;Data[[#This Row],[City]]&amp;")"</f>
        <v>Br. A (Yangon)</v>
      </c>
      <c r="E291" t="s">
        <v>19</v>
      </c>
      <c r="F291" t="s">
        <v>20</v>
      </c>
      <c r="G291" t="s">
        <v>31</v>
      </c>
      <c r="H291">
        <v>94.88</v>
      </c>
      <c r="I291">
        <v>7</v>
      </c>
      <c r="J291">
        <v>33.207999999999998</v>
      </c>
      <c r="K291">
        <v>664.16</v>
      </c>
      <c r="L291" s="1">
        <v>43881</v>
      </c>
      <c r="M291" s="7">
        <f>DAY(Data[[#This Row],[Date]])</f>
        <v>20</v>
      </c>
      <c r="N291" s="7">
        <f>MONTH(Data[[#This Row],[Date]])</f>
        <v>2</v>
      </c>
      <c r="O291" s="7">
        <f>YEAR(Data[[#This Row],[Date]])</f>
        <v>2020</v>
      </c>
      <c r="P291" s="2">
        <v>0.60972222222222228</v>
      </c>
      <c r="Q291" t="s">
        <v>28</v>
      </c>
      <c r="R291">
        <v>464.91199999999998</v>
      </c>
      <c r="S291">
        <v>166.04</v>
      </c>
      <c r="T291">
        <v>4.2</v>
      </c>
    </row>
    <row r="292" spans="1:20" x14ac:dyDescent="0.55000000000000004">
      <c r="A292" t="s">
        <v>325</v>
      </c>
      <c r="B292" t="s">
        <v>41</v>
      </c>
      <c r="C292" t="s">
        <v>42</v>
      </c>
      <c r="D292" t="str">
        <f>"Br. "&amp;Data[[#This Row],[Branch]]&amp;" ("&amp;Data[[#This Row],[City]]&amp;")"</f>
        <v>Br. B (Mandalay)</v>
      </c>
      <c r="E292" t="s">
        <v>19</v>
      </c>
      <c r="F292" t="s">
        <v>30</v>
      </c>
      <c r="G292" t="s">
        <v>27</v>
      </c>
      <c r="H292">
        <v>40.299999999999997</v>
      </c>
      <c r="I292">
        <v>10</v>
      </c>
      <c r="J292">
        <v>20.149999999999999</v>
      </c>
      <c r="K292">
        <v>403</v>
      </c>
      <c r="L292" s="1">
        <v>43881</v>
      </c>
      <c r="M292" s="7">
        <f>DAY(Data[[#This Row],[Date]])</f>
        <v>20</v>
      </c>
      <c r="N292" s="7">
        <f>MONTH(Data[[#This Row],[Date]])</f>
        <v>2</v>
      </c>
      <c r="O292" s="7">
        <f>YEAR(Data[[#This Row],[Date]])</f>
        <v>2020</v>
      </c>
      <c r="P292" s="2">
        <v>0.73402777777777772</v>
      </c>
      <c r="Q292" t="s">
        <v>32</v>
      </c>
      <c r="R292">
        <v>282.10000000000002</v>
      </c>
      <c r="S292">
        <v>100.75</v>
      </c>
      <c r="T292">
        <v>7</v>
      </c>
    </row>
    <row r="293" spans="1:20" x14ac:dyDescent="0.55000000000000004">
      <c r="A293" t="s">
        <v>326</v>
      </c>
      <c r="B293" t="s">
        <v>24</v>
      </c>
      <c r="C293" t="s">
        <v>25</v>
      </c>
      <c r="D293" t="str">
        <f>"Br. "&amp;Data[[#This Row],[Branch]]&amp;" ("&amp;Data[[#This Row],[City]]&amp;")"</f>
        <v>Br. C (Naypyitaw)</v>
      </c>
      <c r="E293" t="s">
        <v>26</v>
      </c>
      <c r="F293" t="s">
        <v>30</v>
      </c>
      <c r="G293" t="s">
        <v>27</v>
      </c>
      <c r="H293">
        <v>27.85</v>
      </c>
      <c r="I293">
        <v>7</v>
      </c>
      <c r="J293">
        <v>9.7475000000000005</v>
      </c>
      <c r="K293">
        <v>194.95</v>
      </c>
      <c r="L293" s="1">
        <v>43881</v>
      </c>
      <c r="M293" s="7">
        <f>DAY(Data[[#This Row],[Date]])</f>
        <v>20</v>
      </c>
      <c r="N293" s="7">
        <f>MONTH(Data[[#This Row],[Date]])</f>
        <v>2</v>
      </c>
      <c r="O293" s="7">
        <f>YEAR(Data[[#This Row],[Date]])</f>
        <v>2020</v>
      </c>
      <c r="P293" s="2">
        <v>0.72222222222222221</v>
      </c>
      <c r="Q293" t="s">
        <v>22</v>
      </c>
      <c r="R293">
        <v>136.465</v>
      </c>
      <c r="S293">
        <v>48.737499999999997</v>
      </c>
      <c r="T293">
        <v>6</v>
      </c>
    </row>
    <row r="294" spans="1:20" x14ac:dyDescent="0.55000000000000004">
      <c r="A294" t="s">
        <v>327</v>
      </c>
      <c r="B294" t="s">
        <v>17</v>
      </c>
      <c r="C294" t="s">
        <v>18</v>
      </c>
      <c r="D294" t="str">
        <f>"Br. "&amp;Data[[#This Row],[Branch]]&amp;" ("&amp;Data[[#This Row],[City]]&amp;")"</f>
        <v>Br. A (Yangon)</v>
      </c>
      <c r="E294" t="s">
        <v>19</v>
      </c>
      <c r="F294" t="s">
        <v>20</v>
      </c>
      <c r="G294" t="s">
        <v>27</v>
      </c>
      <c r="H294">
        <v>62.48</v>
      </c>
      <c r="I294">
        <v>1</v>
      </c>
      <c r="J294">
        <v>3.1240000000000001</v>
      </c>
      <c r="K294">
        <v>62.48</v>
      </c>
      <c r="L294" s="1">
        <v>43881</v>
      </c>
      <c r="M294" s="7">
        <f>DAY(Data[[#This Row],[Date]])</f>
        <v>20</v>
      </c>
      <c r="N294" s="7">
        <f>MONTH(Data[[#This Row],[Date]])</f>
        <v>2</v>
      </c>
      <c r="O294" s="7">
        <f>YEAR(Data[[#This Row],[Date]])</f>
        <v>2020</v>
      </c>
      <c r="P294" s="2">
        <v>0.85347222222222219</v>
      </c>
      <c r="Q294" t="s">
        <v>28</v>
      </c>
      <c r="R294">
        <v>43.735999999999997</v>
      </c>
      <c r="S294">
        <v>15.62</v>
      </c>
      <c r="T294">
        <v>4.7</v>
      </c>
    </row>
    <row r="295" spans="1:20" x14ac:dyDescent="0.55000000000000004">
      <c r="A295" t="s">
        <v>328</v>
      </c>
      <c r="B295" t="s">
        <v>17</v>
      </c>
      <c r="C295" t="s">
        <v>18</v>
      </c>
      <c r="D295" t="str">
        <f>"Br. "&amp;Data[[#This Row],[Branch]]&amp;" ("&amp;Data[[#This Row],[City]]&amp;")"</f>
        <v>Br. A (Yangon)</v>
      </c>
      <c r="E295" t="s">
        <v>19</v>
      </c>
      <c r="F295" t="s">
        <v>20</v>
      </c>
      <c r="G295" t="s">
        <v>43</v>
      </c>
      <c r="H295">
        <v>36.36</v>
      </c>
      <c r="I295">
        <v>2</v>
      </c>
      <c r="J295">
        <v>3.6360000000000001</v>
      </c>
      <c r="K295">
        <v>72.72</v>
      </c>
      <c r="L295" s="1">
        <v>43881</v>
      </c>
      <c r="M295" s="7">
        <f>DAY(Data[[#This Row],[Date]])</f>
        <v>20</v>
      </c>
      <c r="N295" s="7">
        <f>MONTH(Data[[#This Row],[Date]])</f>
        <v>2</v>
      </c>
      <c r="O295" s="7">
        <f>YEAR(Data[[#This Row],[Date]])</f>
        <v>2020</v>
      </c>
      <c r="P295" s="2">
        <v>0.41666666666666669</v>
      </c>
      <c r="Q295" t="s">
        <v>28</v>
      </c>
      <c r="R295">
        <v>50.904000000000003</v>
      </c>
      <c r="S295">
        <v>18.18</v>
      </c>
      <c r="T295">
        <v>7.1</v>
      </c>
    </row>
    <row r="296" spans="1:20" x14ac:dyDescent="0.55000000000000004">
      <c r="A296" t="s">
        <v>329</v>
      </c>
      <c r="B296" t="s">
        <v>41</v>
      </c>
      <c r="C296" t="s">
        <v>42</v>
      </c>
      <c r="D296" t="str">
        <f>"Br. "&amp;Data[[#This Row],[Branch]]&amp;" ("&amp;Data[[#This Row],[City]]&amp;")"</f>
        <v>Br. B (Mandalay)</v>
      </c>
      <c r="E296" t="s">
        <v>26</v>
      </c>
      <c r="F296" t="s">
        <v>30</v>
      </c>
      <c r="G296" t="s">
        <v>21</v>
      </c>
      <c r="H296">
        <v>18.11</v>
      </c>
      <c r="I296">
        <v>10</v>
      </c>
      <c r="J296">
        <v>9.0549999999999997</v>
      </c>
      <c r="K296">
        <v>181.1</v>
      </c>
      <c r="L296" s="1">
        <v>43881</v>
      </c>
      <c r="M296" s="7">
        <f>DAY(Data[[#This Row],[Date]])</f>
        <v>20</v>
      </c>
      <c r="N296" s="7">
        <f>MONTH(Data[[#This Row],[Date]])</f>
        <v>2</v>
      </c>
      <c r="O296" s="7">
        <f>YEAR(Data[[#This Row],[Date]])</f>
        <v>2020</v>
      </c>
      <c r="P296" s="2">
        <v>0.49027777777777776</v>
      </c>
      <c r="Q296" t="s">
        <v>22</v>
      </c>
      <c r="R296">
        <v>126.77</v>
      </c>
      <c r="S296">
        <v>45.274999999999999</v>
      </c>
      <c r="T296">
        <v>5.9</v>
      </c>
    </row>
    <row r="297" spans="1:20" x14ac:dyDescent="0.55000000000000004">
      <c r="A297" t="s">
        <v>330</v>
      </c>
      <c r="B297" t="s">
        <v>24</v>
      </c>
      <c r="C297" t="s">
        <v>25</v>
      </c>
      <c r="D297" t="str">
        <f>"Br. "&amp;Data[[#This Row],[Branch]]&amp;" ("&amp;Data[[#This Row],[City]]&amp;")"</f>
        <v>Br. C (Naypyitaw)</v>
      </c>
      <c r="E297" t="s">
        <v>19</v>
      </c>
      <c r="F297" t="s">
        <v>20</v>
      </c>
      <c r="G297" t="s">
        <v>27</v>
      </c>
      <c r="H297">
        <v>51.92</v>
      </c>
      <c r="I297">
        <v>5</v>
      </c>
      <c r="J297">
        <v>12.98</v>
      </c>
      <c r="K297">
        <v>259.60000000000002</v>
      </c>
      <c r="L297" s="1">
        <v>43881</v>
      </c>
      <c r="M297" s="7">
        <f>DAY(Data[[#This Row],[Date]])</f>
        <v>20</v>
      </c>
      <c r="N297" s="7">
        <f>MONTH(Data[[#This Row],[Date]])</f>
        <v>2</v>
      </c>
      <c r="O297" s="7">
        <f>YEAR(Data[[#This Row],[Date]])</f>
        <v>2020</v>
      </c>
      <c r="P297" s="2">
        <v>0.5708333333333333</v>
      </c>
      <c r="Q297" t="s">
        <v>28</v>
      </c>
      <c r="R297">
        <v>181.72</v>
      </c>
      <c r="S297">
        <v>64.900000000000006</v>
      </c>
      <c r="T297">
        <v>7.5</v>
      </c>
    </row>
    <row r="298" spans="1:20" x14ac:dyDescent="0.55000000000000004">
      <c r="A298" t="s">
        <v>331</v>
      </c>
      <c r="B298" t="s">
        <v>24</v>
      </c>
      <c r="C298" t="s">
        <v>25</v>
      </c>
      <c r="D298" t="str">
        <f>"Br. "&amp;Data[[#This Row],[Branch]]&amp;" ("&amp;Data[[#This Row],[City]]&amp;")"</f>
        <v>Br. C (Naypyitaw)</v>
      </c>
      <c r="E298" t="s">
        <v>26</v>
      </c>
      <c r="F298" t="s">
        <v>30</v>
      </c>
      <c r="G298" t="s">
        <v>27</v>
      </c>
      <c r="H298">
        <v>28.84</v>
      </c>
      <c r="I298">
        <v>4</v>
      </c>
      <c r="J298">
        <v>5.7679999999999998</v>
      </c>
      <c r="K298">
        <v>115.36</v>
      </c>
      <c r="L298" s="1">
        <v>43881</v>
      </c>
      <c r="M298" s="7">
        <f>DAY(Data[[#This Row],[Date]])</f>
        <v>20</v>
      </c>
      <c r="N298" s="7">
        <f>MONTH(Data[[#This Row],[Date]])</f>
        <v>2</v>
      </c>
      <c r="O298" s="7">
        <f>YEAR(Data[[#This Row],[Date]])</f>
        <v>2020</v>
      </c>
      <c r="P298" s="2">
        <v>0.61388888888888893</v>
      </c>
      <c r="Q298" t="s">
        <v>28</v>
      </c>
      <c r="R298">
        <v>80.751999999999995</v>
      </c>
      <c r="S298">
        <v>28.84</v>
      </c>
      <c r="T298">
        <v>6.4</v>
      </c>
    </row>
    <row r="299" spans="1:20" x14ac:dyDescent="0.55000000000000004">
      <c r="A299" t="s">
        <v>332</v>
      </c>
      <c r="B299" t="s">
        <v>17</v>
      </c>
      <c r="C299" t="s">
        <v>18</v>
      </c>
      <c r="D299" t="str">
        <f>"Br. "&amp;Data[[#This Row],[Branch]]&amp;" ("&amp;Data[[#This Row],[City]]&amp;")"</f>
        <v>Br. A (Yangon)</v>
      </c>
      <c r="E299" t="s">
        <v>19</v>
      </c>
      <c r="F299" t="s">
        <v>30</v>
      </c>
      <c r="G299" t="s">
        <v>31</v>
      </c>
      <c r="H299">
        <v>78.38</v>
      </c>
      <c r="I299">
        <v>6</v>
      </c>
      <c r="J299">
        <v>23.513999999999999</v>
      </c>
      <c r="K299">
        <v>470.28</v>
      </c>
      <c r="L299" s="1">
        <v>43881</v>
      </c>
      <c r="M299" s="7">
        <f>DAY(Data[[#This Row],[Date]])</f>
        <v>20</v>
      </c>
      <c r="N299" s="7">
        <f>MONTH(Data[[#This Row],[Date]])</f>
        <v>2</v>
      </c>
      <c r="O299" s="7">
        <f>YEAR(Data[[#This Row],[Date]])</f>
        <v>2020</v>
      </c>
      <c r="P299" s="2">
        <v>0.59444444444444444</v>
      </c>
      <c r="Q299" t="s">
        <v>22</v>
      </c>
      <c r="R299">
        <v>329.19600000000003</v>
      </c>
      <c r="S299">
        <v>117.57</v>
      </c>
      <c r="T299">
        <v>5.8</v>
      </c>
    </row>
    <row r="300" spans="1:20" x14ac:dyDescent="0.55000000000000004">
      <c r="A300" t="s">
        <v>333</v>
      </c>
      <c r="B300" t="s">
        <v>17</v>
      </c>
      <c r="C300" t="s">
        <v>18</v>
      </c>
      <c r="D300" t="str">
        <f>"Br. "&amp;Data[[#This Row],[Branch]]&amp;" ("&amp;Data[[#This Row],[City]]&amp;")"</f>
        <v>Br. A (Yangon)</v>
      </c>
      <c r="E300" t="s">
        <v>19</v>
      </c>
      <c r="F300" t="s">
        <v>30</v>
      </c>
      <c r="G300" t="s">
        <v>31</v>
      </c>
      <c r="H300">
        <v>60.01</v>
      </c>
      <c r="I300">
        <v>4</v>
      </c>
      <c r="J300">
        <v>12.002000000000001</v>
      </c>
      <c r="K300">
        <v>240.04</v>
      </c>
      <c r="L300" s="1">
        <v>43881</v>
      </c>
      <c r="M300" s="7">
        <f>DAY(Data[[#This Row],[Date]])</f>
        <v>20</v>
      </c>
      <c r="N300" s="7">
        <f>MONTH(Data[[#This Row],[Date]])</f>
        <v>2</v>
      </c>
      <c r="O300" s="7">
        <f>YEAR(Data[[#This Row],[Date]])</f>
        <v>2020</v>
      </c>
      <c r="P300" s="2">
        <v>0.66249999999999998</v>
      </c>
      <c r="Q300" t="s">
        <v>28</v>
      </c>
      <c r="R300">
        <v>168.02799999999999</v>
      </c>
      <c r="S300">
        <v>60.01</v>
      </c>
      <c r="T300">
        <v>4.5</v>
      </c>
    </row>
    <row r="301" spans="1:20" x14ac:dyDescent="0.55000000000000004">
      <c r="A301" t="s">
        <v>334</v>
      </c>
      <c r="B301" t="s">
        <v>24</v>
      </c>
      <c r="C301" t="s">
        <v>25</v>
      </c>
      <c r="D301" t="str">
        <f>"Br. "&amp;Data[[#This Row],[Branch]]&amp;" ("&amp;Data[[#This Row],[City]]&amp;")"</f>
        <v>Br. C (Naypyitaw)</v>
      </c>
      <c r="E301" t="s">
        <v>19</v>
      </c>
      <c r="F301" t="s">
        <v>20</v>
      </c>
      <c r="G301" t="s">
        <v>31</v>
      </c>
      <c r="H301">
        <v>88.61</v>
      </c>
      <c r="I301">
        <v>1</v>
      </c>
      <c r="J301">
        <v>4.4305000000000003</v>
      </c>
      <c r="K301">
        <v>88.61</v>
      </c>
      <c r="L301" s="1">
        <v>43881</v>
      </c>
      <c r="M301" s="7">
        <f>DAY(Data[[#This Row],[Date]])</f>
        <v>20</v>
      </c>
      <c r="N301" s="7">
        <f>MONTH(Data[[#This Row],[Date]])</f>
        <v>2</v>
      </c>
      <c r="O301" s="7">
        <f>YEAR(Data[[#This Row],[Date]])</f>
        <v>2020</v>
      </c>
      <c r="P301" s="2">
        <v>0.43125000000000002</v>
      </c>
      <c r="Q301" t="s">
        <v>28</v>
      </c>
      <c r="R301">
        <v>62.027000000000001</v>
      </c>
      <c r="S301">
        <v>22.1525</v>
      </c>
      <c r="T301">
        <v>7.7</v>
      </c>
    </row>
    <row r="302" spans="1:20" x14ac:dyDescent="0.55000000000000004">
      <c r="A302" t="s">
        <v>335</v>
      </c>
      <c r="B302" t="s">
        <v>24</v>
      </c>
      <c r="C302" t="s">
        <v>25</v>
      </c>
      <c r="D302" t="str">
        <f>"Br. "&amp;Data[[#This Row],[Branch]]&amp;" ("&amp;Data[[#This Row],[City]]&amp;")"</f>
        <v>Br. C (Naypyitaw)</v>
      </c>
      <c r="E302" t="s">
        <v>26</v>
      </c>
      <c r="F302" t="s">
        <v>30</v>
      </c>
      <c r="G302" t="s">
        <v>45</v>
      </c>
      <c r="H302">
        <v>99.82</v>
      </c>
      <c r="I302">
        <v>2</v>
      </c>
      <c r="J302">
        <v>9.9819999999999993</v>
      </c>
      <c r="K302">
        <v>199.64</v>
      </c>
      <c r="L302" s="1">
        <v>43881</v>
      </c>
      <c r="M302" s="7">
        <f>DAY(Data[[#This Row],[Date]])</f>
        <v>20</v>
      </c>
      <c r="N302" s="7">
        <f>MONTH(Data[[#This Row],[Date]])</f>
        <v>2</v>
      </c>
      <c r="O302" s="7">
        <f>YEAR(Data[[#This Row],[Date]])</f>
        <v>2020</v>
      </c>
      <c r="P302" s="2">
        <v>0.75624999999999998</v>
      </c>
      <c r="Q302" t="s">
        <v>32</v>
      </c>
      <c r="R302">
        <v>139.74799999999999</v>
      </c>
      <c r="S302">
        <v>49.91</v>
      </c>
      <c r="T302">
        <v>6.7</v>
      </c>
    </row>
    <row r="303" spans="1:20" x14ac:dyDescent="0.55000000000000004">
      <c r="A303" t="s">
        <v>336</v>
      </c>
      <c r="B303" t="s">
        <v>41</v>
      </c>
      <c r="C303" t="s">
        <v>42</v>
      </c>
      <c r="D303" t="str">
        <f>"Br. "&amp;Data[[#This Row],[Branch]]&amp;" ("&amp;Data[[#This Row],[City]]&amp;")"</f>
        <v>Br. B (Mandalay)</v>
      </c>
      <c r="E303" t="s">
        <v>19</v>
      </c>
      <c r="F303" t="s">
        <v>30</v>
      </c>
      <c r="G303" t="s">
        <v>21</v>
      </c>
      <c r="H303">
        <v>39.01</v>
      </c>
      <c r="I303">
        <v>1</v>
      </c>
      <c r="J303">
        <v>1.9504999999999999</v>
      </c>
      <c r="K303">
        <v>39.01</v>
      </c>
      <c r="L303" s="1">
        <v>43881</v>
      </c>
      <c r="M303" s="7">
        <f>DAY(Data[[#This Row],[Date]])</f>
        <v>20</v>
      </c>
      <c r="N303" s="7">
        <f>MONTH(Data[[#This Row],[Date]])</f>
        <v>2</v>
      </c>
      <c r="O303" s="7">
        <f>YEAR(Data[[#This Row],[Date]])</f>
        <v>2020</v>
      </c>
      <c r="P303" s="2">
        <v>0.69861111111111107</v>
      </c>
      <c r="Q303" t="s">
        <v>32</v>
      </c>
      <c r="R303">
        <v>27.306999999999999</v>
      </c>
      <c r="S303">
        <v>9.7524999999999995</v>
      </c>
      <c r="T303">
        <v>4.7</v>
      </c>
    </row>
    <row r="304" spans="1:20" x14ac:dyDescent="0.55000000000000004">
      <c r="A304" t="s">
        <v>337</v>
      </c>
      <c r="B304" t="s">
        <v>24</v>
      </c>
      <c r="C304" t="s">
        <v>25</v>
      </c>
      <c r="D304" t="str">
        <f>"Br. "&amp;Data[[#This Row],[Branch]]&amp;" ("&amp;Data[[#This Row],[City]]&amp;")"</f>
        <v>Br. C (Naypyitaw)</v>
      </c>
      <c r="E304" t="s">
        <v>26</v>
      </c>
      <c r="F304" t="s">
        <v>30</v>
      </c>
      <c r="G304" t="s">
        <v>43</v>
      </c>
      <c r="H304">
        <v>48.61</v>
      </c>
      <c r="I304">
        <v>1</v>
      </c>
      <c r="J304">
        <v>2.4304999999999999</v>
      </c>
      <c r="K304">
        <v>48.61</v>
      </c>
      <c r="L304" s="1">
        <v>43881</v>
      </c>
      <c r="M304" s="7">
        <f>DAY(Data[[#This Row],[Date]])</f>
        <v>20</v>
      </c>
      <c r="N304" s="7">
        <f>MONTH(Data[[#This Row],[Date]])</f>
        <v>2</v>
      </c>
      <c r="O304" s="7">
        <f>YEAR(Data[[#This Row],[Date]])</f>
        <v>2020</v>
      </c>
      <c r="P304" s="2">
        <v>0.64652777777777781</v>
      </c>
      <c r="Q304" t="s">
        <v>28</v>
      </c>
      <c r="R304">
        <v>34.027000000000001</v>
      </c>
      <c r="S304">
        <v>12.1525</v>
      </c>
      <c r="T304">
        <v>4.4000000000000004</v>
      </c>
    </row>
    <row r="305" spans="1:20" x14ac:dyDescent="0.55000000000000004">
      <c r="A305" t="s">
        <v>338</v>
      </c>
      <c r="B305" t="s">
        <v>17</v>
      </c>
      <c r="C305" t="s">
        <v>18</v>
      </c>
      <c r="D305" t="str">
        <f>"Br. "&amp;Data[[#This Row],[Branch]]&amp;" ("&amp;Data[[#This Row],[City]]&amp;")"</f>
        <v>Br. A (Yangon)</v>
      </c>
      <c r="E305" t="s">
        <v>26</v>
      </c>
      <c r="F305" t="s">
        <v>20</v>
      </c>
      <c r="G305" t="s">
        <v>27</v>
      </c>
      <c r="H305">
        <v>51.19</v>
      </c>
      <c r="I305">
        <v>4</v>
      </c>
      <c r="J305">
        <v>10.238</v>
      </c>
      <c r="K305">
        <v>204.76</v>
      </c>
      <c r="L305" s="1">
        <v>43881</v>
      </c>
      <c r="M305" s="7">
        <f>DAY(Data[[#This Row],[Date]])</f>
        <v>20</v>
      </c>
      <c r="N305" s="7">
        <f>MONTH(Data[[#This Row],[Date]])</f>
        <v>2</v>
      </c>
      <c r="O305" s="7">
        <f>YEAR(Data[[#This Row],[Date]])</f>
        <v>2020</v>
      </c>
      <c r="P305" s="2">
        <v>0.71875</v>
      </c>
      <c r="Q305" t="s">
        <v>32</v>
      </c>
      <c r="R305">
        <v>143.33199999999999</v>
      </c>
      <c r="S305">
        <v>51.19</v>
      </c>
      <c r="T305">
        <v>4.7</v>
      </c>
    </row>
    <row r="306" spans="1:20" x14ac:dyDescent="0.55000000000000004">
      <c r="A306" t="s">
        <v>339</v>
      </c>
      <c r="B306" t="s">
        <v>41</v>
      </c>
      <c r="C306" t="s">
        <v>42</v>
      </c>
      <c r="D306" t="str">
        <f>"Br. "&amp;Data[[#This Row],[Branch]]&amp;" ("&amp;Data[[#This Row],[City]]&amp;")"</f>
        <v>Br. B (Mandalay)</v>
      </c>
      <c r="E306" t="s">
        <v>26</v>
      </c>
      <c r="F306" t="s">
        <v>20</v>
      </c>
      <c r="G306" t="s">
        <v>27</v>
      </c>
      <c r="H306">
        <v>14.96</v>
      </c>
      <c r="I306">
        <v>8</v>
      </c>
      <c r="J306">
        <v>5.984</v>
      </c>
      <c r="K306">
        <v>119.68</v>
      </c>
      <c r="L306" s="1">
        <v>43881</v>
      </c>
      <c r="M306" s="7">
        <f>DAY(Data[[#This Row],[Date]])</f>
        <v>20</v>
      </c>
      <c r="N306" s="7">
        <f>MONTH(Data[[#This Row],[Date]])</f>
        <v>2</v>
      </c>
      <c r="O306" s="7">
        <f>YEAR(Data[[#This Row],[Date]])</f>
        <v>2020</v>
      </c>
      <c r="P306" s="2">
        <v>0.52013888888888893</v>
      </c>
      <c r="Q306" t="s">
        <v>28</v>
      </c>
      <c r="R306">
        <v>83.775999999999996</v>
      </c>
      <c r="S306">
        <v>29.92</v>
      </c>
      <c r="T306">
        <v>8.6</v>
      </c>
    </row>
    <row r="307" spans="1:20" x14ac:dyDescent="0.55000000000000004">
      <c r="A307" t="s">
        <v>340</v>
      </c>
      <c r="B307" t="s">
        <v>17</v>
      </c>
      <c r="C307" t="s">
        <v>18</v>
      </c>
      <c r="D307" t="str">
        <f>"Br. "&amp;Data[[#This Row],[Branch]]&amp;" ("&amp;Data[[#This Row],[City]]&amp;")"</f>
        <v>Br. A (Yangon)</v>
      </c>
      <c r="E307" t="s">
        <v>19</v>
      </c>
      <c r="F307" t="s">
        <v>30</v>
      </c>
      <c r="G307" t="s">
        <v>27</v>
      </c>
      <c r="H307">
        <v>72.2</v>
      </c>
      <c r="I307">
        <v>7</v>
      </c>
      <c r="J307">
        <v>25.27</v>
      </c>
      <c r="K307">
        <v>505.4</v>
      </c>
      <c r="L307" s="1">
        <v>43881</v>
      </c>
      <c r="M307" s="7">
        <f>DAY(Data[[#This Row],[Date]])</f>
        <v>20</v>
      </c>
      <c r="N307" s="7">
        <f>MONTH(Data[[#This Row],[Date]])</f>
        <v>2</v>
      </c>
      <c r="O307" s="7">
        <f>YEAR(Data[[#This Row],[Date]])</f>
        <v>2020</v>
      </c>
      <c r="P307" s="2">
        <v>0.84305555555555556</v>
      </c>
      <c r="Q307" t="s">
        <v>22</v>
      </c>
      <c r="R307">
        <v>353.78</v>
      </c>
      <c r="S307">
        <v>126.35</v>
      </c>
      <c r="T307">
        <v>4.3</v>
      </c>
    </row>
    <row r="308" spans="1:20" x14ac:dyDescent="0.55000000000000004">
      <c r="A308" t="s">
        <v>341</v>
      </c>
      <c r="B308" t="s">
        <v>17</v>
      </c>
      <c r="C308" t="s">
        <v>18</v>
      </c>
      <c r="D308" t="str">
        <f>"Br. "&amp;Data[[#This Row],[Branch]]&amp;" ("&amp;Data[[#This Row],[City]]&amp;")"</f>
        <v>Br. A (Yangon)</v>
      </c>
      <c r="E308" t="s">
        <v>26</v>
      </c>
      <c r="F308" t="s">
        <v>20</v>
      </c>
      <c r="G308" t="s">
        <v>35</v>
      </c>
      <c r="H308">
        <v>40.229999999999997</v>
      </c>
      <c r="I308">
        <v>7</v>
      </c>
      <c r="J308">
        <v>14.080500000000001</v>
      </c>
      <c r="K308">
        <v>281.61</v>
      </c>
      <c r="L308" s="1">
        <v>43881</v>
      </c>
      <c r="M308" s="7">
        <f>DAY(Data[[#This Row],[Date]])</f>
        <v>20</v>
      </c>
      <c r="N308" s="7">
        <f>MONTH(Data[[#This Row],[Date]])</f>
        <v>2</v>
      </c>
      <c r="O308" s="7">
        <f>YEAR(Data[[#This Row],[Date]])</f>
        <v>2020</v>
      </c>
      <c r="P308" s="2">
        <v>0.55694444444444446</v>
      </c>
      <c r="Q308" t="s">
        <v>28</v>
      </c>
      <c r="R308">
        <v>197.12700000000001</v>
      </c>
      <c r="S308">
        <v>70.402500000000003</v>
      </c>
      <c r="T308">
        <v>9.6</v>
      </c>
    </row>
    <row r="309" spans="1:20" x14ac:dyDescent="0.55000000000000004">
      <c r="A309" t="s">
        <v>342</v>
      </c>
      <c r="B309" t="s">
        <v>17</v>
      </c>
      <c r="C309" t="s">
        <v>18</v>
      </c>
      <c r="D309" t="str">
        <f>"Br. "&amp;Data[[#This Row],[Branch]]&amp;" ("&amp;Data[[#This Row],[City]]&amp;")"</f>
        <v>Br. A (Yangon)</v>
      </c>
      <c r="E309" t="s">
        <v>19</v>
      </c>
      <c r="F309" t="s">
        <v>20</v>
      </c>
      <c r="G309" t="s">
        <v>31</v>
      </c>
      <c r="H309">
        <v>88.79</v>
      </c>
      <c r="I309">
        <v>8</v>
      </c>
      <c r="J309">
        <v>35.515999999999998</v>
      </c>
      <c r="K309">
        <v>710.32</v>
      </c>
      <c r="L309" s="1">
        <v>43881</v>
      </c>
      <c r="M309" s="7">
        <f>DAY(Data[[#This Row],[Date]])</f>
        <v>20</v>
      </c>
      <c r="N309" s="7">
        <f>MONTH(Data[[#This Row],[Date]])</f>
        <v>2</v>
      </c>
      <c r="O309" s="7">
        <f>YEAR(Data[[#This Row],[Date]])</f>
        <v>2020</v>
      </c>
      <c r="P309" s="2">
        <v>0.71458333333333335</v>
      </c>
      <c r="Q309" t="s">
        <v>28</v>
      </c>
      <c r="R309">
        <v>497.22399999999999</v>
      </c>
      <c r="S309">
        <v>177.58</v>
      </c>
      <c r="T309">
        <v>4.0999999999999996</v>
      </c>
    </row>
    <row r="310" spans="1:20" x14ac:dyDescent="0.55000000000000004">
      <c r="A310" t="s">
        <v>343</v>
      </c>
      <c r="B310" t="s">
        <v>17</v>
      </c>
      <c r="C310" t="s">
        <v>18</v>
      </c>
      <c r="D310" t="str">
        <f>"Br. "&amp;Data[[#This Row],[Branch]]&amp;" ("&amp;Data[[#This Row],[City]]&amp;")"</f>
        <v>Br. A (Yangon)</v>
      </c>
      <c r="E310" t="s">
        <v>19</v>
      </c>
      <c r="F310" t="s">
        <v>20</v>
      </c>
      <c r="G310" t="s">
        <v>27</v>
      </c>
      <c r="H310">
        <v>26.48</v>
      </c>
      <c r="I310">
        <v>3</v>
      </c>
      <c r="J310">
        <v>3.972</v>
      </c>
      <c r="K310">
        <v>79.44</v>
      </c>
      <c r="L310" s="1">
        <v>43881</v>
      </c>
      <c r="M310" s="7">
        <f>DAY(Data[[#This Row],[Date]])</f>
        <v>20</v>
      </c>
      <c r="N310" s="7">
        <f>MONTH(Data[[#This Row],[Date]])</f>
        <v>2</v>
      </c>
      <c r="O310" s="7">
        <f>YEAR(Data[[#This Row],[Date]])</f>
        <v>2020</v>
      </c>
      <c r="P310" s="2">
        <v>0.44444444444444442</v>
      </c>
      <c r="Q310" t="s">
        <v>22</v>
      </c>
      <c r="R310">
        <v>55.607999999999997</v>
      </c>
      <c r="S310">
        <v>19.86</v>
      </c>
      <c r="T310">
        <v>4.7</v>
      </c>
    </row>
    <row r="311" spans="1:20" x14ac:dyDescent="0.55000000000000004">
      <c r="A311" t="s">
        <v>344</v>
      </c>
      <c r="B311" t="s">
        <v>17</v>
      </c>
      <c r="C311" t="s">
        <v>18</v>
      </c>
      <c r="D311" t="str">
        <f>"Br. "&amp;Data[[#This Row],[Branch]]&amp;" ("&amp;Data[[#This Row],[City]]&amp;")"</f>
        <v>Br. A (Yangon)</v>
      </c>
      <c r="E311" t="s">
        <v>26</v>
      </c>
      <c r="F311" t="s">
        <v>20</v>
      </c>
      <c r="G311" t="s">
        <v>45</v>
      </c>
      <c r="H311">
        <v>81.91</v>
      </c>
      <c r="I311">
        <v>2</v>
      </c>
      <c r="J311">
        <v>8.1910000000000007</v>
      </c>
      <c r="K311">
        <v>163.82</v>
      </c>
      <c r="L311" s="1">
        <v>43881</v>
      </c>
      <c r="M311" s="7">
        <f>DAY(Data[[#This Row],[Date]])</f>
        <v>20</v>
      </c>
      <c r="N311" s="7">
        <f>MONTH(Data[[#This Row],[Date]])</f>
        <v>2</v>
      </c>
      <c r="O311" s="7">
        <f>YEAR(Data[[#This Row],[Date]])</f>
        <v>2020</v>
      </c>
      <c r="P311" s="2">
        <v>0.73819444444444449</v>
      </c>
      <c r="Q311" t="s">
        <v>28</v>
      </c>
      <c r="R311">
        <v>114.67400000000001</v>
      </c>
      <c r="S311">
        <v>40.954999999999998</v>
      </c>
      <c r="T311">
        <v>7.8</v>
      </c>
    </row>
    <row r="312" spans="1:20" x14ac:dyDescent="0.55000000000000004">
      <c r="A312" t="s">
        <v>345</v>
      </c>
      <c r="B312" t="s">
        <v>41</v>
      </c>
      <c r="C312" t="s">
        <v>42</v>
      </c>
      <c r="D312" t="str">
        <f>"Br. "&amp;Data[[#This Row],[Branch]]&amp;" ("&amp;Data[[#This Row],[City]]&amp;")"</f>
        <v>Br. B (Mandalay)</v>
      </c>
      <c r="E312" t="s">
        <v>19</v>
      </c>
      <c r="F312" t="s">
        <v>30</v>
      </c>
      <c r="G312" t="s">
        <v>35</v>
      </c>
      <c r="H312">
        <v>79.930000000000007</v>
      </c>
      <c r="I312">
        <v>6</v>
      </c>
      <c r="J312">
        <v>23.978999999999999</v>
      </c>
      <c r="K312">
        <v>479.58</v>
      </c>
      <c r="L312" s="1">
        <v>43881</v>
      </c>
      <c r="M312" s="7">
        <f>DAY(Data[[#This Row],[Date]])</f>
        <v>20</v>
      </c>
      <c r="N312" s="7">
        <f>MONTH(Data[[#This Row],[Date]])</f>
        <v>2</v>
      </c>
      <c r="O312" s="7">
        <f>YEAR(Data[[#This Row],[Date]])</f>
        <v>2020</v>
      </c>
      <c r="P312" s="2">
        <v>0.58611111111111114</v>
      </c>
      <c r="Q312" t="s">
        <v>28</v>
      </c>
      <c r="R312">
        <v>335.70600000000002</v>
      </c>
      <c r="S312">
        <v>119.895</v>
      </c>
      <c r="T312">
        <v>5.5</v>
      </c>
    </row>
    <row r="313" spans="1:20" x14ac:dyDescent="0.55000000000000004">
      <c r="A313" t="s">
        <v>346</v>
      </c>
      <c r="B313" t="s">
        <v>24</v>
      </c>
      <c r="C313" t="s">
        <v>25</v>
      </c>
      <c r="D313" t="str">
        <f>"Br. "&amp;Data[[#This Row],[Branch]]&amp;" ("&amp;Data[[#This Row],[City]]&amp;")"</f>
        <v>Br. C (Naypyitaw)</v>
      </c>
      <c r="E313" t="s">
        <v>19</v>
      </c>
      <c r="F313" t="s">
        <v>30</v>
      </c>
      <c r="G313" t="s">
        <v>45</v>
      </c>
      <c r="H313">
        <v>69.33</v>
      </c>
      <c r="I313">
        <v>2</v>
      </c>
      <c r="J313">
        <v>6.9329999999999998</v>
      </c>
      <c r="K313">
        <v>138.66</v>
      </c>
      <c r="L313" s="1">
        <v>43881</v>
      </c>
      <c r="M313" s="7">
        <f>DAY(Data[[#This Row],[Date]])</f>
        <v>20</v>
      </c>
      <c r="N313" s="7">
        <f>MONTH(Data[[#This Row],[Date]])</f>
        <v>2</v>
      </c>
      <c r="O313" s="7">
        <f>YEAR(Data[[#This Row],[Date]])</f>
        <v>2020</v>
      </c>
      <c r="P313" s="2">
        <v>0.79513888888888884</v>
      </c>
      <c r="Q313" t="s">
        <v>22</v>
      </c>
      <c r="R313">
        <v>97.061999999999998</v>
      </c>
      <c r="S313">
        <v>34.664999999999999</v>
      </c>
      <c r="T313">
        <v>9.6999999999999993</v>
      </c>
    </row>
    <row r="314" spans="1:20" x14ac:dyDescent="0.55000000000000004">
      <c r="A314" t="s">
        <v>347</v>
      </c>
      <c r="B314" t="s">
        <v>17</v>
      </c>
      <c r="C314" t="s">
        <v>18</v>
      </c>
      <c r="D314" t="str">
        <f>"Br. "&amp;Data[[#This Row],[Branch]]&amp;" ("&amp;Data[[#This Row],[City]]&amp;")"</f>
        <v>Br. A (Yangon)</v>
      </c>
      <c r="E314" t="s">
        <v>19</v>
      </c>
      <c r="F314" t="s">
        <v>20</v>
      </c>
      <c r="G314" t="s">
        <v>43</v>
      </c>
      <c r="H314">
        <v>14.23</v>
      </c>
      <c r="I314">
        <v>5</v>
      </c>
      <c r="J314">
        <v>3.5575000000000001</v>
      </c>
      <c r="K314">
        <v>71.150000000000006</v>
      </c>
      <c r="L314" s="1">
        <v>43881</v>
      </c>
      <c r="M314" s="7">
        <f>DAY(Data[[#This Row],[Date]])</f>
        <v>20</v>
      </c>
      <c r="N314" s="7">
        <f>MONTH(Data[[#This Row],[Date]])</f>
        <v>2</v>
      </c>
      <c r="O314" s="7">
        <f>YEAR(Data[[#This Row],[Date]])</f>
        <v>2020</v>
      </c>
      <c r="P314" s="2">
        <v>0.42222222222222222</v>
      </c>
      <c r="Q314" t="s">
        <v>32</v>
      </c>
      <c r="R314">
        <v>49.805</v>
      </c>
      <c r="S314">
        <v>17.787500000000001</v>
      </c>
      <c r="T314">
        <v>4.4000000000000004</v>
      </c>
    </row>
    <row r="315" spans="1:20" x14ac:dyDescent="0.55000000000000004">
      <c r="A315" t="s">
        <v>348</v>
      </c>
      <c r="B315" t="s">
        <v>17</v>
      </c>
      <c r="C315" t="s">
        <v>18</v>
      </c>
      <c r="D315" t="str">
        <f>"Br. "&amp;Data[[#This Row],[Branch]]&amp;" ("&amp;Data[[#This Row],[City]]&amp;")"</f>
        <v>Br. A (Yangon)</v>
      </c>
      <c r="E315" t="s">
        <v>19</v>
      </c>
      <c r="F315" t="s">
        <v>20</v>
      </c>
      <c r="G315" t="s">
        <v>21</v>
      </c>
      <c r="H315">
        <v>15.55</v>
      </c>
      <c r="I315">
        <v>9</v>
      </c>
      <c r="J315">
        <v>6.9974999999999996</v>
      </c>
      <c r="K315">
        <v>139.94999999999999</v>
      </c>
      <c r="L315" s="1">
        <v>43881</v>
      </c>
      <c r="M315" s="7">
        <f>DAY(Data[[#This Row],[Date]])</f>
        <v>20</v>
      </c>
      <c r="N315" s="7">
        <f>MONTH(Data[[#This Row],[Date]])</f>
        <v>2</v>
      </c>
      <c r="O315" s="7">
        <f>YEAR(Data[[#This Row],[Date]])</f>
        <v>2020</v>
      </c>
      <c r="P315" s="2">
        <v>0.55000000000000004</v>
      </c>
      <c r="Q315" t="s">
        <v>28</v>
      </c>
      <c r="R315">
        <v>97.965000000000003</v>
      </c>
      <c r="S315">
        <v>34.987499999999997</v>
      </c>
      <c r="T315">
        <v>5</v>
      </c>
    </row>
    <row r="316" spans="1:20" x14ac:dyDescent="0.55000000000000004">
      <c r="A316" t="s">
        <v>349</v>
      </c>
      <c r="B316" t="s">
        <v>24</v>
      </c>
      <c r="C316" t="s">
        <v>25</v>
      </c>
      <c r="D316" t="str">
        <f>"Br. "&amp;Data[[#This Row],[Branch]]&amp;" ("&amp;Data[[#This Row],[City]]&amp;")"</f>
        <v>Br. C (Naypyitaw)</v>
      </c>
      <c r="E316" t="s">
        <v>19</v>
      </c>
      <c r="F316" t="s">
        <v>20</v>
      </c>
      <c r="G316" t="s">
        <v>27</v>
      </c>
      <c r="H316">
        <v>78.13</v>
      </c>
      <c r="I316">
        <v>10</v>
      </c>
      <c r="J316">
        <v>39.064999999999998</v>
      </c>
      <c r="K316">
        <v>781.3</v>
      </c>
      <c r="L316" s="1">
        <v>43881</v>
      </c>
      <c r="M316" s="7">
        <f>DAY(Data[[#This Row],[Date]])</f>
        <v>20</v>
      </c>
      <c r="N316" s="7">
        <f>MONTH(Data[[#This Row],[Date]])</f>
        <v>2</v>
      </c>
      <c r="O316" s="7">
        <f>YEAR(Data[[#This Row],[Date]])</f>
        <v>2020</v>
      </c>
      <c r="P316" s="2">
        <v>0.86875000000000002</v>
      </c>
      <c r="Q316" t="s">
        <v>28</v>
      </c>
      <c r="R316">
        <v>546.91</v>
      </c>
      <c r="S316">
        <v>195.32499999999999</v>
      </c>
      <c r="T316">
        <v>4.4000000000000004</v>
      </c>
    </row>
    <row r="317" spans="1:20" x14ac:dyDescent="0.55000000000000004">
      <c r="A317" t="s">
        <v>350</v>
      </c>
      <c r="B317" t="s">
        <v>24</v>
      </c>
      <c r="C317" t="s">
        <v>25</v>
      </c>
      <c r="D317" t="str">
        <f>"Br. "&amp;Data[[#This Row],[Branch]]&amp;" ("&amp;Data[[#This Row],[City]]&amp;")"</f>
        <v>Br. C (Naypyitaw)</v>
      </c>
      <c r="E317" t="s">
        <v>19</v>
      </c>
      <c r="F317" t="s">
        <v>30</v>
      </c>
      <c r="G317" t="s">
        <v>43</v>
      </c>
      <c r="H317">
        <v>99.37</v>
      </c>
      <c r="I317">
        <v>2</v>
      </c>
      <c r="J317">
        <v>9.9369999999999994</v>
      </c>
      <c r="K317">
        <v>198.74</v>
      </c>
      <c r="L317" s="1">
        <v>43881</v>
      </c>
      <c r="M317" s="7">
        <f>DAY(Data[[#This Row],[Date]])</f>
        <v>20</v>
      </c>
      <c r="N317" s="7">
        <f>MONTH(Data[[#This Row],[Date]])</f>
        <v>2</v>
      </c>
      <c r="O317" s="7">
        <f>YEAR(Data[[#This Row],[Date]])</f>
        <v>2020</v>
      </c>
      <c r="P317" s="2">
        <v>0.72847222222222219</v>
      </c>
      <c r="Q317" t="s">
        <v>28</v>
      </c>
      <c r="R317">
        <v>139.11799999999999</v>
      </c>
      <c r="S317">
        <v>49.685000000000002</v>
      </c>
      <c r="T317">
        <v>5.2</v>
      </c>
    </row>
    <row r="318" spans="1:20" x14ac:dyDescent="0.55000000000000004">
      <c r="A318" t="s">
        <v>351</v>
      </c>
      <c r="B318" t="s">
        <v>24</v>
      </c>
      <c r="C318" t="s">
        <v>25</v>
      </c>
      <c r="D318" t="str">
        <f>"Br. "&amp;Data[[#This Row],[Branch]]&amp;" ("&amp;Data[[#This Row],[City]]&amp;")"</f>
        <v>Br. C (Naypyitaw)</v>
      </c>
      <c r="E318" t="s">
        <v>19</v>
      </c>
      <c r="F318" t="s">
        <v>20</v>
      </c>
      <c r="G318" t="s">
        <v>43</v>
      </c>
      <c r="H318">
        <v>21.08</v>
      </c>
      <c r="I318">
        <v>3</v>
      </c>
      <c r="J318">
        <v>3.1619999999999999</v>
      </c>
      <c r="K318">
        <v>63.24</v>
      </c>
      <c r="L318" s="1">
        <v>43881</v>
      </c>
      <c r="M318" s="7">
        <f>DAY(Data[[#This Row],[Date]])</f>
        <v>20</v>
      </c>
      <c r="N318" s="7">
        <f>MONTH(Data[[#This Row],[Date]])</f>
        <v>2</v>
      </c>
      <c r="O318" s="7">
        <f>YEAR(Data[[#This Row],[Date]])</f>
        <v>2020</v>
      </c>
      <c r="P318" s="2">
        <v>0.43402777777777779</v>
      </c>
      <c r="Q318" t="s">
        <v>28</v>
      </c>
      <c r="R318">
        <v>44.268000000000001</v>
      </c>
      <c r="S318">
        <v>15.81</v>
      </c>
      <c r="T318">
        <v>7.3</v>
      </c>
    </row>
    <row r="319" spans="1:20" x14ac:dyDescent="0.55000000000000004">
      <c r="A319" t="s">
        <v>352</v>
      </c>
      <c r="B319" t="s">
        <v>24</v>
      </c>
      <c r="C319" t="s">
        <v>25</v>
      </c>
      <c r="D319" t="str">
        <f>"Br. "&amp;Data[[#This Row],[Branch]]&amp;" ("&amp;Data[[#This Row],[City]]&amp;")"</f>
        <v>Br. C (Naypyitaw)</v>
      </c>
      <c r="E319" t="s">
        <v>19</v>
      </c>
      <c r="F319" t="s">
        <v>30</v>
      </c>
      <c r="G319" t="s">
        <v>27</v>
      </c>
      <c r="H319">
        <v>74.790000000000006</v>
      </c>
      <c r="I319">
        <v>5</v>
      </c>
      <c r="J319">
        <v>18.697500000000002</v>
      </c>
      <c r="K319">
        <v>373.95</v>
      </c>
      <c r="L319" s="1">
        <v>43881</v>
      </c>
      <c r="M319" s="7">
        <f>DAY(Data[[#This Row],[Date]])</f>
        <v>20</v>
      </c>
      <c r="N319" s="7">
        <f>MONTH(Data[[#This Row],[Date]])</f>
        <v>2</v>
      </c>
      <c r="O319" s="7">
        <f>YEAR(Data[[#This Row],[Date]])</f>
        <v>2020</v>
      </c>
      <c r="P319" s="2">
        <v>0.48194444444444445</v>
      </c>
      <c r="Q319" t="s">
        <v>28</v>
      </c>
      <c r="R319">
        <v>261.76499999999999</v>
      </c>
      <c r="S319">
        <v>93.487499999999997</v>
      </c>
      <c r="T319">
        <v>4.9000000000000004</v>
      </c>
    </row>
    <row r="320" spans="1:20" x14ac:dyDescent="0.55000000000000004">
      <c r="A320" t="s">
        <v>353</v>
      </c>
      <c r="B320" t="s">
        <v>24</v>
      </c>
      <c r="C320" t="s">
        <v>25</v>
      </c>
      <c r="D320" t="str">
        <f>"Br. "&amp;Data[[#This Row],[Branch]]&amp;" ("&amp;Data[[#This Row],[City]]&amp;")"</f>
        <v>Br. C (Naypyitaw)</v>
      </c>
      <c r="E320" t="s">
        <v>19</v>
      </c>
      <c r="F320" t="s">
        <v>20</v>
      </c>
      <c r="G320" t="s">
        <v>21</v>
      </c>
      <c r="H320">
        <v>29.67</v>
      </c>
      <c r="I320">
        <v>7</v>
      </c>
      <c r="J320">
        <v>10.384499999999999</v>
      </c>
      <c r="K320">
        <v>207.69</v>
      </c>
      <c r="L320" s="1">
        <v>43881</v>
      </c>
      <c r="M320" s="7">
        <f>DAY(Data[[#This Row],[Date]])</f>
        <v>20</v>
      </c>
      <c r="N320" s="7">
        <f>MONTH(Data[[#This Row],[Date]])</f>
        <v>2</v>
      </c>
      <c r="O320" s="7">
        <f>YEAR(Data[[#This Row],[Date]])</f>
        <v>2020</v>
      </c>
      <c r="P320" s="2">
        <v>0.79027777777777775</v>
      </c>
      <c r="Q320" t="s">
        <v>32</v>
      </c>
      <c r="R320">
        <v>145.38300000000001</v>
      </c>
      <c r="S320">
        <v>51.922499999999999</v>
      </c>
      <c r="T320">
        <v>8.1</v>
      </c>
    </row>
    <row r="321" spans="1:20" x14ac:dyDescent="0.55000000000000004">
      <c r="A321" t="s">
        <v>354</v>
      </c>
      <c r="B321" t="s">
        <v>24</v>
      </c>
      <c r="C321" t="s">
        <v>25</v>
      </c>
      <c r="D321" t="str">
        <f>"Br. "&amp;Data[[#This Row],[Branch]]&amp;" ("&amp;Data[[#This Row],[City]]&amp;")"</f>
        <v>Br. C (Naypyitaw)</v>
      </c>
      <c r="E321" t="s">
        <v>19</v>
      </c>
      <c r="F321" t="s">
        <v>30</v>
      </c>
      <c r="G321" t="s">
        <v>21</v>
      </c>
      <c r="H321">
        <v>44.07</v>
      </c>
      <c r="I321">
        <v>4</v>
      </c>
      <c r="J321">
        <v>8.8140000000000001</v>
      </c>
      <c r="K321">
        <v>176.28</v>
      </c>
      <c r="L321" s="1">
        <v>43881</v>
      </c>
      <c r="M321" s="7">
        <f>DAY(Data[[#This Row],[Date]])</f>
        <v>20</v>
      </c>
      <c r="N321" s="7">
        <f>MONTH(Data[[#This Row],[Date]])</f>
        <v>2</v>
      </c>
      <c r="O321" s="7">
        <f>YEAR(Data[[#This Row],[Date]])</f>
        <v>2020</v>
      </c>
      <c r="P321" s="2">
        <v>0.68611111111111112</v>
      </c>
      <c r="Q321" t="s">
        <v>22</v>
      </c>
      <c r="R321">
        <v>123.396</v>
      </c>
      <c r="S321">
        <v>44.07</v>
      </c>
      <c r="T321">
        <v>8.4</v>
      </c>
    </row>
    <row r="322" spans="1:20" x14ac:dyDescent="0.55000000000000004">
      <c r="A322" t="s">
        <v>355</v>
      </c>
      <c r="B322" t="s">
        <v>24</v>
      </c>
      <c r="C322" t="s">
        <v>25</v>
      </c>
      <c r="D322" t="str">
        <f>"Br. "&amp;Data[[#This Row],[Branch]]&amp;" ("&amp;Data[[#This Row],[City]]&amp;")"</f>
        <v>Br. C (Naypyitaw)</v>
      </c>
      <c r="E322" t="s">
        <v>26</v>
      </c>
      <c r="F322" t="s">
        <v>20</v>
      </c>
      <c r="G322" t="s">
        <v>43</v>
      </c>
      <c r="H322">
        <v>22.93</v>
      </c>
      <c r="I322">
        <v>9</v>
      </c>
      <c r="J322">
        <v>10.3185</v>
      </c>
      <c r="K322">
        <v>206.37</v>
      </c>
      <c r="L322" s="1">
        <v>43881</v>
      </c>
      <c r="M322" s="7">
        <f>DAY(Data[[#This Row],[Date]])</f>
        <v>20</v>
      </c>
      <c r="N322" s="7">
        <f>MONTH(Data[[#This Row],[Date]])</f>
        <v>2</v>
      </c>
      <c r="O322" s="7">
        <f>YEAR(Data[[#This Row],[Date]])</f>
        <v>2020</v>
      </c>
      <c r="P322" s="2">
        <v>0.85138888888888886</v>
      </c>
      <c r="Q322" t="s">
        <v>28</v>
      </c>
      <c r="R322">
        <v>144.459</v>
      </c>
      <c r="S322">
        <v>51.592500000000001</v>
      </c>
      <c r="T322">
        <v>5.5</v>
      </c>
    </row>
    <row r="323" spans="1:20" x14ac:dyDescent="0.55000000000000004">
      <c r="A323" t="s">
        <v>356</v>
      </c>
      <c r="B323" t="s">
        <v>24</v>
      </c>
      <c r="C323" t="s">
        <v>25</v>
      </c>
      <c r="D323" t="str">
        <f>"Br. "&amp;Data[[#This Row],[Branch]]&amp;" ("&amp;Data[[#This Row],[City]]&amp;")"</f>
        <v>Br. C (Naypyitaw)</v>
      </c>
      <c r="E323" t="s">
        <v>26</v>
      </c>
      <c r="F323" t="s">
        <v>20</v>
      </c>
      <c r="G323" t="s">
        <v>21</v>
      </c>
      <c r="H323">
        <v>39.42</v>
      </c>
      <c r="I323">
        <v>1</v>
      </c>
      <c r="J323">
        <v>1.9710000000000001</v>
      </c>
      <c r="K323">
        <v>39.42</v>
      </c>
      <c r="L323" s="1">
        <v>43881</v>
      </c>
      <c r="M323" s="7">
        <f>DAY(Data[[#This Row],[Date]])</f>
        <v>20</v>
      </c>
      <c r="N323" s="7">
        <f>MONTH(Data[[#This Row],[Date]])</f>
        <v>2</v>
      </c>
      <c r="O323" s="7">
        <f>YEAR(Data[[#This Row],[Date]])</f>
        <v>2020</v>
      </c>
      <c r="P323" s="2">
        <v>0.63055555555555554</v>
      </c>
      <c r="Q323" t="s">
        <v>28</v>
      </c>
      <c r="R323">
        <v>27.594000000000001</v>
      </c>
      <c r="S323">
        <v>9.8550000000000004</v>
      </c>
      <c r="T323">
        <v>8.4</v>
      </c>
    </row>
    <row r="324" spans="1:20" x14ac:dyDescent="0.55000000000000004">
      <c r="A324" t="s">
        <v>357</v>
      </c>
      <c r="B324" t="s">
        <v>17</v>
      </c>
      <c r="C324" t="s">
        <v>18</v>
      </c>
      <c r="D324" t="str">
        <f>"Br. "&amp;Data[[#This Row],[Branch]]&amp;" ("&amp;Data[[#This Row],[City]]&amp;")"</f>
        <v>Br. A (Yangon)</v>
      </c>
      <c r="E324" t="s">
        <v>26</v>
      </c>
      <c r="F324" t="s">
        <v>30</v>
      </c>
      <c r="G324" t="s">
        <v>21</v>
      </c>
      <c r="H324">
        <v>15.26</v>
      </c>
      <c r="I324">
        <v>6</v>
      </c>
      <c r="J324">
        <v>4.5780000000000003</v>
      </c>
      <c r="K324">
        <v>91.56</v>
      </c>
      <c r="L324" s="1">
        <v>43881</v>
      </c>
      <c r="M324" s="7">
        <f>DAY(Data[[#This Row],[Date]])</f>
        <v>20</v>
      </c>
      <c r="N324" s="7">
        <f>MONTH(Data[[#This Row],[Date]])</f>
        <v>2</v>
      </c>
      <c r="O324" s="7">
        <f>YEAR(Data[[#This Row],[Date]])</f>
        <v>2020</v>
      </c>
      <c r="P324" s="2">
        <v>0.75208333333333333</v>
      </c>
      <c r="Q324" t="s">
        <v>22</v>
      </c>
      <c r="R324">
        <v>64.091999999999999</v>
      </c>
      <c r="S324">
        <v>22.89</v>
      </c>
      <c r="T324">
        <v>9.8000000000000007</v>
      </c>
    </row>
    <row r="325" spans="1:20" x14ac:dyDescent="0.55000000000000004">
      <c r="A325" t="s">
        <v>358</v>
      </c>
      <c r="B325" t="s">
        <v>17</v>
      </c>
      <c r="C325" t="s">
        <v>18</v>
      </c>
      <c r="D325" t="str">
        <f>"Br. "&amp;Data[[#This Row],[Branch]]&amp;" ("&amp;Data[[#This Row],[City]]&amp;")"</f>
        <v>Br. A (Yangon)</v>
      </c>
      <c r="E325" t="s">
        <v>26</v>
      </c>
      <c r="F325" t="s">
        <v>20</v>
      </c>
      <c r="G325" t="s">
        <v>45</v>
      </c>
      <c r="H325">
        <v>61.77</v>
      </c>
      <c r="I325">
        <v>5</v>
      </c>
      <c r="J325">
        <v>15.442500000000001</v>
      </c>
      <c r="K325">
        <v>308.85000000000002</v>
      </c>
      <c r="L325" s="1">
        <v>44276</v>
      </c>
      <c r="M325" s="7">
        <f>DAY(Data[[#This Row],[Date]])</f>
        <v>21</v>
      </c>
      <c r="N325" s="7">
        <f>MONTH(Data[[#This Row],[Date]])</f>
        <v>3</v>
      </c>
      <c r="O325" s="7">
        <f>YEAR(Data[[#This Row],[Date]])</f>
        <v>2021</v>
      </c>
      <c r="P325" s="2">
        <v>0.55625000000000002</v>
      </c>
      <c r="Q325" t="s">
        <v>28</v>
      </c>
      <c r="R325">
        <v>216.19499999999999</v>
      </c>
      <c r="S325">
        <v>77.212500000000006</v>
      </c>
      <c r="T325">
        <v>6.7</v>
      </c>
    </row>
    <row r="326" spans="1:20" x14ac:dyDescent="0.55000000000000004">
      <c r="A326" t="s">
        <v>359</v>
      </c>
      <c r="B326" t="s">
        <v>17</v>
      </c>
      <c r="C326" t="s">
        <v>18</v>
      </c>
      <c r="D326" t="str">
        <f>"Br. "&amp;Data[[#This Row],[Branch]]&amp;" ("&amp;Data[[#This Row],[City]]&amp;")"</f>
        <v>Br. A (Yangon)</v>
      </c>
      <c r="E326" t="s">
        <v>26</v>
      </c>
      <c r="F326" t="s">
        <v>30</v>
      </c>
      <c r="G326" t="s">
        <v>31</v>
      </c>
      <c r="H326">
        <v>21.52</v>
      </c>
      <c r="I326">
        <v>6</v>
      </c>
      <c r="J326">
        <v>6.4560000000000004</v>
      </c>
      <c r="K326">
        <v>129.12</v>
      </c>
      <c r="L326" s="1">
        <v>44276</v>
      </c>
      <c r="M326" s="7">
        <f>DAY(Data[[#This Row],[Date]])</f>
        <v>21</v>
      </c>
      <c r="N326" s="7">
        <f>MONTH(Data[[#This Row],[Date]])</f>
        <v>3</v>
      </c>
      <c r="O326" s="7">
        <f>YEAR(Data[[#This Row],[Date]])</f>
        <v>2021</v>
      </c>
      <c r="P326" s="2">
        <v>0.53333333333333333</v>
      </c>
      <c r="Q326" t="s">
        <v>32</v>
      </c>
      <c r="R326">
        <v>90.384</v>
      </c>
      <c r="S326">
        <v>32.28</v>
      </c>
      <c r="T326">
        <v>9.4</v>
      </c>
    </row>
    <row r="327" spans="1:20" x14ac:dyDescent="0.55000000000000004">
      <c r="A327" t="s">
        <v>360</v>
      </c>
      <c r="B327" t="s">
        <v>41</v>
      </c>
      <c r="C327" t="s">
        <v>42</v>
      </c>
      <c r="D327" t="str">
        <f>"Br. "&amp;Data[[#This Row],[Branch]]&amp;" ("&amp;Data[[#This Row],[City]]&amp;")"</f>
        <v>Br. B (Mandalay)</v>
      </c>
      <c r="E327" t="s">
        <v>26</v>
      </c>
      <c r="F327" t="s">
        <v>30</v>
      </c>
      <c r="G327" t="s">
        <v>35</v>
      </c>
      <c r="H327">
        <v>97.74</v>
      </c>
      <c r="I327">
        <v>4</v>
      </c>
      <c r="J327">
        <v>19.547999999999998</v>
      </c>
      <c r="K327">
        <v>390.96</v>
      </c>
      <c r="L327" s="1">
        <v>44276</v>
      </c>
      <c r="M327" s="7">
        <f>DAY(Data[[#This Row],[Date]])</f>
        <v>21</v>
      </c>
      <c r="N327" s="7">
        <f>MONTH(Data[[#This Row],[Date]])</f>
        <v>3</v>
      </c>
      <c r="O327" s="7">
        <f>YEAR(Data[[#This Row],[Date]])</f>
        <v>2021</v>
      </c>
      <c r="P327" s="2">
        <v>0.82847222222222228</v>
      </c>
      <c r="Q327" t="s">
        <v>22</v>
      </c>
      <c r="R327">
        <v>273.67200000000003</v>
      </c>
      <c r="S327">
        <v>97.74</v>
      </c>
      <c r="T327">
        <v>6.4</v>
      </c>
    </row>
    <row r="328" spans="1:20" x14ac:dyDescent="0.55000000000000004">
      <c r="A328" t="s">
        <v>361</v>
      </c>
      <c r="B328" t="s">
        <v>17</v>
      </c>
      <c r="C328" t="s">
        <v>18</v>
      </c>
      <c r="D328" t="str">
        <f>"Br. "&amp;Data[[#This Row],[Branch]]&amp;" ("&amp;Data[[#This Row],[City]]&amp;")"</f>
        <v>Br. A (Yangon)</v>
      </c>
      <c r="E328" t="s">
        <v>19</v>
      </c>
      <c r="F328" t="s">
        <v>30</v>
      </c>
      <c r="G328" t="s">
        <v>43</v>
      </c>
      <c r="H328">
        <v>99.78</v>
      </c>
      <c r="I328">
        <v>5</v>
      </c>
      <c r="J328">
        <v>24.945</v>
      </c>
      <c r="K328">
        <v>498.9</v>
      </c>
      <c r="L328" s="1">
        <v>44276</v>
      </c>
      <c r="M328" s="7">
        <f>DAY(Data[[#This Row],[Date]])</f>
        <v>21</v>
      </c>
      <c r="N328" s="7">
        <f>MONTH(Data[[#This Row],[Date]])</f>
        <v>3</v>
      </c>
      <c r="O328" s="7">
        <f>YEAR(Data[[#This Row],[Date]])</f>
        <v>2021</v>
      </c>
      <c r="P328" s="2">
        <v>0.79791666666666672</v>
      </c>
      <c r="Q328" t="s">
        <v>28</v>
      </c>
      <c r="R328">
        <v>349.23</v>
      </c>
      <c r="S328">
        <v>124.72499999999999</v>
      </c>
      <c r="T328">
        <v>5.4</v>
      </c>
    </row>
    <row r="329" spans="1:20" x14ac:dyDescent="0.55000000000000004">
      <c r="A329" t="s">
        <v>362</v>
      </c>
      <c r="B329" t="s">
        <v>24</v>
      </c>
      <c r="C329" t="s">
        <v>25</v>
      </c>
      <c r="D329" t="str">
        <f>"Br. "&amp;Data[[#This Row],[Branch]]&amp;" ("&amp;Data[[#This Row],[City]]&amp;")"</f>
        <v>Br. C (Naypyitaw)</v>
      </c>
      <c r="E329" t="s">
        <v>19</v>
      </c>
      <c r="F329" t="s">
        <v>30</v>
      </c>
      <c r="G329" t="s">
        <v>43</v>
      </c>
      <c r="H329">
        <v>94.26</v>
      </c>
      <c r="I329">
        <v>4</v>
      </c>
      <c r="J329">
        <v>18.852</v>
      </c>
      <c r="K329">
        <v>377.04</v>
      </c>
      <c r="L329" s="1">
        <v>44276</v>
      </c>
      <c r="M329" s="7">
        <f>DAY(Data[[#This Row],[Date]])</f>
        <v>21</v>
      </c>
      <c r="N329" s="7">
        <f>MONTH(Data[[#This Row],[Date]])</f>
        <v>3</v>
      </c>
      <c r="O329" s="7">
        <f>YEAR(Data[[#This Row],[Date]])</f>
        <v>2021</v>
      </c>
      <c r="P329" s="2">
        <v>0.6875</v>
      </c>
      <c r="Q329" t="s">
        <v>28</v>
      </c>
      <c r="R329">
        <v>263.928</v>
      </c>
      <c r="S329">
        <v>94.26</v>
      </c>
      <c r="T329">
        <v>8.6</v>
      </c>
    </row>
    <row r="330" spans="1:20" x14ac:dyDescent="0.55000000000000004">
      <c r="A330" t="s">
        <v>363</v>
      </c>
      <c r="B330" t="s">
        <v>41</v>
      </c>
      <c r="C330" t="s">
        <v>42</v>
      </c>
      <c r="D330" t="str">
        <f>"Br. "&amp;Data[[#This Row],[Branch]]&amp;" ("&amp;Data[[#This Row],[City]]&amp;")"</f>
        <v>Br. B (Mandalay)</v>
      </c>
      <c r="E330" t="s">
        <v>19</v>
      </c>
      <c r="F330" t="s">
        <v>30</v>
      </c>
      <c r="G330" t="s">
        <v>21</v>
      </c>
      <c r="H330">
        <v>51.13</v>
      </c>
      <c r="I330">
        <v>4</v>
      </c>
      <c r="J330">
        <v>10.226000000000001</v>
      </c>
      <c r="K330">
        <v>204.52</v>
      </c>
      <c r="L330" s="1">
        <v>44276</v>
      </c>
      <c r="M330" s="7">
        <f>DAY(Data[[#This Row],[Date]])</f>
        <v>21</v>
      </c>
      <c r="N330" s="7">
        <f>MONTH(Data[[#This Row],[Date]])</f>
        <v>3</v>
      </c>
      <c r="O330" s="7">
        <f>YEAR(Data[[#This Row],[Date]])</f>
        <v>2021</v>
      </c>
      <c r="P330" s="2">
        <v>0.42430555555555555</v>
      </c>
      <c r="Q330" t="s">
        <v>32</v>
      </c>
      <c r="R330">
        <v>143.16399999999999</v>
      </c>
      <c r="S330">
        <v>51.13</v>
      </c>
      <c r="T330">
        <v>4</v>
      </c>
    </row>
    <row r="331" spans="1:20" x14ac:dyDescent="0.55000000000000004">
      <c r="A331" t="s">
        <v>364</v>
      </c>
      <c r="B331" t="s">
        <v>17</v>
      </c>
      <c r="C331" t="s">
        <v>18</v>
      </c>
      <c r="D331" t="str">
        <f>"Br. "&amp;Data[[#This Row],[Branch]]&amp;" ("&amp;Data[[#This Row],[City]]&amp;")"</f>
        <v>Br. A (Yangon)</v>
      </c>
      <c r="E331" t="s">
        <v>19</v>
      </c>
      <c r="F331" t="s">
        <v>30</v>
      </c>
      <c r="G331" t="s">
        <v>27</v>
      </c>
      <c r="H331">
        <v>36.36</v>
      </c>
      <c r="I331">
        <v>4</v>
      </c>
      <c r="J331">
        <v>7.2720000000000002</v>
      </c>
      <c r="K331">
        <v>145.44</v>
      </c>
      <c r="L331" s="1">
        <v>44276</v>
      </c>
      <c r="M331" s="7">
        <f>DAY(Data[[#This Row],[Date]])</f>
        <v>21</v>
      </c>
      <c r="N331" s="7">
        <f>MONTH(Data[[#This Row],[Date]])</f>
        <v>3</v>
      </c>
      <c r="O331" s="7">
        <f>YEAR(Data[[#This Row],[Date]])</f>
        <v>2021</v>
      </c>
      <c r="P331" s="2">
        <v>0.54652777777777772</v>
      </c>
      <c r="Q331" t="s">
        <v>28</v>
      </c>
      <c r="R331">
        <v>101.80800000000001</v>
      </c>
      <c r="S331">
        <v>36.36</v>
      </c>
      <c r="T331">
        <v>7.6</v>
      </c>
    </row>
    <row r="332" spans="1:20" x14ac:dyDescent="0.55000000000000004">
      <c r="A332" t="s">
        <v>365</v>
      </c>
      <c r="B332" t="s">
        <v>41</v>
      </c>
      <c r="C332" t="s">
        <v>42</v>
      </c>
      <c r="D332" t="str">
        <f>"Br. "&amp;Data[[#This Row],[Branch]]&amp;" ("&amp;Data[[#This Row],[City]]&amp;")"</f>
        <v>Br. B (Mandalay)</v>
      </c>
      <c r="E332" t="s">
        <v>26</v>
      </c>
      <c r="F332" t="s">
        <v>30</v>
      </c>
      <c r="G332" t="s">
        <v>31</v>
      </c>
      <c r="H332">
        <v>22.02</v>
      </c>
      <c r="I332">
        <v>9</v>
      </c>
      <c r="J332">
        <v>9.9090000000000007</v>
      </c>
      <c r="K332">
        <v>198.18</v>
      </c>
      <c r="L332" s="1">
        <v>44276</v>
      </c>
      <c r="M332" s="7">
        <f>DAY(Data[[#This Row],[Date]])</f>
        <v>21</v>
      </c>
      <c r="N332" s="7">
        <f>MONTH(Data[[#This Row],[Date]])</f>
        <v>3</v>
      </c>
      <c r="O332" s="7">
        <f>YEAR(Data[[#This Row],[Date]])</f>
        <v>2021</v>
      </c>
      <c r="P332" s="2">
        <v>0.78333333333333333</v>
      </c>
      <c r="Q332" t="s">
        <v>28</v>
      </c>
      <c r="R332">
        <v>138.726</v>
      </c>
      <c r="S332">
        <v>49.545000000000002</v>
      </c>
      <c r="T332">
        <v>6.8</v>
      </c>
    </row>
    <row r="333" spans="1:20" x14ac:dyDescent="0.55000000000000004">
      <c r="A333" t="s">
        <v>366</v>
      </c>
      <c r="B333" t="s">
        <v>17</v>
      </c>
      <c r="C333" t="s">
        <v>18</v>
      </c>
      <c r="D333" t="str">
        <f>"Br. "&amp;Data[[#This Row],[Branch]]&amp;" ("&amp;Data[[#This Row],[City]]&amp;")"</f>
        <v>Br. A (Yangon)</v>
      </c>
      <c r="E333" t="s">
        <v>26</v>
      </c>
      <c r="F333" t="s">
        <v>30</v>
      </c>
      <c r="G333" t="s">
        <v>43</v>
      </c>
      <c r="H333">
        <v>32.9</v>
      </c>
      <c r="I333">
        <v>3</v>
      </c>
      <c r="J333">
        <v>4.9349999999999996</v>
      </c>
      <c r="K333">
        <v>98.7</v>
      </c>
      <c r="L333" s="1">
        <v>44276</v>
      </c>
      <c r="M333" s="7">
        <f>DAY(Data[[#This Row],[Date]])</f>
        <v>21</v>
      </c>
      <c r="N333" s="7">
        <f>MONTH(Data[[#This Row],[Date]])</f>
        <v>3</v>
      </c>
      <c r="O333" s="7">
        <f>YEAR(Data[[#This Row],[Date]])</f>
        <v>2021</v>
      </c>
      <c r="P333" s="2">
        <v>0.7270833333333333</v>
      </c>
      <c r="Q333" t="s">
        <v>32</v>
      </c>
      <c r="R333">
        <v>69.09</v>
      </c>
      <c r="S333">
        <v>24.675000000000001</v>
      </c>
      <c r="T333">
        <v>9.1</v>
      </c>
    </row>
    <row r="334" spans="1:20" x14ac:dyDescent="0.55000000000000004">
      <c r="A334" t="s">
        <v>367</v>
      </c>
      <c r="B334" t="s">
        <v>17</v>
      </c>
      <c r="C334" t="s">
        <v>18</v>
      </c>
      <c r="D334" t="str">
        <f>"Br. "&amp;Data[[#This Row],[Branch]]&amp;" ("&amp;Data[[#This Row],[City]]&amp;")"</f>
        <v>Br. A (Yangon)</v>
      </c>
      <c r="E334" t="s">
        <v>26</v>
      </c>
      <c r="F334" t="s">
        <v>30</v>
      </c>
      <c r="G334" t="s">
        <v>45</v>
      </c>
      <c r="H334">
        <v>77.02</v>
      </c>
      <c r="I334">
        <v>5</v>
      </c>
      <c r="J334">
        <v>19.254999999999999</v>
      </c>
      <c r="K334">
        <v>385.1</v>
      </c>
      <c r="L334" s="1">
        <v>44276</v>
      </c>
      <c r="M334" s="7">
        <f>DAY(Data[[#This Row],[Date]])</f>
        <v>21</v>
      </c>
      <c r="N334" s="7">
        <f>MONTH(Data[[#This Row],[Date]])</f>
        <v>3</v>
      </c>
      <c r="O334" s="7">
        <f>YEAR(Data[[#This Row],[Date]])</f>
        <v>2021</v>
      </c>
      <c r="P334" s="2">
        <v>0.66597222222222219</v>
      </c>
      <c r="Q334" t="s">
        <v>28</v>
      </c>
      <c r="R334">
        <v>269.57</v>
      </c>
      <c r="S334">
        <v>96.275000000000006</v>
      </c>
      <c r="T334">
        <v>5.5</v>
      </c>
    </row>
    <row r="335" spans="1:20" x14ac:dyDescent="0.55000000000000004">
      <c r="A335" t="s">
        <v>368</v>
      </c>
      <c r="B335" t="s">
        <v>17</v>
      </c>
      <c r="C335" t="s">
        <v>18</v>
      </c>
      <c r="D335" t="str">
        <f>"Br. "&amp;Data[[#This Row],[Branch]]&amp;" ("&amp;Data[[#This Row],[City]]&amp;")"</f>
        <v>Br. A (Yangon)</v>
      </c>
      <c r="E335" t="s">
        <v>19</v>
      </c>
      <c r="F335" t="s">
        <v>30</v>
      </c>
      <c r="G335" t="s">
        <v>43</v>
      </c>
      <c r="H335">
        <v>23.48</v>
      </c>
      <c r="I335">
        <v>2</v>
      </c>
      <c r="J335">
        <v>2.3479999999999999</v>
      </c>
      <c r="K335">
        <v>46.96</v>
      </c>
      <c r="L335" s="1">
        <v>44276</v>
      </c>
      <c r="M335" s="7">
        <f>DAY(Data[[#This Row],[Date]])</f>
        <v>21</v>
      </c>
      <c r="N335" s="7">
        <f>MONTH(Data[[#This Row],[Date]])</f>
        <v>3</v>
      </c>
      <c r="O335" s="7">
        <f>YEAR(Data[[#This Row],[Date]])</f>
        <v>2021</v>
      </c>
      <c r="P335" s="2">
        <v>0.47291666666666665</v>
      </c>
      <c r="Q335" t="s">
        <v>32</v>
      </c>
      <c r="R335">
        <v>32.872</v>
      </c>
      <c r="S335">
        <v>11.74</v>
      </c>
      <c r="T335">
        <v>7.9</v>
      </c>
    </row>
    <row r="336" spans="1:20" x14ac:dyDescent="0.55000000000000004">
      <c r="A336" t="s">
        <v>369</v>
      </c>
      <c r="B336" t="s">
        <v>24</v>
      </c>
      <c r="C336" t="s">
        <v>25</v>
      </c>
      <c r="D336" t="str">
        <f>"Br. "&amp;Data[[#This Row],[Branch]]&amp;" ("&amp;Data[[#This Row],[City]]&amp;")"</f>
        <v>Br. C (Naypyitaw)</v>
      </c>
      <c r="E336" t="s">
        <v>19</v>
      </c>
      <c r="F336" t="s">
        <v>30</v>
      </c>
      <c r="G336" t="s">
        <v>35</v>
      </c>
      <c r="H336">
        <v>14.7</v>
      </c>
      <c r="I336">
        <v>5</v>
      </c>
      <c r="J336">
        <v>3.6749999999999998</v>
      </c>
      <c r="K336">
        <v>73.5</v>
      </c>
      <c r="L336" s="1">
        <v>44276</v>
      </c>
      <c r="M336" s="7">
        <f>DAY(Data[[#This Row],[Date]])</f>
        <v>21</v>
      </c>
      <c r="N336" s="7">
        <f>MONTH(Data[[#This Row],[Date]])</f>
        <v>3</v>
      </c>
      <c r="O336" s="7">
        <f>YEAR(Data[[#This Row],[Date]])</f>
        <v>2021</v>
      </c>
      <c r="P336" s="2">
        <v>0.57499999999999996</v>
      </c>
      <c r="Q336" t="s">
        <v>22</v>
      </c>
      <c r="R336">
        <v>51.45</v>
      </c>
      <c r="S336">
        <v>18.375</v>
      </c>
      <c r="T336">
        <v>8.5</v>
      </c>
    </row>
    <row r="337" spans="1:20" x14ac:dyDescent="0.55000000000000004">
      <c r="A337" t="s">
        <v>370</v>
      </c>
      <c r="B337" t="s">
        <v>17</v>
      </c>
      <c r="C337" t="s">
        <v>18</v>
      </c>
      <c r="D337" t="str">
        <f>"Br. "&amp;Data[[#This Row],[Branch]]&amp;" ("&amp;Data[[#This Row],[City]]&amp;")"</f>
        <v>Br. A (Yangon)</v>
      </c>
      <c r="E337" t="s">
        <v>19</v>
      </c>
      <c r="F337" t="s">
        <v>20</v>
      </c>
      <c r="G337" t="s">
        <v>27</v>
      </c>
      <c r="H337">
        <v>28.45</v>
      </c>
      <c r="I337">
        <v>5</v>
      </c>
      <c r="J337">
        <v>7.1124999999999998</v>
      </c>
      <c r="K337">
        <v>142.25</v>
      </c>
      <c r="L337" s="1">
        <v>44276</v>
      </c>
      <c r="M337" s="7">
        <f>DAY(Data[[#This Row],[Date]])</f>
        <v>21</v>
      </c>
      <c r="N337" s="7">
        <f>MONTH(Data[[#This Row],[Date]])</f>
        <v>3</v>
      </c>
      <c r="O337" s="7">
        <f>YEAR(Data[[#This Row],[Date]])</f>
        <v>2021</v>
      </c>
      <c r="P337" s="2">
        <v>0.4284722222222222</v>
      </c>
      <c r="Q337" t="s">
        <v>32</v>
      </c>
      <c r="R337">
        <v>99.575000000000003</v>
      </c>
      <c r="S337">
        <v>35.5625</v>
      </c>
      <c r="T337">
        <v>9.1</v>
      </c>
    </row>
    <row r="338" spans="1:20" x14ac:dyDescent="0.55000000000000004">
      <c r="A338" t="s">
        <v>371</v>
      </c>
      <c r="B338" t="s">
        <v>17</v>
      </c>
      <c r="C338" t="s">
        <v>18</v>
      </c>
      <c r="D338" t="str">
        <f>"Br. "&amp;Data[[#This Row],[Branch]]&amp;" ("&amp;Data[[#This Row],[City]]&amp;")"</f>
        <v>Br. A (Yangon)</v>
      </c>
      <c r="E338" t="s">
        <v>26</v>
      </c>
      <c r="F338" t="s">
        <v>30</v>
      </c>
      <c r="G338" t="s">
        <v>45</v>
      </c>
      <c r="H338">
        <v>76.400000000000006</v>
      </c>
      <c r="I338">
        <v>9</v>
      </c>
      <c r="J338">
        <v>34.380000000000003</v>
      </c>
      <c r="K338">
        <v>687.6</v>
      </c>
      <c r="L338" s="1">
        <v>44276</v>
      </c>
      <c r="M338" s="7">
        <f>DAY(Data[[#This Row],[Date]])</f>
        <v>21</v>
      </c>
      <c r="N338" s="7">
        <f>MONTH(Data[[#This Row],[Date]])</f>
        <v>3</v>
      </c>
      <c r="O338" s="7">
        <f>YEAR(Data[[#This Row],[Date]])</f>
        <v>2021</v>
      </c>
      <c r="P338" s="2">
        <v>0.65902777777777777</v>
      </c>
      <c r="Q338" t="s">
        <v>22</v>
      </c>
      <c r="R338">
        <v>481.32</v>
      </c>
      <c r="S338">
        <v>171.9</v>
      </c>
      <c r="T338">
        <v>7.5</v>
      </c>
    </row>
    <row r="339" spans="1:20" x14ac:dyDescent="0.55000000000000004">
      <c r="A339" t="s">
        <v>372</v>
      </c>
      <c r="B339" t="s">
        <v>41</v>
      </c>
      <c r="C339" t="s">
        <v>42</v>
      </c>
      <c r="D339" t="str">
        <f>"Br. "&amp;Data[[#This Row],[Branch]]&amp;" ("&amp;Data[[#This Row],[City]]&amp;")"</f>
        <v>Br. B (Mandalay)</v>
      </c>
      <c r="E339" t="s">
        <v>26</v>
      </c>
      <c r="F339" t="s">
        <v>20</v>
      </c>
      <c r="G339" t="s">
        <v>35</v>
      </c>
      <c r="H339">
        <v>57.95</v>
      </c>
      <c r="I339">
        <v>6</v>
      </c>
      <c r="J339">
        <v>17.385000000000002</v>
      </c>
      <c r="K339">
        <v>347.7</v>
      </c>
      <c r="L339" s="1">
        <v>44276</v>
      </c>
      <c r="M339" s="7">
        <f>DAY(Data[[#This Row],[Date]])</f>
        <v>21</v>
      </c>
      <c r="N339" s="7">
        <f>MONTH(Data[[#This Row],[Date]])</f>
        <v>3</v>
      </c>
      <c r="O339" s="7">
        <f>YEAR(Data[[#This Row],[Date]])</f>
        <v>2021</v>
      </c>
      <c r="P339" s="2">
        <v>0.54305555555555551</v>
      </c>
      <c r="Q339" t="s">
        <v>28</v>
      </c>
      <c r="R339">
        <v>243.39</v>
      </c>
      <c r="S339">
        <v>86.924999999999997</v>
      </c>
      <c r="T339">
        <v>5.2</v>
      </c>
    </row>
    <row r="340" spans="1:20" x14ac:dyDescent="0.55000000000000004">
      <c r="A340" t="s">
        <v>373</v>
      </c>
      <c r="B340" t="s">
        <v>24</v>
      </c>
      <c r="C340" t="s">
        <v>25</v>
      </c>
      <c r="D340" t="str">
        <f>"Br. "&amp;Data[[#This Row],[Branch]]&amp;" ("&amp;Data[[#This Row],[City]]&amp;")"</f>
        <v>Br. C (Naypyitaw)</v>
      </c>
      <c r="E340" t="s">
        <v>26</v>
      </c>
      <c r="F340" t="s">
        <v>20</v>
      </c>
      <c r="G340" t="s">
        <v>27</v>
      </c>
      <c r="H340">
        <v>47.65</v>
      </c>
      <c r="I340">
        <v>3</v>
      </c>
      <c r="J340">
        <v>7.1475</v>
      </c>
      <c r="K340">
        <v>142.94999999999999</v>
      </c>
      <c r="L340" s="1">
        <v>44276</v>
      </c>
      <c r="M340" s="7">
        <f>DAY(Data[[#This Row],[Date]])</f>
        <v>21</v>
      </c>
      <c r="N340" s="7">
        <f>MONTH(Data[[#This Row],[Date]])</f>
        <v>3</v>
      </c>
      <c r="O340" s="7">
        <f>YEAR(Data[[#This Row],[Date]])</f>
        <v>2021</v>
      </c>
      <c r="P340" s="2">
        <v>0.54027777777777775</v>
      </c>
      <c r="Q340" t="s">
        <v>32</v>
      </c>
      <c r="R340">
        <v>100.065</v>
      </c>
      <c r="S340">
        <v>35.737499999999997</v>
      </c>
      <c r="T340">
        <v>9.5</v>
      </c>
    </row>
    <row r="341" spans="1:20" x14ac:dyDescent="0.55000000000000004">
      <c r="A341" t="s">
        <v>374</v>
      </c>
      <c r="B341" t="s">
        <v>41</v>
      </c>
      <c r="C341" t="s">
        <v>42</v>
      </c>
      <c r="D341" t="str">
        <f>"Br. "&amp;Data[[#This Row],[Branch]]&amp;" ("&amp;Data[[#This Row],[City]]&amp;")"</f>
        <v>Br. B (Mandalay)</v>
      </c>
      <c r="E341" t="s">
        <v>19</v>
      </c>
      <c r="F341" t="s">
        <v>20</v>
      </c>
      <c r="G341" t="s">
        <v>43</v>
      </c>
      <c r="H341">
        <v>42.82</v>
      </c>
      <c r="I341">
        <v>9</v>
      </c>
      <c r="J341">
        <v>19.268999999999998</v>
      </c>
      <c r="K341">
        <v>385.38</v>
      </c>
      <c r="L341" s="1">
        <v>44276</v>
      </c>
      <c r="M341" s="7">
        <f>DAY(Data[[#This Row],[Date]])</f>
        <v>21</v>
      </c>
      <c r="N341" s="7">
        <f>MONTH(Data[[#This Row],[Date]])</f>
        <v>3</v>
      </c>
      <c r="O341" s="7">
        <f>YEAR(Data[[#This Row],[Date]])</f>
        <v>2021</v>
      </c>
      <c r="P341" s="2">
        <v>0.6430555555555556</v>
      </c>
      <c r="Q341" t="s">
        <v>32</v>
      </c>
      <c r="R341">
        <v>269.76600000000002</v>
      </c>
      <c r="S341">
        <v>96.344999999999999</v>
      </c>
      <c r="T341">
        <v>8.9</v>
      </c>
    </row>
    <row r="342" spans="1:20" x14ac:dyDescent="0.55000000000000004">
      <c r="A342" t="s">
        <v>375</v>
      </c>
      <c r="B342" t="s">
        <v>41</v>
      </c>
      <c r="C342" t="s">
        <v>42</v>
      </c>
      <c r="D342" t="str">
        <f>"Br. "&amp;Data[[#This Row],[Branch]]&amp;" ("&amp;Data[[#This Row],[City]]&amp;")"</f>
        <v>Br. B (Mandalay)</v>
      </c>
      <c r="E342" t="s">
        <v>19</v>
      </c>
      <c r="F342" t="s">
        <v>30</v>
      </c>
      <c r="G342" t="s">
        <v>27</v>
      </c>
      <c r="H342">
        <v>48.09</v>
      </c>
      <c r="I342">
        <v>3</v>
      </c>
      <c r="J342">
        <v>7.2134999999999998</v>
      </c>
      <c r="K342">
        <v>144.27000000000001</v>
      </c>
      <c r="L342" s="1">
        <v>44276</v>
      </c>
      <c r="M342" s="7">
        <f>DAY(Data[[#This Row],[Date]])</f>
        <v>21</v>
      </c>
      <c r="N342" s="7">
        <f>MONTH(Data[[#This Row],[Date]])</f>
        <v>3</v>
      </c>
      <c r="O342" s="7">
        <f>YEAR(Data[[#This Row],[Date]])</f>
        <v>2021</v>
      </c>
      <c r="P342" s="2">
        <v>0.76597222222222228</v>
      </c>
      <c r="Q342" t="s">
        <v>32</v>
      </c>
      <c r="R342">
        <v>100.989</v>
      </c>
      <c r="S342">
        <v>36.067500000000003</v>
      </c>
      <c r="T342">
        <v>7.8</v>
      </c>
    </row>
    <row r="343" spans="1:20" x14ac:dyDescent="0.55000000000000004">
      <c r="A343" t="s">
        <v>376</v>
      </c>
      <c r="B343" t="s">
        <v>41</v>
      </c>
      <c r="C343" t="s">
        <v>42</v>
      </c>
      <c r="D343" t="str">
        <f>"Br. "&amp;Data[[#This Row],[Branch]]&amp;" ("&amp;Data[[#This Row],[City]]&amp;")"</f>
        <v>Br. B (Mandalay)</v>
      </c>
      <c r="E343" t="s">
        <v>19</v>
      </c>
      <c r="F343" t="s">
        <v>20</v>
      </c>
      <c r="G343" t="s">
        <v>21</v>
      </c>
      <c r="H343">
        <v>55.97</v>
      </c>
      <c r="I343">
        <v>7</v>
      </c>
      <c r="J343">
        <v>19.589500000000001</v>
      </c>
      <c r="K343">
        <v>391.79</v>
      </c>
      <c r="L343" s="1">
        <v>44276</v>
      </c>
      <c r="M343" s="7">
        <f>DAY(Data[[#This Row],[Date]])</f>
        <v>21</v>
      </c>
      <c r="N343" s="7">
        <f>MONTH(Data[[#This Row],[Date]])</f>
        <v>3</v>
      </c>
      <c r="O343" s="7">
        <f>YEAR(Data[[#This Row],[Date]])</f>
        <v>2021</v>
      </c>
      <c r="P343" s="2">
        <v>0.79583333333333328</v>
      </c>
      <c r="Q343" t="s">
        <v>22</v>
      </c>
      <c r="R343">
        <v>274.25299999999999</v>
      </c>
      <c r="S343">
        <v>97.947500000000005</v>
      </c>
      <c r="T343">
        <v>8.9</v>
      </c>
    </row>
    <row r="344" spans="1:20" x14ac:dyDescent="0.55000000000000004">
      <c r="A344" t="s">
        <v>377</v>
      </c>
      <c r="B344" t="s">
        <v>41</v>
      </c>
      <c r="C344" t="s">
        <v>42</v>
      </c>
      <c r="D344" t="str">
        <f>"Br. "&amp;Data[[#This Row],[Branch]]&amp;" ("&amp;Data[[#This Row],[City]]&amp;")"</f>
        <v>Br. B (Mandalay)</v>
      </c>
      <c r="E344" t="s">
        <v>19</v>
      </c>
      <c r="F344" t="s">
        <v>20</v>
      </c>
      <c r="G344" t="s">
        <v>21</v>
      </c>
      <c r="H344">
        <v>76.900000000000006</v>
      </c>
      <c r="I344">
        <v>7</v>
      </c>
      <c r="J344">
        <v>26.914999999999999</v>
      </c>
      <c r="K344">
        <v>538.29999999999995</v>
      </c>
      <c r="L344" s="1">
        <v>44276</v>
      </c>
      <c r="M344" s="7">
        <f>DAY(Data[[#This Row],[Date]])</f>
        <v>21</v>
      </c>
      <c r="N344" s="7">
        <f>MONTH(Data[[#This Row],[Date]])</f>
        <v>3</v>
      </c>
      <c r="O344" s="7">
        <f>YEAR(Data[[#This Row],[Date]])</f>
        <v>2021</v>
      </c>
      <c r="P344" s="2">
        <v>0.84791666666666665</v>
      </c>
      <c r="Q344" t="s">
        <v>28</v>
      </c>
      <c r="R344">
        <v>376.81</v>
      </c>
      <c r="S344">
        <v>134.57499999999999</v>
      </c>
      <c r="T344">
        <v>7.7</v>
      </c>
    </row>
    <row r="345" spans="1:20" x14ac:dyDescent="0.55000000000000004">
      <c r="A345" t="s">
        <v>378</v>
      </c>
      <c r="B345" t="s">
        <v>24</v>
      </c>
      <c r="C345" t="s">
        <v>25</v>
      </c>
      <c r="D345" t="str">
        <f>"Br. "&amp;Data[[#This Row],[Branch]]&amp;" ("&amp;Data[[#This Row],[City]]&amp;")"</f>
        <v>Br. C (Naypyitaw)</v>
      </c>
      <c r="E345" t="s">
        <v>26</v>
      </c>
      <c r="F345" t="s">
        <v>20</v>
      </c>
      <c r="G345" t="s">
        <v>43</v>
      </c>
      <c r="H345">
        <v>97.03</v>
      </c>
      <c r="I345">
        <v>5</v>
      </c>
      <c r="J345">
        <v>24.2575</v>
      </c>
      <c r="K345">
        <v>485.15</v>
      </c>
      <c r="L345" s="1">
        <v>44276</v>
      </c>
      <c r="M345" s="7">
        <f>DAY(Data[[#This Row],[Date]])</f>
        <v>21</v>
      </c>
      <c r="N345" s="7">
        <f>MONTH(Data[[#This Row],[Date]])</f>
        <v>3</v>
      </c>
      <c r="O345" s="7">
        <f>YEAR(Data[[#This Row],[Date]])</f>
        <v>2021</v>
      </c>
      <c r="P345" s="2">
        <v>0.68333333333333335</v>
      </c>
      <c r="Q345" t="s">
        <v>22</v>
      </c>
      <c r="R345">
        <v>339.60500000000002</v>
      </c>
      <c r="S345">
        <v>121.28749999999999</v>
      </c>
      <c r="T345">
        <v>9.3000000000000007</v>
      </c>
    </row>
    <row r="346" spans="1:20" x14ac:dyDescent="0.55000000000000004">
      <c r="A346" t="s">
        <v>379</v>
      </c>
      <c r="B346" t="s">
        <v>17</v>
      </c>
      <c r="C346" t="s">
        <v>18</v>
      </c>
      <c r="D346" t="str">
        <f>"Br. "&amp;Data[[#This Row],[Branch]]&amp;" ("&amp;Data[[#This Row],[City]]&amp;")"</f>
        <v>Br. A (Yangon)</v>
      </c>
      <c r="E346" t="s">
        <v>26</v>
      </c>
      <c r="F346" t="s">
        <v>30</v>
      </c>
      <c r="G346" t="s">
        <v>35</v>
      </c>
      <c r="H346">
        <v>44.65</v>
      </c>
      <c r="I346">
        <v>3</v>
      </c>
      <c r="J346">
        <v>6.6974999999999998</v>
      </c>
      <c r="K346">
        <v>133.94999999999999</v>
      </c>
      <c r="L346" s="1">
        <v>44276</v>
      </c>
      <c r="M346" s="7">
        <f>DAY(Data[[#This Row],[Date]])</f>
        <v>21</v>
      </c>
      <c r="N346" s="7">
        <f>MONTH(Data[[#This Row],[Date]])</f>
        <v>3</v>
      </c>
      <c r="O346" s="7">
        <f>YEAR(Data[[#This Row],[Date]])</f>
        <v>2021</v>
      </c>
      <c r="P346" s="2">
        <v>0.62777777777777777</v>
      </c>
      <c r="Q346" t="s">
        <v>28</v>
      </c>
      <c r="R346">
        <v>93.765000000000001</v>
      </c>
      <c r="S346">
        <v>33.487499999999997</v>
      </c>
      <c r="T346">
        <v>6.2</v>
      </c>
    </row>
    <row r="347" spans="1:20" x14ac:dyDescent="0.55000000000000004">
      <c r="A347" t="s">
        <v>380</v>
      </c>
      <c r="B347" t="s">
        <v>17</v>
      </c>
      <c r="C347" t="s">
        <v>18</v>
      </c>
      <c r="D347" t="str">
        <f>"Br. "&amp;Data[[#This Row],[Branch]]&amp;" ("&amp;Data[[#This Row],[City]]&amp;")"</f>
        <v>Br. A (Yangon)</v>
      </c>
      <c r="E347" t="s">
        <v>26</v>
      </c>
      <c r="F347" t="s">
        <v>20</v>
      </c>
      <c r="G347" t="s">
        <v>45</v>
      </c>
      <c r="H347">
        <v>77.930000000000007</v>
      </c>
      <c r="I347">
        <v>9</v>
      </c>
      <c r="J347">
        <v>35.0685</v>
      </c>
      <c r="K347">
        <v>701.37</v>
      </c>
      <c r="L347" s="1">
        <v>44276</v>
      </c>
      <c r="M347" s="7">
        <f>DAY(Data[[#This Row],[Date]])</f>
        <v>21</v>
      </c>
      <c r="N347" s="7">
        <f>MONTH(Data[[#This Row],[Date]])</f>
        <v>3</v>
      </c>
      <c r="O347" s="7">
        <f>YEAR(Data[[#This Row],[Date]])</f>
        <v>2021</v>
      </c>
      <c r="P347" s="2">
        <v>0.67361111111111116</v>
      </c>
      <c r="Q347" t="s">
        <v>22</v>
      </c>
      <c r="R347">
        <v>490.959</v>
      </c>
      <c r="S347">
        <v>175.3425</v>
      </c>
      <c r="T347">
        <v>7.6</v>
      </c>
    </row>
    <row r="348" spans="1:20" x14ac:dyDescent="0.55000000000000004">
      <c r="A348" t="s">
        <v>381</v>
      </c>
      <c r="B348" t="s">
        <v>17</v>
      </c>
      <c r="C348" t="s">
        <v>18</v>
      </c>
      <c r="D348" t="str">
        <f>"Br. "&amp;Data[[#This Row],[Branch]]&amp;" ("&amp;Data[[#This Row],[City]]&amp;")"</f>
        <v>Br. A (Yangon)</v>
      </c>
      <c r="E348" t="s">
        <v>19</v>
      </c>
      <c r="F348" t="s">
        <v>30</v>
      </c>
      <c r="G348" t="s">
        <v>27</v>
      </c>
      <c r="H348">
        <v>71.95</v>
      </c>
      <c r="I348">
        <v>1</v>
      </c>
      <c r="J348">
        <v>3.5975000000000001</v>
      </c>
      <c r="K348">
        <v>71.95</v>
      </c>
      <c r="L348" s="1">
        <v>44276</v>
      </c>
      <c r="M348" s="7">
        <f>DAY(Data[[#This Row],[Date]])</f>
        <v>21</v>
      </c>
      <c r="N348" s="7">
        <f>MONTH(Data[[#This Row],[Date]])</f>
        <v>3</v>
      </c>
      <c r="O348" s="7">
        <f>YEAR(Data[[#This Row],[Date]])</f>
        <v>2021</v>
      </c>
      <c r="P348" s="2">
        <v>0.50972222222222219</v>
      </c>
      <c r="Q348" t="s">
        <v>28</v>
      </c>
      <c r="R348">
        <v>50.365000000000002</v>
      </c>
      <c r="S348">
        <v>17.987500000000001</v>
      </c>
      <c r="T348">
        <v>7.3</v>
      </c>
    </row>
    <row r="349" spans="1:20" x14ac:dyDescent="0.55000000000000004">
      <c r="A349" t="s">
        <v>382</v>
      </c>
      <c r="B349" t="s">
        <v>24</v>
      </c>
      <c r="C349" t="s">
        <v>25</v>
      </c>
      <c r="D349" t="str">
        <f>"Br. "&amp;Data[[#This Row],[Branch]]&amp;" ("&amp;Data[[#This Row],[City]]&amp;")"</f>
        <v>Br. C (Naypyitaw)</v>
      </c>
      <c r="E349" t="s">
        <v>19</v>
      </c>
      <c r="F349" t="s">
        <v>20</v>
      </c>
      <c r="G349" t="s">
        <v>31</v>
      </c>
      <c r="H349">
        <v>89.25</v>
      </c>
      <c r="I349">
        <v>8</v>
      </c>
      <c r="J349">
        <v>35.700000000000003</v>
      </c>
      <c r="K349">
        <v>714</v>
      </c>
      <c r="L349" s="1">
        <v>44276</v>
      </c>
      <c r="M349" s="7">
        <f>DAY(Data[[#This Row],[Date]])</f>
        <v>21</v>
      </c>
      <c r="N349" s="7">
        <f>MONTH(Data[[#This Row],[Date]])</f>
        <v>3</v>
      </c>
      <c r="O349" s="7">
        <f>YEAR(Data[[#This Row],[Date]])</f>
        <v>2021</v>
      </c>
      <c r="P349" s="2">
        <v>0.42569444444444443</v>
      </c>
      <c r="Q349" t="s">
        <v>28</v>
      </c>
      <c r="R349">
        <v>499.8</v>
      </c>
      <c r="S349">
        <v>178.5</v>
      </c>
      <c r="T349">
        <v>4.7</v>
      </c>
    </row>
    <row r="350" spans="1:20" x14ac:dyDescent="0.55000000000000004">
      <c r="A350" t="s">
        <v>383</v>
      </c>
      <c r="B350" t="s">
        <v>17</v>
      </c>
      <c r="C350" t="s">
        <v>18</v>
      </c>
      <c r="D350" t="str">
        <f>"Br. "&amp;Data[[#This Row],[Branch]]&amp;" ("&amp;Data[[#This Row],[City]]&amp;")"</f>
        <v>Br. A (Yangon)</v>
      </c>
      <c r="E350" t="s">
        <v>26</v>
      </c>
      <c r="F350" t="s">
        <v>30</v>
      </c>
      <c r="G350" t="s">
        <v>27</v>
      </c>
      <c r="H350">
        <v>26.02</v>
      </c>
      <c r="I350">
        <v>7</v>
      </c>
      <c r="J350">
        <v>9.1069999999999993</v>
      </c>
      <c r="K350">
        <v>182.14</v>
      </c>
      <c r="L350" s="1">
        <v>44276</v>
      </c>
      <c r="M350" s="7">
        <f>DAY(Data[[#This Row],[Date]])</f>
        <v>21</v>
      </c>
      <c r="N350" s="7">
        <f>MONTH(Data[[#This Row],[Date]])</f>
        <v>3</v>
      </c>
      <c r="O350" s="7">
        <f>YEAR(Data[[#This Row],[Date]])</f>
        <v>2021</v>
      </c>
      <c r="P350" s="2">
        <v>0.73472222222222228</v>
      </c>
      <c r="Q350" t="s">
        <v>28</v>
      </c>
      <c r="R350">
        <v>127.498</v>
      </c>
      <c r="S350">
        <v>45.534999999999997</v>
      </c>
      <c r="T350">
        <v>5.0999999999999996</v>
      </c>
    </row>
    <row r="351" spans="1:20" x14ac:dyDescent="0.55000000000000004">
      <c r="A351" t="s">
        <v>384</v>
      </c>
      <c r="B351" t="s">
        <v>41</v>
      </c>
      <c r="C351" t="s">
        <v>42</v>
      </c>
      <c r="D351" t="str">
        <f>"Br. "&amp;Data[[#This Row],[Branch]]&amp;" ("&amp;Data[[#This Row],[City]]&amp;")"</f>
        <v>Br. B (Mandalay)</v>
      </c>
      <c r="E351" t="s">
        <v>26</v>
      </c>
      <c r="F351" t="s">
        <v>20</v>
      </c>
      <c r="G351" t="s">
        <v>21</v>
      </c>
      <c r="H351">
        <v>13.5</v>
      </c>
      <c r="I351">
        <v>10</v>
      </c>
      <c r="J351">
        <v>6.75</v>
      </c>
      <c r="K351">
        <v>135</v>
      </c>
      <c r="L351" s="1">
        <v>44276</v>
      </c>
      <c r="M351" s="7">
        <f>DAY(Data[[#This Row],[Date]])</f>
        <v>21</v>
      </c>
      <c r="N351" s="7">
        <f>MONTH(Data[[#This Row],[Date]])</f>
        <v>3</v>
      </c>
      <c r="O351" s="7">
        <f>YEAR(Data[[#This Row],[Date]])</f>
        <v>2021</v>
      </c>
      <c r="P351" s="2">
        <v>0.46250000000000002</v>
      </c>
      <c r="Q351" t="s">
        <v>32</v>
      </c>
      <c r="R351">
        <v>94.5</v>
      </c>
      <c r="S351">
        <v>33.75</v>
      </c>
      <c r="T351">
        <v>4.8</v>
      </c>
    </row>
    <row r="352" spans="1:20" x14ac:dyDescent="0.55000000000000004">
      <c r="A352" t="s">
        <v>385</v>
      </c>
      <c r="B352" t="s">
        <v>24</v>
      </c>
      <c r="C352" t="s">
        <v>25</v>
      </c>
      <c r="D352" t="str">
        <f>"Br. "&amp;Data[[#This Row],[Branch]]&amp;" ("&amp;Data[[#This Row],[City]]&amp;")"</f>
        <v>Br. C (Naypyitaw)</v>
      </c>
      <c r="E352" t="s">
        <v>19</v>
      </c>
      <c r="F352" t="s">
        <v>20</v>
      </c>
      <c r="G352" t="s">
        <v>45</v>
      </c>
      <c r="H352">
        <v>99.3</v>
      </c>
      <c r="I352">
        <v>10</v>
      </c>
      <c r="J352">
        <v>49.65</v>
      </c>
      <c r="K352">
        <v>993</v>
      </c>
      <c r="L352" s="1">
        <v>44276</v>
      </c>
      <c r="M352" s="7">
        <f>DAY(Data[[#This Row],[Date]])</f>
        <v>21</v>
      </c>
      <c r="N352" s="7">
        <f>MONTH(Data[[#This Row],[Date]])</f>
        <v>3</v>
      </c>
      <c r="O352" s="7">
        <f>YEAR(Data[[#This Row],[Date]])</f>
        <v>2021</v>
      </c>
      <c r="P352" s="2">
        <v>0.62013888888888891</v>
      </c>
      <c r="Q352" t="s">
        <v>32</v>
      </c>
      <c r="R352">
        <v>695.1</v>
      </c>
      <c r="S352">
        <v>248.25</v>
      </c>
      <c r="T352">
        <v>6.6</v>
      </c>
    </row>
    <row r="353" spans="1:20" x14ac:dyDescent="0.55000000000000004">
      <c r="A353" t="s">
        <v>386</v>
      </c>
      <c r="B353" t="s">
        <v>17</v>
      </c>
      <c r="C353" t="s">
        <v>18</v>
      </c>
      <c r="D353" t="str">
        <f>"Br. "&amp;Data[[#This Row],[Branch]]&amp;" ("&amp;Data[[#This Row],[City]]&amp;")"</f>
        <v>Br. A (Yangon)</v>
      </c>
      <c r="E353" t="s">
        <v>26</v>
      </c>
      <c r="F353" t="s">
        <v>30</v>
      </c>
      <c r="G353" t="s">
        <v>27</v>
      </c>
      <c r="H353">
        <v>51.69</v>
      </c>
      <c r="I353">
        <v>7</v>
      </c>
      <c r="J353">
        <v>18.0915</v>
      </c>
      <c r="K353">
        <v>361.83</v>
      </c>
      <c r="L353" s="1">
        <v>44276</v>
      </c>
      <c r="M353" s="7">
        <f>DAY(Data[[#This Row],[Date]])</f>
        <v>21</v>
      </c>
      <c r="N353" s="7">
        <f>MONTH(Data[[#This Row],[Date]])</f>
        <v>3</v>
      </c>
      <c r="O353" s="7">
        <f>YEAR(Data[[#This Row],[Date]])</f>
        <v>2021</v>
      </c>
      <c r="P353" s="2">
        <v>0.76527777777777772</v>
      </c>
      <c r="Q353" t="s">
        <v>28</v>
      </c>
      <c r="R353">
        <v>253.28100000000001</v>
      </c>
      <c r="S353">
        <v>90.457499999999996</v>
      </c>
      <c r="T353">
        <v>5.5</v>
      </c>
    </row>
    <row r="354" spans="1:20" x14ac:dyDescent="0.55000000000000004">
      <c r="A354" t="s">
        <v>387</v>
      </c>
      <c r="B354" t="s">
        <v>41</v>
      </c>
      <c r="C354" t="s">
        <v>42</v>
      </c>
      <c r="D354" t="str">
        <f>"Br. "&amp;Data[[#This Row],[Branch]]&amp;" ("&amp;Data[[#This Row],[City]]&amp;")"</f>
        <v>Br. B (Mandalay)</v>
      </c>
      <c r="E354" t="s">
        <v>19</v>
      </c>
      <c r="F354" t="s">
        <v>20</v>
      </c>
      <c r="G354" t="s">
        <v>45</v>
      </c>
      <c r="H354">
        <v>54.73</v>
      </c>
      <c r="I354">
        <v>7</v>
      </c>
      <c r="J354">
        <v>19.1555</v>
      </c>
      <c r="K354">
        <v>383.11</v>
      </c>
      <c r="L354" s="1">
        <v>44276</v>
      </c>
      <c r="M354" s="7">
        <f>DAY(Data[[#This Row],[Date]])</f>
        <v>21</v>
      </c>
      <c r="N354" s="7">
        <f>MONTH(Data[[#This Row],[Date]])</f>
        <v>3</v>
      </c>
      <c r="O354" s="7">
        <f>YEAR(Data[[#This Row],[Date]])</f>
        <v>2021</v>
      </c>
      <c r="P354" s="2">
        <v>0.79305555555555551</v>
      </c>
      <c r="Q354" t="s">
        <v>32</v>
      </c>
      <c r="R354">
        <v>268.17700000000002</v>
      </c>
      <c r="S354">
        <v>95.777500000000003</v>
      </c>
      <c r="T354">
        <v>8.5</v>
      </c>
    </row>
    <row r="355" spans="1:20" x14ac:dyDescent="0.55000000000000004">
      <c r="A355" t="s">
        <v>388</v>
      </c>
      <c r="B355" t="s">
        <v>41</v>
      </c>
      <c r="C355" t="s">
        <v>42</v>
      </c>
      <c r="D355" t="str">
        <f>"Br. "&amp;Data[[#This Row],[Branch]]&amp;" ("&amp;Data[[#This Row],[City]]&amp;")"</f>
        <v>Br. B (Mandalay)</v>
      </c>
      <c r="E355" t="s">
        <v>19</v>
      </c>
      <c r="F355" t="s">
        <v>30</v>
      </c>
      <c r="G355" t="s">
        <v>31</v>
      </c>
      <c r="H355">
        <v>27</v>
      </c>
      <c r="I355">
        <v>9</v>
      </c>
      <c r="J355">
        <v>12.15</v>
      </c>
      <c r="K355">
        <v>243</v>
      </c>
      <c r="L355" s="1">
        <v>44276</v>
      </c>
      <c r="M355" s="7">
        <f>DAY(Data[[#This Row],[Date]])</f>
        <v>21</v>
      </c>
      <c r="N355" s="7">
        <f>MONTH(Data[[#This Row],[Date]])</f>
        <v>3</v>
      </c>
      <c r="O355" s="7">
        <f>YEAR(Data[[#This Row],[Date]])</f>
        <v>2021</v>
      </c>
      <c r="P355" s="2">
        <v>0.59444444444444444</v>
      </c>
      <c r="Q355" t="s">
        <v>28</v>
      </c>
      <c r="R355">
        <v>170.1</v>
      </c>
      <c r="S355">
        <v>60.75</v>
      </c>
      <c r="T355">
        <v>4.8</v>
      </c>
    </row>
    <row r="356" spans="1:20" x14ac:dyDescent="0.55000000000000004">
      <c r="A356" t="s">
        <v>389</v>
      </c>
      <c r="B356" t="s">
        <v>24</v>
      </c>
      <c r="C356" t="s">
        <v>25</v>
      </c>
      <c r="D356" t="str">
        <f>"Br. "&amp;Data[[#This Row],[Branch]]&amp;" ("&amp;Data[[#This Row],[City]]&amp;")"</f>
        <v>Br. C (Naypyitaw)</v>
      </c>
      <c r="E356" t="s">
        <v>26</v>
      </c>
      <c r="F356" t="s">
        <v>20</v>
      </c>
      <c r="G356" t="s">
        <v>27</v>
      </c>
      <c r="H356">
        <v>30.24</v>
      </c>
      <c r="I356">
        <v>1</v>
      </c>
      <c r="J356">
        <v>1.512</v>
      </c>
      <c r="K356">
        <v>30.24</v>
      </c>
      <c r="L356" s="1">
        <v>44276</v>
      </c>
      <c r="M356" s="7">
        <f>DAY(Data[[#This Row],[Date]])</f>
        <v>21</v>
      </c>
      <c r="N356" s="7">
        <f>MONTH(Data[[#This Row],[Date]])</f>
        <v>3</v>
      </c>
      <c r="O356" s="7">
        <f>YEAR(Data[[#This Row],[Date]])</f>
        <v>2021</v>
      </c>
      <c r="P356" s="2">
        <v>0.65555555555555556</v>
      </c>
      <c r="Q356" t="s">
        <v>28</v>
      </c>
      <c r="R356">
        <v>21.167999999999999</v>
      </c>
      <c r="S356">
        <v>7.56</v>
      </c>
      <c r="T356">
        <v>8.4</v>
      </c>
    </row>
    <row r="357" spans="1:20" x14ac:dyDescent="0.55000000000000004">
      <c r="A357" t="s">
        <v>390</v>
      </c>
      <c r="B357" t="s">
        <v>41</v>
      </c>
      <c r="C357" t="s">
        <v>42</v>
      </c>
      <c r="D357" t="str">
        <f>"Br. "&amp;Data[[#This Row],[Branch]]&amp;" ("&amp;Data[[#This Row],[City]]&amp;")"</f>
        <v>Br. B (Mandalay)</v>
      </c>
      <c r="E357" t="s">
        <v>19</v>
      </c>
      <c r="F357" t="s">
        <v>20</v>
      </c>
      <c r="G357" t="s">
        <v>43</v>
      </c>
      <c r="H357">
        <v>89.14</v>
      </c>
      <c r="I357">
        <v>4</v>
      </c>
      <c r="J357">
        <v>17.827999999999999</v>
      </c>
      <c r="K357">
        <v>356.56</v>
      </c>
      <c r="L357" s="1">
        <v>44276</v>
      </c>
      <c r="M357" s="7">
        <f>DAY(Data[[#This Row],[Date]])</f>
        <v>21</v>
      </c>
      <c r="N357" s="7">
        <f>MONTH(Data[[#This Row],[Date]])</f>
        <v>3</v>
      </c>
      <c r="O357" s="7">
        <f>YEAR(Data[[#This Row],[Date]])</f>
        <v>2021</v>
      </c>
      <c r="P357" s="2">
        <v>0.51388888888888884</v>
      </c>
      <c r="Q357" t="s">
        <v>32</v>
      </c>
      <c r="R357">
        <v>249.59200000000001</v>
      </c>
      <c r="S357">
        <v>89.14</v>
      </c>
      <c r="T357">
        <v>7.8</v>
      </c>
    </row>
    <row r="358" spans="1:20" x14ac:dyDescent="0.55000000000000004">
      <c r="A358" t="s">
        <v>391</v>
      </c>
      <c r="B358" t="s">
        <v>24</v>
      </c>
      <c r="C358" t="s">
        <v>25</v>
      </c>
      <c r="D358" t="str">
        <f>"Br. "&amp;Data[[#This Row],[Branch]]&amp;" ("&amp;Data[[#This Row],[City]]&amp;")"</f>
        <v>Br. C (Naypyitaw)</v>
      </c>
      <c r="E358" t="s">
        <v>26</v>
      </c>
      <c r="F358" t="s">
        <v>20</v>
      </c>
      <c r="G358" t="s">
        <v>45</v>
      </c>
      <c r="H358">
        <v>37.549999999999997</v>
      </c>
      <c r="I358">
        <v>10</v>
      </c>
      <c r="J358">
        <v>18.774999999999999</v>
      </c>
      <c r="K358">
        <v>375.5</v>
      </c>
      <c r="L358" s="1">
        <v>44276</v>
      </c>
      <c r="M358" s="7">
        <f>DAY(Data[[#This Row],[Date]])</f>
        <v>21</v>
      </c>
      <c r="N358" s="7">
        <f>MONTH(Data[[#This Row],[Date]])</f>
        <v>3</v>
      </c>
      <c r="O358" s="7">
        <f>YEAR(Data[[#This Row],[Date]])</f>
        <v>2021</v>
      </c>
      <c r="P358" s="2">
        <v>0.83402777777777781</v>
      </c>
      <c r="Q358" t="s">
        <v>32</v>
      </c>
      <c r="R358">
        <v>262.85000000000002</v>
      </c>
      <c r="S358">
        <v>93.875</v>
      </c>
      <c r="T358">
        <v>9.3000000000000007</v>
      </c>
    </row>
    <row r="359" spans="1:20" x14ac:dyDescent="0.55000000000000004">
      <c r="A359" t="s">
        <v>392</v>
      </c>
      <c r="B359" t="s">
        <v>24</v>
      </c>
      <c r="C359" t="s">
        <v>25</v>
      </c>
      <c r="D359" t="str">
        <f>"Br. "&amp;Data[[#This Row],[Branch]]&amp;" ("&amp;Data[[#This Row],[City]]&amp;")"</f>
        <v>Br. C (Naypyitaw)</v>
      </c>
      <c r="E359" t="s">
        <v>26</v>
      </c>
      <c r="F359" t="s">
        <v>20</v>
      </c>
      <c r="G359" t="s">
        <v>35</v>
      </c>
      <c r="H359">
        <v>95.44</v>
      </c>
      <c r="I359">
        <v>10</v>
      </c>
      <c r="J359">
        <v>47.72</v>
      </c>
      <c r="K359">
        <v>954.4</v>
      </c>
      <c r="L359" s="1">
        <v>44276</v>
      </c>
      <c r="M359" s="7">
        <f>DAY(Data[[#This Row],[Date]])</f>
        <v>21</v>
      </c>
      <c r="N359" s="7">
        <f>MONTH(Data[[#This Row],[Date]])</f>
        <v>3</v>
      </c>
      <c r="O359" s="7">
        <f>YEAR(Data[[#This Row],[Date]])</f>
        <v>2021</v>
      </c>
      <c r="P359" s="2">
        <v>0.57291666666666663</v>
      </c>
      <c r="Q359" t="s">
        <v>28</v>
      </c>
      <c r="R359">
        <v>668.08</v>
      </c>
      <c r="S359">
        <v>238.6</v>
      </c>
      <c r="T359">
        <v>5.2</v>
      </c>
    </row>
    <row r="360" spans="1:20" x14ac:dyDescent="0.55000000000000004">
      <c r="A360" t="s">
        <v>393</v>
      </c>
      <c r="B360" t="s">
        <v>41</v>
      </c>
      <c r="C360" t="s">
        <v>42</v>
      </c>
      <c r="D360" t="str">
        <f>"Br. "&amp;Data[[#This Row],[Branch]]&amp;" ("&amp;Data[[#This Row],[City]]&amp;")"</f>
        <v>Br. B (Mandalay)</v>
      </c>
      <c r="E360" t="s">
        <v>26</v>
      </c>
      <c r="F360" t="s">
        <v>30</v>
      </c>
      <c r="G360" t="s">
        <v>27</v>
      </c>
      <c r="H360">
        <v>27.5</v>
      </c>
      <c r="I360">
        <v>3</v>
      </c>
      <c r="J360">
        <v>4.125</v>
      </c>
      <c r="K360">
        <v>82.5</v>
      </c>
      <c r="L360" s="1">
        <v>44276</v>
      </c>
      <c r="M360" s="7">
        <f>DAY(Data[[#This Row],[Date]])</f>
        <v>21</v>
      </c>
      <c r="N360" s="7">
        <f>MONTH(Data[[#This Row],[Date]])</f>
        <v>3</v>
      </c>
      <c r="O360" s="7">
        <f>YEAR(Data[[#This Row],[Date]])</f>
        <v>2021</v>
      </c>
      <c r="P360" s="2">
        <v>0.65277777777777779</v>
      </c>
      <c r="Q360" t="s">
        <v>22</v>
      </c>
      <c r="R360">
        <v>57.75</v>
      </c>
      <c r="S360">
        <v>20.625</v>
      </c>
      <c r="T360">
        <v>6.5</v>
      </c>
    </row>
    <row r="361" spans="1:20" x14ac:dyDescent="0.55000000000000004">
      <c r="A361" t="s">
        <v>394</v>
      </c>
      <c r="B361" t="s">
        <v>41</v>
      </c>
      <c r="C361" t="s">
        <v>42</v>
      </c>
      <c r="D361" t="str">
        <f>"Br. "&amp;Data[[#This Row],[Branch]]&amp;" ("&amp;Data[[#This Row],[City]]&amp;")"</f>
        <v>Br. B (Mandalay)</v>
      </c>
      <c r="E361" t="s">
        <v>26</v>
      </c>
      <c r="F361" t="s">
        <v>30</v>
      </c>
      <c r="G361" t="s">
        <v>35</v>
      </c>
      <c r="H361">
        <v>74.97</v>
      </c>
      <c r="I361">
        <v>1</v>
      </c>
      <c r="J361">
        <v>3.7484999999999999</v>
      </c>
      <c r="K361">
        <v>74.97</v>
      </c>
      <c r="L361" s="1">
        <v>44276</v>
      </c>
      <c r="M361" s="7">
        <f>DAY(Data[[#This Row],[Date]])</f>
        <v>21</v>
      </c>
      <c r="N361" s="7">
        <f>MONTH(Data[[#This Row],[Date]])</f>
        <v>3</v>
      </c>
      <c r="O361" s="7">
        <f>YEAR(Data[[#This Row],[Date]])</f>
        <v>2021</v>
      </c>
      <c r="P361" s="2">
        <v>0.70694444444444449</v>
      </c>
      <c r="Q361" t="s">
        <v>28</v>
      </c>
      <c r="R361">
        <v>52.478999999999999</v>
      </c>
      <c r="S361">
        <v>18.7425</v>
      </c>
      <c r="T361">
        <v>5.6</v>
      </c>
    </row>
    <row r="362" spans="1:20" x14ac:dyDescent="0.55000000000000004">
      <c r="A362" t="s">
        <v>395</v>
      </c>
      <c r="B362" t="s">
        <v>17</v>
      </c>
      <c r="C362" t="s">
        <v>18</v>
      </c>
      <c r="D362" t="str">
        <f>"Br. "&amp;Data[[#This Row],[Branch]]&amp;" ("&amp;Data[[#This Row],[City]]&amp;")"</f>
        <v>Br. A (Yangon)</v>
      </c>
      <c r="E362" t="s">
        <v>19</v>
      </c>
      <c r="F362" t="s">
        <v>30</v>
      </c>
      <c r="G362" t="s">
        <v>43</v>
      </c>
      <c r="H362">
        <v>80.959999999999994</v>
      </c>
      <c r="I362">
        <v>8</v>
      </c>
      <c r="J362">
        <v>32.384</v>
      </c>
      <c r="K362">
        <v>647.67999999999995</v>
      </c>
      <c r="L362" s="1">
        <v>44276</v>
      </c>
      <c r="M362" s="7">
        <f>DAY(Data[[#This Row],[Date]])</f>
        <v>21</v>
      </c>
      <c r="N362" s="7">
        <f>MONTH(Data[[#This Row],[Date]])</f>
        <v>3</v>
      </c>
      <c r="O362" s="7">
        <f>YEAR(Data[[#This Row],[Date]])</f>
        <v>2021</v>
      </c>
      <c r="P362" s="2">
        <v>0.46666666666666667</v>
      </c>
      <c r="Q362" t="s">
        <v>32</v>
      </c>
      <c r="R362">
        <v>453.37599999999998</v>
      </c>
      <c r="S362">
        <v>161.91999999999999</v>
      </c>
      <c r="T362">
        <v>7.4</v>
      </c>
    </row>
    <row r="363" spans="1:20" x14ac:dyDescent="0.55000000000000004">
      <c r="A363" t="s">
        <v>396</v>
      </c>
      <c r="B363" t="s">
        <v>24</v>
      </c>
      <c r="C363" t="s">
        <v>25</v>
      </c>
      <c r="D363" t="str">
        <f>"Br. "&amp;Data[[#This Row],[Branch]]&amp;" ("&amp;Data[[#This Row],[City]]&amp;")"</f>
        <v>Br. C (Naypyitaw)</v>
      </c>
      <c r="E363" t="s">
        <v>26</v>
      </c>
      <c r="F363" t="s">
        <v>20</v>
      </c>
      <c r="G363" t="s">
        <v>43</v>
      </c>
      <c r="H363">
        <v>94.47</v>
      </c>
      <c r="I363">
        <v>8</v>
      </c>
      <c r="J363">
        <v>37.787999999999997</v>
      </c>
      <c r="K363">
        <v>755.76</v>
      </c>
      <c r="L363" s="1">
        <v>44276</v>
      </c>
      <c r="M363" s="7">
        <f>DAY(Data[[#This Row],[Date]])</f>
        <v>21</v>
      </c>
      <c r="N363" s="7">
        <f>MONTH(Data[[#This Row],[Date]])</f>
        <v>3</v>
      </c>
      <c r="O363" s="7">
        <f>YEAR(Data[[#This Row],[Date]])</f>
        <v>2021</v>
      </c>
      <c r="P363" s="2">
        <v>0.6333333333333333</v>
      </c>
      <c r="Q363" t="s">
        <v>28</v>
      </c>
      <c r="R363">
        <v>529.03200000000004</v>
      </c>
      <c r="S363">
        <v>188.94</v>
      </c>
      <c r="T363">
        <v>9.1</v>
      </c>
    </row>
    <row r="364" spans="1:20" x14ac:dyDescent="0.55000000000000004">
      <c r="A364" t="s">
        <v>397</v>
      </c>
      <c r="B364" t="s">
        <v>24</v>
      </c>
      <c r="C364" t="s">
        <v>25</v>
      </c>
      <c r="D364" t="str">
        <f>"Br. "&amp;Data[[#This Row],[Branch]]&amp;" ("&amp;Data[[#This Row],[City]]&amp;")"</f>
        <v>Br. C (Naypyitaw)</v>
      </c>
      <c r="E364" t="s">
        <v>26</v>
      </c>
      <c r="F364" t="s">
        <v>30</v>
      </c>
      <c r="G364" t="s">
        <v>43</v>
      </c>
      <c r="H364">
        <v>99.79</v>
      </c>
      <c r="I364">
        <v>2</v>
      </c>
      <c r="J364">
        <v>9.9789999999999992</v>
      </c>
      <c r="K364">
        <v>199.58</v>
      </c>
      <c r="L364" s="1">
        <v>44276</v>
      </c>
      <c r="M364" s="7">
        <f>DAY(Data[[#This Row],[Date]])</f>
        <v>21</v>
      </c>
      <c r="N364" s="7">
        <f>MONTH(Data[[#This Row],[Date]])</f>
        <v>3</v>
      </c>
      <c r="O364" s="7">
        <f>YEAR(Data[[#This Row],[Date]])</f>
        <v>2021</v>
      </c>
      <c r="P364" s="2">
        <v>0.85902777777777772</v>
      </c>
      <c r="Q364" t="s">
        <v>22</v>
      </c>
      <c r="R364">
        <v>139.70599999999999</v>
      </c>
      <c r="S364">
        <v>49.895000000000003</v>
      </c>
      <c r="T364">
        <v>8</v>
      </c>
    </row>
    <row r="365" spans="1:20" x14ac:dyDescent="0.55000000000000004">
      <c r="A365" t="s">
        <v>398</v>
      </c>
      <c r="B365" t="s">
        <v>17</v>
      </c>
      <c r="C365" t="s">
        <v>18</v>
      </c>
      <c r="D365" t="str">
        <f>"Br. "&amp;Data[[#This Row],[Branch]]&amp;" ("&amp;Data[[#This Row],[City]]&amp;")"</f>
        <v>Br. A (Yangon)</v>
      </c>
      <c r="E365" t="s">
        <v>26</v>
      </c>
      <c r="F365" t="s">
        <v>30</v>
      </c>
      <c r="G365" t="s">
        <v>31</v>
      </c>
      <c r="H365">
        <v>73.22</v>
      </c>
      <c r="I365">
        <v>6</v>
      </c>
      <c r="J365">
        <v>21.966000000000001</v>
      </c>
      <c r="K365">
        <v>439.32</v>
      </c>
      <c r="L365" s="1">
        <v>44276</v>
      </c>
      <c r="M365" s="7">
        <f>DAY(Data[[#This Row],[Date]])</f>
        <v>21</v>
      </c>
      <c r="N365" s="7">
        <f>MONTH(Data[[#This Row],[Date]])</f>
        <v>3</v>
      </c>
      <c r="O365" s="7">
        <f>YEAR(Data[[#This Row],[Date]])</f>
        <v>2021</v>
      </c>
      <c r="P365" s="2">
        <v>0.73888888888888893</v>
      </c>
      <c r="Q365" t="s">
        <v>28</v>
      </c>
      <c r="R365">
        <v>307.524</v>
      </c>
      <c r="S365">
        <v>109.83</v>
      </c>
      <c r="T365">
        <v>7.2</v>
      </c>
    </row>
    <row r="366" spans="1:20" x14ac:dyDescent="0.55000000000000004">
      <c r="A366" t="s">
        <v>399</v>
      </c>
      <c r="B366" t="s">
        <v>24</v>
      </c>
      <c r="C366" t="s">
        <v>25</v>
      </c>
      <c r="D366" t="str">
        <f>"Br. "&amp;Data[[#This Row],[Branch]]&amp;" ("&amp;Data[[#This Row],[City]]&amp;")"</f>
        <v>Br. C (Naypyitaw)</v>
      </c>
      <c r="E366" t="s">
        <v>26</v>
      </c>
      <c r="F366" t="s">
        <v>20</v>
      </c>
      <c r="G366" t="s">
        <v>43</v>
      </c>
      <c r="H366">
        <v>41.24</v>
      </c>
      <c r="I366">
        <v>4</v>
      </c>
      <c r="J366">
        <v>8.2479999999999993</v>
      </c>
      <c r="K366">
        <v>164.96</v>
      </c>
      <c r="L366" s="1">
        <v>44276</v>
      </c>
      <c r="M366" s="7">
        <f>DAY(Data[[#This Row],[Date]])</f>
        <v>21</v>
      </c>
      <c r="N366" s="7">
        <f>MONTH(Data[[#This Row],[Date]])</f>
        <v>3</v>
      </c>
      <c r="O366" s="7">
        <f>YEAR(Data[[#This Row],[Date]])</f>
        <v>2021</v>
      </c>
      <c r="P366" s="2">
        <v>0.68263888888888891</v>
      </c>
      <c r="Q366" t="s">
        <v>28</v>
      </c>
      <c r="R366">
        <v>115.47199999999999</v>
      </c>
      <c r="S366">
        <v>41.24</v>
      </c>
      <c r="T366">
        <v>7.1</v>
      </c>
    </row>
    <row r="367" spans="1:20" x14ac:dyDescent="0.55000000000000004">
      <c r="A367" t="s">
        <v>400</v>
      </c>
      <c r="B367" t="s">
        <v>24</v>
      </c>
      <c r="C367" t="s">
        <v>25</v>
      </c>
      <c r="D367" t="str">
        <f>"Br. "&amp;Data[[#This Row],[Branch]]&amp;" ("&amp;Data[[#This Row],[City]]&amp;")"</f>
        <v>Br. C (Naypyitaw)</v>
      </c>
      <c r="E367" t="s">
        <v>26</v>
      </c>
      <c r="F367" t="s">
        <v>20</v>
      </c>
      <c r="G367" t="s">
        <v>45</v>
      </c>
      <c r="H367">
        <v>81.680000000000007</v>
      </c>
      <c r="I367">
        <v>4</v>
      </c>
      <c r="J367">
        <v>16.335999999999999</v>
      </c>
      <c r="K367">
        <v>326.72000000000003</v>
      </c>
      <c r="L367" s="1">
        <v>44276</v>
      </c>
      <c r="M367" s="7">
        <f>DAY(Data[[#This Row],[Date]])</f>
        <v>21</v>
      </c>
      <c r="N367" s="7">
        <f>MONTH(Data[[#This Row],[Date]])</f>
        <v>3</v>
      </c>
      <c r="O367" s="7">
        <f>YEAR(Data[[#This Row],[Date]])</f>
        <v>2021</v>
      </c>
      <c r="P367" s="2">
        <v>0.5083333333333333</v>
      </c>
      <c r="Q367" t="s">
        <v>28</v>
      </c>
      <c r="R367">
        <v>228.70400000000001</v>
      </c>
      <c r="S367">
        <v>81.680000000000007</v>
      </c>
      <c r="T367">
        <v>9.1</v>
      </c>
    </row>
    <row r="368" spans="1:20" x14ac:dyDescent="0.55000000000000004">
      <c r="A368" t="s">
        <v>401</v>
      </c>
      <c r="B368" t="s">
        <v>24</v>
      </c>
      <c r="C368" t="s">
        <v>25</v>
      </c>
      <c r="D368" t="str">
        <f>"Br. "&amp;Data[[#This Row],[Branch]]&amp;" ("&amp;Data[[#This Row],[City]]&amp;")"</f>
        <v>Br. C (Naypyitaw)</v>
      </c>
      <c r="E368" t="s">
        <v>26</v>
      </c>
      <c r="F368" t="s">
        <v>20</v>
      </c>
      <c r="G368" t="s">
        <v>27</v>
      </c>
      <c r="H368">
        <v>51.32</v>
      </c>
      <c r="I368">
        <v>9</v>
      </c>
      <c r="J368">
        <v>23.094000000000001</v>
      </c>
      <c r="K368">
        <v>461.88</v>
      </c>
      <c r="L368" s="1">
        <v>44276</v>
      </c>
      <c r="M368" s="7">
        <f>DAY(Data[[#This Row],[Date]])</f>
        <v>21</v>
      </c>
      <c r="N368" s="7">
        <f>MONTH(Data[[#This Row],[Date]])</f>
        <v>3</v>
      </c>
      <c r="O368" s="7">
        <f>YEAR(Data[[#This Row],[Date]])</f>
        <v>2021</v>
      </c>
      <c r="P368" s="2">
        <v>0.81458333333333333</v>
      </c>
      <c r="Q368" t="s">
        <v>28</v>
      </c>
      <c r="R368">
        <v>323.31599999999997</v>
      </c>
      <c r="S368">
        <v>115.47</v>
      </c>
      <c r="T368">
        <v>5.6</v>
      </c>
    </row>
    <row r="369" spans="1:20" x14ac:dyDescent="0.55000000000000004">
      <c r="A369" t="s">
        <v>402</v>
      </c>
      <c r="B369" t="s">
        <v>17</v>
      </c>
      <c r="C369" t="s">
        <v>18</v>
      </c>
      <c r="D369" t="str">
        <f>"Br. "&amp;Data[[#This Row],[Branch]]&amp;" ("&amp;Data[[#This Row],[City]]&amp;")"</f>
        <v>Br. A (Yangon)</v>
      </c>
      <c r="E369" t="s">
        <v>19</v>
      </c>
      <c r="F369" t="s">
        <v>30</v>
      </c>
      <c r="G369" t="s">
        <v>31</v>
      </c>
      <c r="H369">
        <v>65.94</v>
      </c>
      <c r="I369">
        <v>4</v>
      </c>
      <c r="J369">
        <v>13.188000000000001</v>
      </c>
      <c r="K369">
        <v>263.76</v>
      </c>
      <c r="L369" s="1">
        <v>44276</v>
      </c>
      <c r="M369" s="7">
        <f>DAY(Data[[#This Row],[Date]])</f>
        <v>21</v>
      </c>
      <c r="N369" s="7">
        <f>MONTH(Data[[#This Row],[Date]])</f>
        <v>3</v>
      </c>
      <c r="O369" s="7">
        <f>YEAR(Data[[#This Row],[Date]])</f>
        <v>2021</v>
      </c>
      <c r="P369" s="2">
        <v>0.43680555555555556</v>
      </c>
      <c r="Q369" t="s">
        <v>28</v>
      </c>
      <c r="R369">
        <v>184.63200000000001</v>
      </c>
      <c r="S369">
        <v>65.94</v>
      </c>
      <c r="T369">
        <v>6</v>
      </c>
    </row>
    <row r="370" spans="1:20" x14ac:dyDescent="0.55000000000000004">
      <c r="A370" t="s">
        <v>403</v>
      </c>
      <c r="B370" t="s">
        <v>24</v>
      </c>
      <c r="C370" t="s">
        <v>25</v>
      </c>
      <c r="D370" t="str">
        <f>"Br. "&amp;Data[[#This Row],[Branch]]&amp;" ("&amp;Data[[#This Row],[City]]&amp;")"</f>
        <v>Br. C (Naypyitaw)</v>
      </c>
      <c r="E370" t="s">
        <v>26</v>
      </c>
      <c r="F370" t="s">
        <v>20</v>
      </c>
      <c r="G370" t="s">
        <v>35</v>
      </c>
      <c r="H370">
        <v>14.36</v>
      </c>
      <c r="I370">
        <v>10</v>
      </c>
      <c r="J370">
        <v>7.18</v>
      </c>
      <c r="K370">
        <v>143.6</v>
      </c>
      <c r="L370" s="1">
        <v>44276</v>
      </c>
      <c r="M370" s="7">
        <f>DAY(Data[[#This Row],[Date]])</f>
        <v>21</v>
      </c>
      <c r="N370" s="7">
        <f>MONTH(Data[[#This Row],[Date]])</f>
        <v>3</v>
      </c>
      <c r="O370" s="7">
        <f>YEAR(Data[[#This Row],[Date]])</f>
        <v>2021</v>
      </c>
      <c r="P370" s="2">
        <v>0.60277777777777775</v>
      </c>
      <c r="Q370" t="s">
        <v>28</v>
      </c>
      <c r="R370">
        <v>100.52</v>
      </c>
      <c r="S370">
        <v>35.9</v>
      </c>
      <c r="T370">
        <v>5.4</v>
      </c>
    </row>
    <row r="371" spans="1:20" x14ac:dyDescent="0.55000000000000004">
      <c r="A371" t="s">
        <v>404</v>
      </c>
      <c r="B371" t="s">
        <v>17</v>
      </c>
      <c r="C371" t="s">
        <v>18</v>
      </c>
      <c r="D371" t="str">
        <f>"Br. "&amp;Data[[#This Row],[Branch]]&amp;" ("&amp;Data[[#This Row],[City]]&amp;")"</f>
        <v>Br. A (Yangon)</v>
      </c>
      <c r="E371" t="s">
        <v>19</v>
      </c>
      <c r="F371" t="s">
        <v>30</v>
      </c>
      <c r="G371" t="s">
        <v>27</v>
      </c>
      <c r="H371">
        <v>21.5</v>
      </c>
      <c r="I371">
        <v>9</v>
      </c>
      <c r="J371">
        <v>9.6750000000000007</v>
      </c>
      <c r="K371">
        <v>193.5</v>
      </c>
      <c r="L371" s="1">
        <v>44276</v>
      </c>
      <c r="M371" s="7">
        <f>DAY(Data[[#This Row],[Date]])</f>
        <v>21</v>
      </c>
      <c r="N371" s="7">
        <f>MONTH(Data[[#This Row],[Date]])</f>
        <v>3</v>
      </c>
      <c r="O371" s="7">
        <f>YEAR(Data[[#This Row],[Date]])</f>
        <v>2021</v>
      </c>
      <c r="P371" s="2">
        <v>0.53194444444444444</v>
      </c>
      <c r="Q371" t="s">
        <v>32</v>
      </c>
      <c r="R371">
        <v>135.44999999999999</v>
      </c>
      <c r="S371">
        <v>48.375</v>
      </c>
      <c r="T371">
        <v>7.8</v>
      </c>
    </row>
    <row r="372" spans="1:20" x14ac:dyDescent="0.55000000000000004">
      <c r="A372" t="s">
        <v>405</v>
      </c>
      <c r="B372" t="s">
        <v>41</v>
      </c>
      <c r="C372" t="s">
        <v>42</v>
      </c>
      <c r="D372" t="str">
        <f>"Br. "&amp;Data[[#This Row],[Branch]]&amp;" ("&amp;Data[[#This Row],[City]]&amp;")"</f>
        <v>Br. B (Mandalay)</v>
      </c>
      <c r="E372" t="s">
        <v>19</v>
      </c>
      <c r="F372" t="s">
        <v>20</v>
      </c>
      <c r="G372" t="s">
        <v>27</v>
      </c>
      <c r="H372">
        <v>26.26</v>
      </c>
      <c r="I372">
        <v>7</v>
      </c>
      <c r="J372">
        <v>9.1910000000000007</v>
      </c>
      <c r="K372">
        <v>183.82</v>
      </c>
      <c r="L372" s="1">
        <v>44276</v>
      </c>
      <c r="M372" s="7">
        <f>DAY(Data[[#This Row],[Date]])</f>
        <v>21</v>
      </c>
      <c r="N372" s="7">
        <f>MONTH(Data[[#This Row],[Date]])</f>
        <v>3</v>
      </c>
      <c r="O372" s="7">
        <f>YEAR(Data[[#This Row],[Date]])</f>
        <v>2021</v>
      </c>
      <c r="P372" s="2">
        <v>0.81944444444444442</v>
      </c>
      <c r="Q372" t="s">
        <v>28</v>
      </c>
      <c r="R372">
        <v>128.67400000000001</v>
      </c>
      <c r="S372">
        <v>45.954999999999998</v>
      </c>
      <c r="T372">
        <v>9.9</v>
      </c>
    </row>
    <row r="373" spans="1:20" x14ac:dyDescent="0.55000000000000004">
      <c r="A373" t="s">
        <v>406</v>
      </c>
      <c r="B373" t="s">
        <v>41</v>
      </c>
      <c r="C373" t="s">
        <v>42</v>
      </c>
      <c r="D373" t="str">
        <f>"Br. "&amp;Data[[#This Row],[Branch]]&amp;" ("&amp;Data[[#This Row],[City]]&amp;")"</f>
        <v>Br. B (Mandalay)</v>
      </c>
      <c r="E373" t="s">
        <v>26</v>
      </c>
      <c r="F373" t="s">
        <v>20</v>
      </c>
      <c r="G373" t="s">
        <v>45</v>
      </c>
      <c r="H373">
        <v>60.96</v>
      </c>
      <c r="I373">
        <v>2</v>
      </c>
      <c r="J373">
        <v>6.0960000000000001</v>
      </c>
      <c r="K373">
        <v>121.92</v>
      </c>
      <c r="L373" s="1">
        <v>44276</v>
      </c>
      <c r="M373" s="7">
        <f>DAY(Data[[#This Row],[Date]])</f>
        <v>21</v>
      </c>
      <c r="N373" s="7">
        <f>MONTH(Data[[#This Row],[Date]])</f>
        <v>3</v>
      </c>
      <c r="O373" s="7">
        <f>YEAR(Data[[#This Row],[Date]])</f>
        <v>2021</v>
      </c>
      <c r="P373" s="2">
        <v>0.81874999999999998</v>
      </c>
      <c r="Q373" t="s">
        <v>32</v>
      </c>
      <c r="R373">
        <v>85.343999999999994</v>
      </c>
      <c r="S373">
        <v>30.48</v>
      </c>
      <c r="T373">
        <v>4.9000000000000004</v>
      </c>
    </row>
    <row r="374" spans="1:20" x14ac:dyDescent="0.55000000000000004">
      <c r="A374" t="s">
        <v>407</v>
      </c>
      <c r="B374" t="s">
        <v>24</v>
      </c>
      <c r="C374" t="s">
        <v>25</v>
      </c>
      <c r="D374" t="str">
        <f>"Br. "&amp;Data[[#This Row],[Branch]]&amp;" ("&amp;Data[[#This Row],[City]]&amp;")"</f>
        <v>Br. C (Naypyitaw)</v>
      </c>
      <c r="E374" t="s">
        <v>26</v>
      </c>
      <c r="F374" t="s">
        <v>20</v>
      </c>
      <c r="G374" t="s">
        <v>31</v>
      </c>
      <c r="H374">
        <v>70.11</v>
      </c>
      <c r="I374">
        <v>6</v>
      </c>
      <c r="J374">
        <v>21.033000000000001</v>
      </c>
      <c r="K374">
        <v>420.66</v>
      </c>
      <c r="L374" s="1">
        <v>44276</v>
      </c>
      <c r="M374" s="7">
        <f>DAY(Data[[#This Row],[Date]])</f>
        <v>21</v>
      </c>
      <c r="N374" s="7">
        <f>MONTH(Data[[#This Row],[Date]])</f>
        <v>3</v>
      </c>
      <c r="O374" s="7">
        <f>YEAR(Data[[#This Row],[Date]])</f>
        <v>2021</v>
      </c>
      <c r="P374" s="2">
        <v>0.74583333333333335</v>
      </c>
      <c r="Q374" t="s">
        <v>22</v>
      </c>
      <c r="R374">
        <v>294.46199999999999</v>
      </c>
      <c r="S374">
        <v>105.16500000000001</v>
      </c>
      <c r="T374">
        <v>5.2</v>
      </c>
    </row>
    <row r="375" spans="1:20" x14ac:dyDescent="0.55000000000000004">
      <c r="A375" t="s">
        <v>408</v>
      </c>
      <c r="B375" t="s">
        <v>24</v>
      </c>
      <c r="C375" t="s">
        <v>25</v>
      </c>
      <c r="D375" t="str">
        <f>"Br. "&amp;Data[[#This Row],[Branch]]&amp;" ("&amp;Data[[#This Row],[City]]&amp;")"</f>
        <v>Br. C (Naypyitaw)</v>
      </c>
      <c r="E375" t="s">
        <v>26</v>
      </c>
      <c r="F375" t="s">
        <v>30</v>
      </c>
      <c r="G375" t="s">
        <v>45</v>
      </c>
      <c r="H375">
        <v>42.08</v>
      </c>
      <c r="I375">
        <v>6</v>
      </c>
      <c r="J375">
        <v>12.624000000000001</v>
      </c>
      <c r="K375">
        <v>252.48</v>
      </c>
      <c r="L375" s="1">
        <v>44276</v>
      </c>
      <c r="M375" s="7">
        <f>DAY(Data[[#This Row],[Date]])</f>
        <v>21</v>
      </c>
      <c r="N375" s="7">
        <f>MONTH(Data[[#This Row],[Date]])</f>
        <v>3</v>
      </c>
      <c r="O375" s="7">
        <f>YEAR(Data[[#This Row],[Date]])</f>
        <v>2021</v>
      </c>
      <c r="P375" s="2">
        <v>0.51736111111111116</v>
      </c>
      <c r="Q375" t="s">
        <v>28</v>
      </c>
      <c r="R375">
        <v>176.73599999999999</v>
      </c>
      <c r="S375">
        <v>63.12</v>
      </c>
      <c r="T375">
        <v>8.9</v>
      </c>
    </row>
    <row r="376" spans="1:20" x14ac:dyDescent="0.55000000000000004">
      <c r="A376" t="s">
        <v>409</v>
      </c>
      <c r="B376" t="s">
        <v>17</v>
      </c>
      <c r="C376" t="s">
        <v>18</v>
      </c>
      <c r="D376" t="str">
        <f>"Br. "&amp;Data[[#This Row],[Branch]]&amp;" ("&amp;Data[[#This Row],[City]]&amp;")"</f>
        <v>Br. A (Yangon)</v>
      </c>
      <c r="E376" t="s">
        <v>26</v>
      </c>
      <c r="F376" t="s">
        <v>20</v>
      </c>
      <c r="G376" t="s">
        <v>31</v>
      </c>
      <c r="H376">
        <v>67.09</v>
      </c>
      <c r="I376">
        <v>5</v>
      </c>
      <c r="J376">
        <v>16.772500000000001</v>
      </c>
      <c r="K376">
        <v>335.45</v>
      </c>
      <c r="L376" s="1">
        <v>44276</v>
      </c>
      <c r="M376" s="7">
        <f>DAY(Data[[#This Row],[Date]])</f>
        <v>21</v>
      </c>
      <c r="N376" s="7">
        <f>MONTH(Data[[#This Row],[Date]])</f>
        <v>3</v>
      </c>
      <c r="O376" s="7">
        <f>YEAR(Data[[#This Row],[Date]])</f>
        <v>2021</v>
      </c>
      <c r="P376" s="2">
        <v>0.69930555555555551</v>
      </c>
      <c r="Q376" t="s">
        <v>32</v>
      </c>
      <c r="R376">
        <v>234.815</v>
      </c>
      <c r="S376">
        <v>83.862499999999997</v>
      </c>
      <c r="T376">
        <v>9.1</v>
      </c>
    </row>
    <row r="377" spans="1:20" x14ac:dyDescent="0.55000000000000004">
      <c r="A377" t="s">
        <v>410</v>
      </c>
      <c r="B377" t="s">
        <v>17</v>
      </c>
      <c r="C377" t="s">
        <v>18</v>
      </c>
      <c r="D377" t="str">
        <f>"Br. "&amp;Data[[#This Row],[Branch]]&amp;" ("&amp;Data[[#This Row],[City]]&amp;")"</f>
        <v>Br. A (Yangon)</v>
      </c>
      <c r="E377" t="s">
        <v>19</v>
      </c>
      <c r="F377" t="s">
        <v>20</v>
      </c>
      <c r="G377" t="s">
        <v>45</v>
      </c>
      <c r="H377">
        <v>96.7</v>
      </c>
      <c r="I377">
        <v>5</v>
      </c>
      <c r="J377">
        <v>24.175000000000001</v>
      </c>
      <c r="K377">
        <v>483.5</v>
      </c>
      <c r="L377" s="1">
        <v>44276</v>
      </c>
      <c r="M377" s="7">
        <f>DAY(Data[[#This Row],[Date]])</f>
        <v>21</v>
      </c>
      <c r="N377" s="7">
        <f>MONTH(Data[[#This Row],[Date]])</f>
        <v>3</v>
      </c>
      <c r="O377" s="7">
        <f>YEAR(Data[[#This Row],[Date]])</f>
        <v>2021</v>
      </c>
      <c r="P377" s="2">
        <v>0.53611111111111109</v>
      </c>
      <c r="Q377" t="s">
        <v>22</v>
      </c>
      <c r="R377">
        <v>338.45</v>
      </c>
      <c r="S377">
        <v>120.875</v>
      </c>
      <c r="T377">
        <v>7</v>
      </c>
    </row>
    <row r="378" spans="1:20" x14ac:dyDescent="0.55000000000000004">
      <c r="A378" t="s">
        <v>411</v>
      </c>
      <c r="B378" t="s">
        <v>41</v>
      </c>
      <c r="C378" t="s">
        <v>42</v>
      </c>
      <c r="D378" t="str">
        <f>"Br. "&amp;Data[[#This Row],[Branch]]&amp;" ("&amp;Data[[#This Row],[City]]&amp;")"</f>
        <v>Br. B (Mandalay)</v>
      </c>
      <c r="E378" t="s">
        <v>19</v>
      </c>
      <c r="F378" t="s">
        <v>20</v>
      </c>
      <c r="G378" t="s">
        <v>31</v>
      </c>
      <c r="H378">
        <v>35.380000000000003</v>
      </c>
      <c r="I378">
        <v>9</v>
      </c>
      <c r="J378">
        <v>15.920999999999999</v>
      </c>
      <c r="K378">
        <v>318.42</v>
      </c>
      <c r="L378" s="1">
        <v>44276</v>
      </c>
      <c r="M378" s="7">
        <f>DAY(Data[[#This Row],[Date]])</f>
        <v>21</v>
      </c>
      <c r="N378" s="7">
        <f>MONTH(Data[[#This Row],[Date]])</f>
        <v>3</v>
      </c>
      <c r="O378" s="7">
        <f>YEAR(Data[[#This Row],[Date]])</f>
        <v>2021</v>
      </c>
      <c r="P378" s="2">
        <v>0.82638888888888884</v>
      </c>
      <c r="Q378" t="s">
        <v>32</v>
      </c>
      <c r="R378">
        <v>222.89400000000001</v>
      </c>
      <c r="S378">
        <v>79.605000000000004</v>
      </c>
      <c r="T378">
        <v>9.6</v>
      </c>
    </row>
    <row r="379" spans="1:20" x14ac:dyDescent="0.55000000000000004">
      <c r="A379" t="s">
        <v>412</v>
      </c>
      <c r="B379" t="s">
        <v>24</v>
      </c>
      <c r="C379" t="s">
        <v>25</v>
      </c>
      <c r="D379" t="str">
        <f>"Br. "&amp;Data[[#This Row],[Branch]]&amp;" ("&amp;Data[[#This Row],[City]]&amp;")"</f>
        <v>Br. C (Naypyitaw)</v>
      </c>
      <c r="E379" t="s">
        <v>26</v>
      </c>
      <c r="F379" t="s">
        <v>30</v>
      </c>
      <c r="G379" t="s">
        <v>35</v>
      </c>
      <c r="H379">
        <v>95.49</v>
      </c>
      <c r="I379">
        <v>7</v>
      </c>
      <c r="J379">
        <v>33.421500000000002</v>
      </c>
      <c r="K379">
        <v>668.43</v>
      </c>
      <c r="L379" s="1">
        <v>44276</v>
      </c>
      <c r="M379" s="7">
        <f>DAY(Data[[#This Row],[Date]])</f>
        <v>21</v>
      </c>
      <c r="N379" s="7">
        <f>MONTH(Data[[#This Row],[Date]])</f>
        <v>3</v>
      </c>
      <c r="O379" s="7">
        <f>YEAR(Data[[#This Row],[Date]])</f>
        <v>2021</v>
      </c>
      <c r="P379" s="2">
        <v>0.76180555555555551</v>
      </c>
      <c r="Q379" t="s">
        <v>22</v>
      </c>
      <c r="R379">
        <v>467.90100000000001</v>
      </c>
      <c r="S379">
        <v>167.10749999999999</v>
      </c>
      <c r="T379">
        <v>8.6999999999999993</v>
      </c>
    </row>
    <row r="380" spans="1:20" x14ac:dyDescent="0.55000000000000004">
      <c r="A380" t="s">
        <v>413</v>
      </c>
      <c r="B380" t="s">
        <v>24</v>
      </c>
      <c r="C380" t="s">
        <v>25</v>
      </c>
      <c r="D380" t="str">
        <f>"Br. "&amp;Data[[#This Row],[Branch]]&amp;" ("&amp;Data[[#This Row],[City]]&amp;")"</f>
        <v>Br. C (Naypyitaw)</v>
      </c>
      <c r="E380" t="s">
        <v>19</v>
      </c>
      <c r="F380" t="s">
        <v>30</v>
      </c>
      <c r="G380" t="s">
        <v>45</v>
      </c>
      <c r="H380">
        <v>96.98</v>
      </c>
      <c r="I380">
        <v>4</v>
      </c>
      <c r="J380">
        <v>19.396000000000001</v>
      </c>
      <c r="K380">
        <v>387.92</v>
      </c>
      <c r="L380" s="1">
        <v>44276</v>
      </c>
      <c r="M380" s="7">
        <f>DAY(Data[[#This Row],[Date]])</f>
        <v>21</v>
      </c>
      <c r="N380" s="7">
        <f>MONTH(Data[[#This Row],[Date]])</f>
        <v>3</v>
      </c>
      <c r="O380" s="7">
        <f>YEAR(Data[[#This Row],[Date]])</f>
        <v>2021</v>
      </c>
      <c r="P380" s="2">
        <v>0.72222222222222221</v>
      </c>
      <c r="Q380" t="s">
        <v>22</v>
      </c>
      <c r="R380">
        <v>271.54399999999998</v>
      </c>
      <c r="S380">
        <v>96.98</v>
      </c>
      <c r="T380">
        <v>9.4</v>
      </c>
    </row>
    <row r="381" spans="1:20" x14ac:dyDescent="0.55000000000000004">
      <c r="A381" t="s">
        <v>414</v>
      </c>
      <c r="B381" t="s">
        <v>41</v>
      </c>
      <c r="C381" t="s">
        <v>42</v>
      </c>
      <c r="D381" t="str">
        <f>"Br. "&amp;Data[[#This Row],[Branch]]&amp;" ("&amp;Data[[#This Row],[City]]&amp;")"</f>
        <v>Br. B (Mandalay)</v>
      </c>
      <c r="E381" t="s">
        <v>26</v>
      </c>
      <c r="F381" t="s">
        <v>20</v>
      </c>
      <c r="G381" t="s">
        <v>27</v>
      </c>
      <c r="H381">
        <v>23.65</v>
      </c>
      <c r="I381">
        <v>4</v>
      </c>
      <c r="J381">
        <v>4.7300000000000004</v>
      </c>
      <c r="K381">
        <v>94.6</v>
      </c>
      <c r="L381" s="1">
        <v>44276</v>
      </c>
      <c r="M381" s="7">
        <f>DAY(Data[[#This Row],[Date]])</f>
        <v>21</v>
      </c>
      <c r="N381" s="7">
        <f>MONTH(Data[[#This Row],[Date]])</f>
        <v>3</v>
      </c>
      <c r="O381" s="7">
        <f>YEAR(Data[[#This Row],[Date]])</f>
        <v>2021</v>
      </c>
      <c r="P381" s="2">
        <v>0.56388888888888888</v>
      </c>
      <c r="Q381" t="s">
        <v>32</v>
      </c>
      <c r="R381">
        <v>66.22</v>
      </c>
      <c r="S381">
        <v>23.65</v>
      </c>
      <c r="T381">
        <v>4</v>
      </c>
    </row>
    <row r="382" spans="1:20" x14ac:dyDescent="0.55000000000000004">
      <c r="A382" t="s">
        <v>415</v>
      </c>
      <c r="B382" t="s">
        <v>17</v>
      </c>
      <c r="C382" t="s">
        <v>18</v>
      </c>
      <c r="D382" t="str">
        <f>"Br. "&amp;Data[[#This Row],[Branch]]&amp;" ("&amp;Data[[#This Row],[City]]&amp;")"</f>
        <v>Br. A (Yangon)</v>
      </c>
      <c r="E382" t="s">
        <v>19</v>
      </c>
      <c r="F382" t="s">
        <v>30</v>
      </c>
      <c r="G382" t="s">
        <v>35</v>
      </c>
      <c r="H382">
        <v>82.33</v>
      </c>
      <c r="I382">
        <v>4</v>
      </c>
      <c r="J382">
        <v>16.466000000000001</v>
      </c>
      <c r="K382">
        <v>329.32</v>
      </c>
      <c r="L382" s="1">
        <v>44276</v>
      </c>
      <c r="M382" s="7">
        <f>DAY(Data[[#This Row],[Date]])</f>
        <v>21</v>
      </c>
      <c r="N382" s="7">
        <f>MONTH(Data[[#This Row],[Date]])</f>
        <v>3</v>
      </c>
      <c r="O382" s="7">
        <f>YEAR(Data[[#This Row],[Date]])</f>
        <v>2021</v>
      </c>
      <c r="P382" s="2">
        <v>0.44236111111111109</v>
      </c>
      <c r="Q382" t="s">
        <v>32</v>
      </c>
      <c r="R382">
        <v>230.524</v>
      </c>
      <c r="S382">
        <v>82.33</v>
      </c>
      <c r="T382">
        <v>7.5</v>
      </c>
    </row>
    <row r="383" spans="1:20" x14ac:dyDescent="0.55000000000000004">
      <c r="A383" t="s">
        <v>416</v>
      </c>
      <c r="B383" t="s">
        <v>24</v>
      </c>
      <c r="C383" t="s">
        <v>25</v>
      </c>
      <c r="D383" t="str">
        <f>"Br. "&amp;Data[[#This Row],[Branch]]&amp;" ("&amp;Data[[#This Row],[City]]&amp;")"</f>
        <v>Br. C (Naypyitaw)</v>
      </c>
      <c r="E383" t="s">
        <v>26</v>
      </c>
      <c r="F383" t="s">
        <v>20</v>
      </c>
      <c r="G383" t="s">
        <v>27</v>
      </c>
      <c r="H383">
        <v>26.61</v>
      </c>
      <c r="I383">
        <v>2</v>
      </c>
      <c r="J383">
        <v>2.661</v>
      </c>
      <c r="K383">
        <v>53.22</v>
      </c>
      <c r="L383" s="1">
        <v>44276</v>
      </c>
      <c r="M383" s="7">
        <f>DAY(Data[[#This Row],[Date]])</f>
        <v>21</v>
      </c>
      <c r="N383" s="7">
        <f>MONTH(Data[[#This Row],[Date]])</f>
        <v>3</v>
      </c>
      <c r="O383" s="7">
        <f>YEAR(Data[[#This Row],[Date]])</f>
        <v>2021</v>
      </c>
      <c r="P383" s="2">
        <v>0.60763888888888884</v>
      </c>
      <c r="Q383" t="s">
        <v>28</v>
      </c>
      <c r="R383">
        <v>37.253999999999998</v>
      </c>
      <c r="S383">
        <v>13.305</v>
      </c>
      <c r="T383">
        <v>4.2</v>
      </c>
    </row>
    <row r="384" spans="1:20" x14ac:dyDescent="0.55000000000000004">
      <c r="A384" t="s">
        <v>417</v>
      </c>
      <c r="B384" t="s">
        <v>41</v>
      </c>
      <c r="C384" t="s">
        <v>42</v>
      </c>
      <c r="D384" t="str">
        <f>"Br. "&amp;Data[[#This Row],[Branch]]&amp;" ("&amp;Data[[#This Row],[City]]&amp;")"</f>
        <v>Br. B (Mandalay)</v>
      </c>
      <c r="E384" t="s">
        <v>26</v>
      </c>
      <c r="F384" t="s">
        <v>20</v>
      </c>
      <c r="G384" t="s">
        <v>43</v>
      </c>
      <c r="H384">
        <v>99.69</v>
      </c>
      <c r="I384">
        <v>5</v>
      </c>
      <c r="J384">
        <v>24.922499999999999</v>
      </c>
      <c r="K384">
        <v>498.45</v>
      </c>
      <c r="L384" s="1">
        <v>44276</v>
      </c>
      <c r="M384" s="7">
        <f>DAY(Data[[#This Row],[Date]])</f>
        <v>21</v>
      </c>
      <c r="N384" s="7">
        <f>MONTH(Data[[#This Row],[Date]])</f>
        <v>3</v>
      </c>
      <c r="O384" s="7">
        <f>YEAR(Data[[#This Row],[Date]])</f>
        <v>2021</v>
      </c>
      <c r="P384" s="2">
        <v>0.50624999999999998</v>
      </c>
      <c r="Q384" t="s">
        <v>28</v>
      </c>
      <c r="R384">
        <v>348.91500000000002</v>
      </c>
      <c r="S384">
        <v>124.6125</v>
      </c>
      <c r="T384">
        <v>9.9</v>
      </c>
    </row>
    <row r="385" spans="1:20" x14ac:dyDescent="0.55000000000000004">
      <c r="A385" t="s">
        <v>418</v>
      </c>
      <c r="B385" t="s">
        <v>24</v>
      </c>
      <c r="C385" t="s">
        <v>25</v>
      </c>
      <c r="D385" t="str">
        <f>"Br. "&amp;Data[[#This Row],[Branch]]&amp;" ("&amp;Data[[#This Row],[City]]&amp;")"</f>
        <v>Br. C (Naypyitaw)</v>
      </c>
      <c r="E385" t="s">
        <v>19</v>
      </c>
      <c r="F385" t="s">
        <v>20</v>
      </c>
      <c r="G385" t="s">
        <v>43</v>
      </c>
      <c r="H385">
        <v>74.89</v>
      </c>
      <c r="I385">
        <v>4</v>
      </c>
      <c r="J385">
        <v>14.978</v>
      </c>
      <c r="K385">
        <v>299.56</v>
      </c>
      <c r="L385" s="1">
        <v>44276</v>
      </c>
      <c r="M385" s="7">
        <f>DAY(Data[[#This Row],[Date]])</f>
        <v>21</v>
      </c>
      <c r="N385" s="7">
        <f>MONTH(Data[[#This Row],[Date]])</f>
        <v>3</v>
      </c>
      <c r="O385" s="7">
        <f>YEAR(Data[[#This Row],[Date]])</f>
        <v>2021</v>
      </c>
      <c r="P385" s="2">
        <v>0.64722222222222225</v>
      </c>
      <c r="Q385" t="s">
        <v>22</v>
      </c>
      <c r="R385">
        <v>209.69200000000001</v>
      </c>
      <c r="S385">
        <v>74.89</v>
      </c>
      <c r="T385">
        <v>4.2</v>
      </c>
    </row>
    <row r="386" spans="1:20" x14ac:dyDescent="0.55000000000000004">
      <c r="A386" t="s">
        <v>419</v>
      </c>
      <c r="B386" t="s">
        <v>17</v>
      </c>
      <c r="C386" t="s">
        <v>18</v>
      </c>
      <c r="D386" t="str">
        <f>"Br. "&amp;Data[[#This Row],[Branch]]&amp;" ("&amp;Data[[#This Row],[City]]&amp;")"</f>
        <v>Br. A (Yangon)</v>
      </c>
      <c r="E386" t="s">
        <v>26</v>
      </c>
      <c r="F386" t="s">
        <v>20</v>
      </c>
      <c r="G386" t="s">
        <v>43</v>
      </c>
      <c r="H386">
        <v>40.94</v>
      </c>
      <c r="I386">
        <v>5</v>
      </c>
      <c r="J386">
        <v>10.234999999999999</v>
      </c>
      <c r="K386">
        <v>204.7</v>
      </c>
      <c r="L386" s="1">
        <v>44276</v>
      </c>
      <c r="M386" s="7">
        <f>DAY(Data[[#This Row],[Date]])</f>
        <v>21</v>
      </c>
      <c r="N386" s="7">
        <f>MONTH(Data[[#This Row],[Date]])</f>
        <v>3</v>
      </c>
      <c r="O386" s="7">
        <f>YEAR(Data[[#This Row],[Date]])</f>
        <v>2021</v>
      </c>
      <c r="P386" s="2">
        <v>0.58194444444444449</v>
      </c>
      <c r="Q386" t="s">
        <v>22</v>
      </c>
      <c r="R386">
        <v>143.29</v>
      </c>
      <c r="S386">
        <v>51.174999999999997</v>
      </c>
      <c r="T386">
        <v>9.9</v>
      </c>
    </row>
    <row r="387" spans="1:20" x14ac:dyDescent="0.55000000000000004">
      <c r="A387" t="s">
        <v>420</v>
      </c>
      <c r="B387" t="s">
        <v>41</v>
      </c>
      <c r="C387" t="s">
        <v>42</v>
      </c>
      <c r="D387" t="str">
        <f>"Br. "&amp;Data[[#This Row],[Branch]]&amp;" ("&amp;Data[[#This Row],[City]]&amp;")"</f>
        <v>Br. B (Mandalay)</v>
      </c>
      <c r="E387" t="s">
        <v>19</v>
      </c>
      <c r="F387" t="s">
        <v>30</v>
      </c>
      <c r="G387" t="s">
        <v>35</v>
      </c>
      <c r="H387">
        <v>75.819999999999993</v>
      </c>
      <c r="I387">
        <v>1</v>
      </c>
      <c r="J387">
        <v>3.7909999999999999</v>
      </c>
      <c r="K387">
        <v>75.819999999999993</v>
      </c>
      <c r="L387" s="1">
        <v>44276</v>
      </c>
      <c r="M387" s="7">
        <f>DAY(Data[[#This Row],[Date]])</f>
        <v>21</v>
      </c>
      <c r="N387" s="7">
        <f>MONTH(Data[[#This Row],[Date]])</f>
        <v>3</v>
      </c>
      <c r="O387" s="7">
        <f>YEAR(Data[[#This Row],[Date]])</f>
        <v>2021</v>
      </c>
      <c r="P387" s="2">
        <v>0.55486111111111114</v>
      </c>
      <c r="Q387" t="s">
        <v>28</v>
      </c>
      <c r="R387">
        <v>53.073999999999998</v>
      </c>
      <c r="S387">
        <v>18.954999999999998</v>
      </c>
      <c r="T387">
        <v>5.8</v>
      </c>
    </row>
    <row r="388" spans="1:20" x14ac:dyDescent="0.55000000000000004">
      <c r="A388" t="s">
        <v>421</v>
      </c>
      <c r="B388" t="s">
        <v>24</v>
      </c>
      <c r="C388" t="s">
        <v>25</v>
      </c>
      <c r="D388" t="str">
        <f>"Br. "&amp;Data[[#This Row],[Branch]]&amp;" ("&amp;Data[[#This Row],[City]]&amp;")"</f>
        <v>Br. C (Naypyitaw)</v>
      </c>
      <c r="E388" t="s">
        <v>26</v>
      </c>
      <c r="F388" t="s">
        <v>30</v>
      </c>
      <c r="G388" t="s">
        <v>43</v>
      </c>
      <c r="H388">
        <v>46.77</v>
      </c>
      <c r="I388">
        <v>6</v>
      </c>
      <c r="J388">
        <v>14.031000000000001</v>
      </c>
      <c r="K388">
        <v>280.62</v>
      </c>
      <c r="L388" s="1">
        <v>44276</v>
      </c>
      <c r="M388" s="7">
        <f>DAY(Data[[#This Row],[Date]])</f>
        <v>21</v>
      </c>
      <c r="N388" s="7">
        <f>MONTH(Data[[#This Row],[Date]])</f>
        <v>3</v>
      </c>
      <c r="O388" s="7">
        <f>YEAR(Data[[#This Row],[Date]])</f>
        <v>2021</v>
      </c>
      <c r="P388" s="2">
        <v>0.56736111111111109</v>
      </c>
      <c r="Q388" t="s">
        <v>28</v>
      </c>
      <c r="R388">
        <v>196.434</v>
      </c>
      <c r="S388">
        <v>70.155000000000001</v>
      </c>
      <c r="T388">
        <v>6</v>
      </c>
    </row>
    <row r="389" spans="1:20" x14ac:dyDescent="0.55000000000000004">
      <c r="A389" t="s">
        <v>422</v>
      </c>
      <c r="B389" t="s">
        <v>17</v>
      </c>
      <c r="C389" t="s">
        <v>18</v>
      </c>
      <c r="D389" t="str">
        <f>"Br. "&amp;Data[[#This Row],[Branch]]&amp;" ("&amp;Data[[#This Row],[City]]&amp;")"</f>
        <v>Br. A (Yangon)</v>
      </c>
      <c r="E389" t="s">
        <v>26</v>
      </c>
      <c r="F389" t="s">
        <v>20</v>
      </c>
      <c r="G389" t="s">
        <v>21</v>
      </c>
      <c r="H389">
        <v>32.32</v>
      </c>
      <c r="I389">
        <v>10</v>
      </c>
      <c r="J389">
        <v>16.16</v>
      </c>
      <c r="K389">
        <v>323.2</v>
      </c>
      <c r="L389" s="1">
        <v>44276</v>
      </c>
      <c r="M389" s="7">
        <f>DAY(Data[[#This Row],[Date]])</f>
        <v>21</v>
      </c>
      <c r="N389" s="7">
        <f>MONTH(Data[[#This Row],[Date]])</f>
        <v>3</v>
      </c>
      <c r="O389" s="7">
        <f>YEAR(Data[[#This Row],[Date]])</f>
        <v>2021</v>
      </c>
      <c r="P389" s="2">
        <v>0.7006944444444444</v>
      </c>
      <c r="Q389" t="s">
        <v>32</v>
      </c>
      <c r="R389">
        <v>226.24</v>
      </c>
      <c r="S389">
        <v>80.8</v>
      </c>
      <c r="T389">
        <v>10</v>
      </c>
    </row>
    <row r="390" spans="1:20" x14ac:dyDescent="0.55000000000000004">
      <c r="A390" t="s">
        <v>423</v>
      </c>
      <c r="B390" t="s">
        <v>24</v>
      </c>
      <c r="C390" t="s">
        <v>25</v>
      </c>
      <c r="D390" t="str">
        <f>"Br. "&amp;Data[[#This Row],[Branch]]&amp;" ("&amp;Data[[#This Row],[City]]&amp;")"</f>
        <v>Br. C (Naypyitaw)</v>
      </c>
      <c r="E390" t="s">
        <v>19</v>
      </c>
      <c r="F390" t="s">
        <v>20</v>
      </c>
      <c r="G390" t="s">
        <v>45</v>
      </c>
      <c r="H390">
        <v>54.07</v>
      </c>
      <c r="I390">
        <v>9</v>
      </c>
      <c r="J390">
        <v>24.331499999999998</v>
      </c>
      <c r="K390">
        <v>486.63</v>
      </c>
      <c r="L390" s="1">
        <v>44276</v>
      </c>
      <c r="M390" s="7">
        <f>DAY(Data[[#This Row],[Date]])</f>
        <v>21</v>
      </c>
      <c r="N390" s="7">
        <f>MONTH(Data[[#This Row],[Date]])</f>
        <v>3</v>
      </c>
      <c r="O390" s="7">
        <f>YEAR(Data[[#This Row],[Date]])</f>
        <v>2021</v>
      </c>
      <c r="P390" s="2">
        <v>0.62152777777777779</v>
      </c>
      <c r="Q390" t="s">
        <v>22</v>
      </c>
      <c r="R390">
        <v>340.64100000000002</v>
      </c>
      <c r="S390">
        <v>121.6575</v>
      </c>
      <c r="T390">
        <v>9.5</v>
      </c>
    </row>
    <row r="391" spans="1:20" x14ac:dyDescent="0.55000000000000004">
      <c r="A391" t="s">
        <v>424</v>
      </c>
      <c r="B391" t="s">
        <v>41</v>
      </c>
      <c r="C391" t="s">
        <v>42</v>
      </c>
      <c r="D391" t="str">
        <f>"Br. "&amp;Data[[#This Row],[Branch]]&amp;" ("&amp;Data[[#This Row],[City]]&amp;")"</f>
        <v>Br. B (Mandalay)</v>
      </c>
      <c r="E391" t="s">
        <v>26</v>
      </c>
      <c r="F391" t="s">
        <v>30</v>
      </c>
      <c r="G391" t="s">
        <v>43</v>
      </c>
      <c r="H391">
        <v>18.22</v>
      </c>
      <c r="I391">
        <v>7</v>
      </c>
      <c r="J391">
        <v>6.3769999999999998</v>
      </c>
      <c r="K391">
        <v>127.54</v>
      </c>
      <c r="L391" s="1">
        <v>44276</v>
      </c>
      <c r="M391" s="7">
        <f>DAY(Data[[#This Row],[Date]])</f>
        <v>21</v>
      </c>
      <c r="N391" s="7">
        <f>MONTH(Data[[#This Row],[Date]])</f>
        <v>3</v>
      </c>
      <c r="O391" s="7">
        <f>YEAR(Data[[#This Row],[Date]])</f>
        <v>2021</v>
      </c>
      <c r="P391" s="2">
        <v>0.58611111111111114</v>
      </c>
      <c r="Q391" t="s">
        <v>32</v>
      </c>
      <c r="R391">
        <v>89.278000000000006</v>
      </c>
      <c r="S391">
        <v>31.885000000000002</v>
      </c>
      <c r="T391">
        <v>6.6</v>
      </c>
    </row>
    <row r="392" spans="1:20" x14ac:dyDescent="0.55000000000000004">
      <c r="A392" t="s">
        <v>425</v>
      </c>
      <c r="B392" t="s">
        <v>24</v>
      </c>
      <c r="C392" t="s">
        <v>25</v>
      </c>
      <c r="D392" t="str">
        <f>"Br. "&amp;Data[[#This Row],[Branch]]&amp;" ("&amp;Data[[#This Row],[City]]&amp;")"</f>
        <v>Br. C (Naypyitaw)</v>
      </c>
      <c r="E392" t="s">
        <v>19</v>
      </c>
      <c r="F392" t="s">
        <v>20</v>
      </c>
      <c r="G392" t="s">
        <v>45</v>
      </c>
      <c r="H392">
        <v>80.48</v>
      </c>
      <c r="I392">
        <v>3</v>
      </c>
      <c r="J392">
        <v>12.071999999999999</v>
      </c>
      <c r="K392">
        <v>241.44</v>
      </c>
      <c r="L392" s="1">
        <v>44276</v>
      </c>
      <c r="M392" s="7">
        <f>DAY(Data[[#This Row],[Date]])</f>
        <v>21</v>
      </c>
      <c r="N392" s="7">
        <f>MONTH(Data[[#This Row],[Date]])</f>
        <v>3</v>
      </c>
      <c r="O392" s="7">
        <f>YEAR(Data[[#This Row],[Date]])</f>
        <v>2021</v>
      </c>
      <c r="P392" s="2">
        <v>0.52152777777777781</v>
      </c>
      <c r="Q392" t="s">
        <v>28</v>
      </c>
      <c r="R392">
        <v>169.00800000000001</v>
      </c>
      <c r="S392">
        <v>60.36</v>
      </c>
      <c r="T392">
        <v>8.1</v>
      </c>
    </row>
    <row r="393" spans="1:20" x14ac:dyDescent="0.55000000000000004">
      <c r="A393" t="s">
        <v>426</v>
      </c>
      <c r="B393" t="s">
        <v>41</v>
      </c>
      <c r="C393" t="s">
        <v>42</v>
      </c>
      <c r="D393" t="str">
        <f>"Br. "&amp;Data[[#This Row],[Branch]]&amp;" ("&amp;Data[[#This Row],[City]]&amp;")"</f>
        <v>Br. B (Mandalay)</v>
      </c>
      <c r="E393" t="s">
        <v>26</v>
      </c>
      <c r="F393" t="s">
        <v>20</v>
      </c>
      <c r="G393" t="s">
        <v>45</v>
      </c>
      <c r="H393">
        <v>37.950000000000003</v>
      </c>
      <c r="I393">
        <v>10</v>
      </c>
      <c r="J393">
        <v>18.975000000000001</v>
      </c>
      <c r="K393">
        <v>379.5</v>
      </c>
      <c r="L393" s="1">
        <v>44276</v>
      </c>
      <c r="M393" s="7">
        <f>DAY(Data[[#This Row],[Date]])</f>
        <v>21</v>
      </c>
      <c r="N393" s="7">
        <f>MONTH(Data[[#This Row],[Date]])</f>
        <v>3</v>
      </c>
      <c r="O393" s="7">
        <f>YEAR(Data[[#This Row],[Date]])</f>
        <v>2021</v>
      </c>
      <c r="P393" s="2">
        <v>0.61875000000000002</v>
      </c>
      <c r="Q393" t="s">
        <v>28</v>
      </c>
      <c r="R393">
        <v>265.64999999999998</v>
      </c>
      <c r="S393">
        <v>94.875</v>
      </c>
      <c r="T393">
        <v>9.6999999999999993</v>
      </c>
    </row>
    <row r="394" spans="1:20" x14ac:dyDescent="0.55000000000000004">
      <c r="A394" t="s">
        <v>427</v>
      </c>
      <c r="B394" t="s">
        <v>17</v>
      </c>
      <c r="C394" t="s">
        <v>18</v>
      </c>
      <c r="D394" t="str">
        <f>"Br. "&amp;Data[[#This Row],[Branch]]&amp;" ("&amp;Data[[#This Row],[City]]&amp;")"</f>
        <v>Br. A (Yangon)</v>
      </c>
      <c r="E394" t="s">
        <v>19</v>
      </c>
      <c r="F394" t="s">
        <v>30</v>
      </c>
      <c r="G394" t="s">
        <v>27</v>
      </c>
      <c r="H394">
        <v>76.819999999999993</v>
      </c>
      <c r="I394">
        <v>1</v>
      </c>
      <c r="J394">
        <v>3.8410000000000002</v>
      </c>
      <c r="K394">
        <v>76.819999999999993</v>
      </c>
      <c r="L394" s="1">
        <v>44276</v>
      </c>
      <c r="M394" s="7">
        <f>DAY(Data[[#This Row],[Date]])</f>
        <v>21</v>
      </c>
      <c r="N394" s="7">
        <f>MONTH(Data[[#This Row],[Date]])</f>
        <v>3</v>
      </c>
      <c r="O394" s="7">
        <f>YEAR(Data[[#This Row],[Date]])</f>
        <v>2021</v>
      </c>
      <c r="P394" s="2">
        <v>0.76875000000000004</v>
      </c>
      <c r="Q394" t="s">
        <v>22</v>
      </c>
      <c r="R394">
        <v>53.774000000000001</v>
      </c>
      <c r="S394">
        <v>19.204999999999998</v>
      </c>
      <c r="T394">
        <v>7.2</v>
      </c>
    </row>
    <row r="395" spans="1:20" x14ac:dyDescent="0.55000000000000004">
      <c r="A395" t="s">
        <v>428</v>
      </c>
      <c r="B395" t="s">
        <v>17</v>
      </c>
      <c r="C395" t="s">
        <v>18</v>
      </c>
      <c r="D395" t="str">
        <f>"Br. "&amp;Data[[#This Row],[Branch]]&amp;" ("&amp;Data[[#This Row],[City]]&amp;")"</f>
        <v>Br. A (Yangon)</v>
      </c>
      <c r="E395" t="s">
        <v>19</v>
      </c>
      <c r="F395" t="s">
        <v>20</v>
      </c>
      <c r="G395" t="s">
        <v>35</v>
      </c>
      <c r="H395">
        <v>52.26</v>
      </c>
      <c r="I395">
        <v>10</v>
      </c>
      <c r="J395">
        <v>26.13</v>
      </c>
      <c r="K395">
        <v>522.6</v>
      </c>
      <c r="L395" s="1">
        <v>44276</v>
      </c>
      <c r="M395" s="7">
        <f>DAY(Data[[#This Row],[Date]])</f>
        <v>21</v>
      </c>
      <c r="N395" s="7">
        <f>MONTH(Data[[#This Row],[Date]])</f>
        <v>3</v>
      </c>
      <c r="O395" s="7">
        <f>YEAR(Data[[#This Row],[Date]])</f>
        <v>2021</v>
      </c>
      <c r="P395" s="2">
        <v>0.53125</v>
      </c>
      <c r="Q395" t="s">
        <v>32</v>
      </c>
      <c r="R395">
        <v>365.82</v>
      </c>
      <c r="S395">
        <v>130.65</v>
      </c>
      <c r="T395">
        <v>6.2</v>
      </c>
    </row>
    <row r="396" spans="1:20" x14ac:dyDescent="0.55000000000000004">
      <c r="A396" t="s">
        <v>429</v>
      </c>
      <c r="B396" t="s">
        <v>17</v>
      </c>
      <c r="C396" t="s">
        <v>18</v>
      </c>
      <c r="D396" t="str">
        <f>"Br. "&amp;Data[[#This Row],[Branch]]&amp;" ("&amp;Data[[#This Row],[City]]&amp;")"</f>
        <v>Br. A (Yangon)</v>
      </c>
      <c r="E396" t="s">
        <v>26</v>
      </c>
      <c r="F396" t="s">
        <v>20</v>
      </c>
      <c r="G396" t="s">
        <v>21</v>
      </c>
      <c r="H396">
        <v>79.739999999999995</v>
      </c>
      <c r="I396">
        <v>1</v>
      </c>
      <c r="J396">
        <v>3.9870000000000001</v>
      </c>
      <c r="K396">
        <v>79.739999999999995</v>
      </c>
      <c r="L396" s="1">
        <v>44276</v>
      </c>
      <c r="M396" s="7">
        <f>DAY(Data[[#This Row],[Date]])</f>
        <v>21</v>
      </c>
      <c r="N396" s="7">
        <f>MONTH(Data[[#This Row],[Date]])</f>
        <v>3</v>
      </c>
      <c r="O396" s="7">
        <f>YEAR(Data[[#This Row],[Date]])</f>
        <v>2021</v>
      </c>
      <c r="P396" s="2">
        <v>0.44166666666666665</v>
      </c>
      <c r="Q396" t="s">
        <v>22</v>
      </c>
      <c r="R396">
        <v>55.817999999999998</v>
      </c>
      <c r="S396">
        <v>19.934999999999999</v>
      </c>
      <c r="T396">
        <v>7.3</v>
      </c>
    </row>
    <row r="397" spans="1:20" x14ac:dyDescent="0.55000000000000004">
      <c r="A397" t="s">
        <v>430</v>
      </c>
      <c r="B397" t="s">
        <v>17</v>
      </c>
      <c r="C397" t="s">
        <v>18</v>
      </c>
      <c r="D397" t="str">
        <f>"Br. "&amp;Data[[#This Row],[Branch]]&amp;" ("&amp;Data[[#This Row],[City]]&amp;")"</f>
        <v>Br. A (Yangon)</v>
      </c>
      <c r="E397" t="s">
        <v>26</v>
      </c>
      <c r="F397" t="s">
        <v>20</v>
      </c>
      <c r="G397" t="s">
        <v>21</v>
      </c>
      <c r="H397">
        <v>77.5</v>
      </c>
      <c r="I397">
        <v>5</v>
      </c>
      <c r="J397">
        <v>19.375</v>
      </c>
      <c r="K397">
        <v>387.5</v>
      </c>
      <c r="L397" s="1">
        <v>44276</v>
      </c>
      <c r="M397" s="7">
        <f>DAY(Data[[#This Row],[Date]])</f>
        <v>21</v>
      </c>
      <c r="N397" s="7">
        <f>MONTH(Data[[#This Row],[Date]])</f>
        <v>3</v>
      </c>
      <c r="O397" s="7">
        <f>YEAR(Data[[#This Row],[Date]])</f>
        <v>2021</v>
      </c>
      <c r="P397" s="2">
        <v>0.85833333333333328</v>
      </c>
      <c r="Q397" t="s">
        <v>22</v>
      </c>
      <c r="R397">
        <v>271.25</v>
      </c>
      <c r="S397">
        <v>96.875</v>
      </c>
      <c r="T397">
        <v>4.3</v>
      </c>
    </row>
    <row r="398" spans="1:20" x14ac:dyDescent="0.55000000000000004">
      <c r="A398" t="s">
        <v>431</v>
      </c>
      <c r="B398" t="s">
        <v>17</v>
      </c>
      <c r="C398" t="s">
        <v>18</v>
      </c>
      <c r="D398" t="str">
        <f>"Br. "&amp;Data[[#This Row],[Branch]]&amp;" ("&amp;Data[[#This Row],[City]]&amp;")"</f>
        <v>Br. A (Yangon)</v>
      </c>
      <c r="E398" t="s">
        <v>26</v>
      </c>
      <c r="F398" t="s">
        <v>20</v>
      </c>
      <c r="G398" t="s">
        <v>43</v>
      </c>
      <c r="H398">
        <v>54.27</v>
      </c>
      <c r="I398">
        <v>5</v>
      </c>
      <c r="J398">
        <v>13.567500000000001</v>
      </c>
      <c r="K398">
        <v>271.35000000000002</v>
      </c>
      <c r="L398" s="1">
        <v>44276</v>
      </c>
      <c r="M398" s="7">
        <f>DAY(Data[[#This Row],[Date]])</f>
        <v>21</v>
      </c>
      <c r="N398" s="7">
        <f>MONTH(Data[[#This Row],[Date]])</f>
        <v>3</v>
      </c>
      <c r="O398" s="7">
        <f>YEAR(Data[[#This Row],[Date]])</f>
        <v>2021</v>
      </c>
      <c r="P398" s="2">
        <v>0.59444444444444444</v>
      </c>
      <c r="Q398" t="s">
        <v>22</v>
      </c>
      <c r="R398">
        <v>189.94499999999999</v>
      </c>
      <c r="S398">
        <v>67.837500000000006</v>
      </c>
      <c r="T398">
        <v>4.5999999999999996</v>
      </c>
    </row>
    <row r="399" spans="1:20" x14ac:dyDescent="0.55000000000000004">
      <c r="A399" t="s">
        <v>432</v>
      </c>
      <c r="B399" t="s">
        <v>41</v>
      </c>
      <c r="C399" t="s">
        <v>42</v>
      </c>
      <c r="D399" t="str">
        <f>"Br. "&amp;Data[[#This Row],[Branch]]&amp;" ("&amp;Data[[#This Row],[City]]&amp;")"</f>
        <v>Br. B (Mandalay)</v>
      </c>
      <c r="E399" t="s">
        <v>26</v>
      </c>
      <c r="F399" t="s">
        <v>30</v>
      </c>
      <c r="G399" t="s">
        <v>31</v>
      </c>
      <c r="H399">
        <v>13.59</v>
      </c>
      <c r="I399">
        <v>9</v>
      </c>
      <c r="J399">
        <v>6.1154999999999999</v>
      </c>
      <c r="K399">
        <v>122.31</v>
      </c>
      <c r="L399" s="1">
        <v>44276</v>
      </c>
      <c r="M399" s="7">
        <f>DAY(Data[[#This Row],[Date]])</f>
        <v>21</v>
      </c>
      <c r="N399" s="7">
        <f>MONTH(Data[[#This Row],[Date]])</f>
        <v>3</v>
      </c>
      <c r="O399" s="7">
        <f>YEAR(Data[[#This Row],[Date]])</f>
        <v>2021</v>
      </c>
      <c r="P399" s="2">
        <v>0.43472222222222223</v>
      </c>
      <c r="Q399" t="s">
        <v>28</v>
      </c>
      <c r="R399">
        <v>85.617000000000004</v>
      </c>
      <c r="S399">
        <v>30.577500000000001</v>
      </c>
      <c r="T399">
        <v>5.8</v>
      </c>
    </row>
    <row r="400" spans="1:20" x14ac:dyDescent="0.55000000000000004">
      <c r="A400" t="s">
        <v>433</v>
      </c>
      <c r="B400" t="s">
        <v>41</v>
      </c>
      <c r="C400" t="s">
        <v>42</v>
      </c>
      <c r="D400" t="str">
        <f>"Br. "&amp;Data[[#This Row],[Branch]]&amp;" ("&amp;Data[[#This Row],[City]]&amp;")"</f>
        <v>Br. B (Mandalay)</v>
      </c>
      <c r="E400" t="s">
        <v>19</v>
      </c>
      <c r="F400" t="s">
        <v>20</v>
      </c>
      <c r="G400" t="s">
        <v>21</v>
      </c>
      <c r="H400">
        <v>41.06</v>
      </c>
      <c r="I400">
        <v>6</v>
      </c>
      <c r="J400">
        <v>12.318</v>
      </c>
      <c r="K400">
        <v>246.36</v>
      </c>
      <c r="L400" s="1">
        <v>44276</v>
      </c>
      <c r="M400" s="7">
        <f>DAY(Data[[#This Row],[Date]])</f>
        <v>21</v>
      </c>
      <c r="N400" s="7">
        <f>MONTH(Data[[#This Row],[Date]])</f>
        <v>3</v>
      </c>
      <c r="O400" s="7">
        <f>YEAR(Data[[#This Row],[Date]])</f>
        <v>2021</v>
      </c>
      <c r="P400" s="2">
        <v>0.5625</v>
      </c>
      <c r="Q400" t="s">
        <v>32</v>
      </c>
      <c r="R400">
        <v>172.452</v>
      </c>
      <c r="S400">
        <v>61.59</v>
      </c>
      <c r="T400">
        <v>8.3000000000000007</v>
      </c>
    </row>
    <row r="401" spans="1:20" x14ac:dyDescent="0.55000000000000004">
      <c r="A401" t="s">
        <v>434</v>
      </c>
      <c r="B401" t="s">
        <v>41</v>
      </c>
      <c r="C401" t="s">
        <v>42</v>
      </c>
      <c r="D401" t="str">
        <f>"Br. "&amp;Data[[#This Row],[Branch]]&amp;" ("&amp;Data[[#This Row],[City]]&amp;")"</f>
        <v>Br. B (Mandalay)</v>
      </c>
      <c r="E401" t="s">
        <v>19</v>
      </c>
      <c r="F401" t="s">
        <v>30</v>
      </c>
      <c r="G401" t="s">
        <v>27</v>
      </c>
      <c r="H401">
        <v>19.239999999999998</v>
      </c>
      <c r="I401">
        <v>9</v>
      </c>
      <c r="J401">
        <v>8.6579999999999995</v>
      </c>
      <c r="K401">
        <v>173.16</v>
      </c>
      <c r="L401" s="1">
        <v>44276</v>
      </c>
      <c r="M401" s="7">
        <f>DAY(Data[[#This Row],[Date]])</f>
        <v>21</v>
      </c>
      <c r="N401" s="7">
        <f>MONTH(Data[[#This Row],[Date]])</f>
        <v>3</v>
      </c>
      <c r="O401" s="7">
        <f>YEAR(Data[[#This Row],[Date]])</f>
        <v>2021</v>
      </c>
      <c r="P401" s="2">
        <v>0.68611111111111112</v>
      </c>
      <c r="Q401" t="s">
        <v>28</v>
      </c>
      <c r="R401">
        <v>121.212</v>
      </c>
      <c r="S401">
        <v>43.29</v>
      </c>
      <c r="T401">
        <v>8</v>
      </c>
    </row>
    <row r="402" spans="1:20" x14ac:dyDescent="0.55000000000000004">
      <c r="A402" t="s">
        <v>435</v>
      </c>
      <c r="B402" t="s">
        <v>24</v>
      </c>
      <c r="C402" t="s">
        <v>25</v>
      </c>
      <c r="D402" t="str">
        <f>"Br. "&amp;Data[[#This Row],[Branch]]&amp;" ("&amp;Data[[#This Row],[City]]&amp;")"</f>
        <v>Br. C (Naypyitaw)</v>
      </c>
      <c r="E402" t="s">
        <v>26</v>
      </c>
      <c r="F402" t="s">
        <v>20</v>
      </c>
      <c r="G402" t="s">
        <v>43</v>
      </c>
      <c r="H402">
        <v>39.43</v>
      </c>
      <c r="I402">
        <v>6</v>
      </c>
      <c r="J402">
        <v>11.829000000000001</v>
      </c>
      <c r="K402">
        <v>236.58</v>
      </c>
      <c r="L402" s="1">
        <v>44276</v>
      </c>
      <c r="M402" s="7">
        <f>DAY(Data[[#This Row],[Date]])</f>
        <v>21</v>
      </c>
      <c r="N402" s="7">
        <f>MONTH(Data[[#This Row],[Date]])</f>
        <v>3</v>
      </c>
      <c r="O402" s="7">
        <f>YEAR(Data[[#This Row],[Date]])</f>
        <v>2021</v>
      </c>
      <c r="P402" s="2">
        <v>0.84583333333333333</v>
      </c>
      <c r="Q402" t="s">
        <v>32</v>
      </c>
      <c r="R402">
        <v>165.60599999999999</v>
      </c>
      <c r="S402">
        <v>59.145000000000003</v>
      </c>
      <c r="T402">
        <v>9.4</v>
      </c>
    </row>
    <row r="403" spans="1:20" x14ac:dyDescent="0.55000000000000004">
      <c r="A403" t="s">
        <v>436</v>
      </c>
      <c r="B403" t="s">
        <v>24</v>
      </c>
      <c r="C403" t="s">
        <v>25</v>
      </c>
      <c r="D403" t="str">
        <f>"Br. "&amp;Data[[#This Row],[Branch]]&amp;" ("&amp;Data[[#This Row],[City]]&amp;")"</f>
        <v>Br. C (Naypyitaw)</v>
      </c>
      <c r="E403" t="s">
        <v>26</v>
      </c>
      <c r="F403" t="s">
        <v>30</v>
      </c>
      <c r="G403" t="s">
        <v>31</v>
      </c>
      <c r="H403">
        <v>46.22</v>
      </c>
      <c r="I403">
        <v>4</v>
      </c>
      <c r="J403">
        <v>9.2439999999999998</v>
      </c>
      <c r="K403">
        <v>184.88</v>
      </c>
      <c r="L403" s="1">
        <v>44276</v>
      </c>
      <c r="M403" s="7">
        <f>DAY(Data[[#This Row],[Date]])</f>
        <v>21</v>
      </c>
      <c r="N403" s="7">
        <f>MONTH(Data[[#This Row],[Date]])</f>
        <v>3</v>
      </c>
      <c r="O403" s="7">
        <f>YEAR(Data[[#This Row],[Date]])</f>
        <v>2021</v>
      </c>
      <c r="P403" s="2">
        <v>0.83611111111111114</v>
      </c>
      <c r="Q403" t="s">
        <v>32</v>
      </c>
      <c r="R403">
        <v>129.416</v>
      </c>
      <c r="S403">
        <v>46.22</v>
      </c>
      <c r="T403">
        <v>6.2</v>
      </c>
    </row>
    <row r="404" spans="1:20" x14ac:dyDescent="0.55000000000000004">
      <c r="A404" t="s">
        <v>437</v>
      </c>
      <c r="B404" t="s">
        <v>24</v>
      </c>
      <c r="C404" t="s">
        <v>25</v>
      </c>
      <c r="D404" t="str">
        <f>"Br. "&amp;Data[[#This Row],[Branch]]&amp;" ("&amp;Data[[#This Row],[City]]&amp;")"</f>
        <v>Br. C (Naypyitaw)</v>
      </c>
      <c r="E404" t="s">
        <v>19</v>
      </c>
      <c r="F404" t="s">
        <v>30</v>
      </c>
      <c r="G404" t="s">
        <v>31</v>
      </c>
      <c r="H404">
        <v>13.98</v>
      </c>
      <c r="I404">
        <v>1</v>
      </c>
      <c r="J404">
        <v>0.69899999999999995</v>
      </c>
      <c r="K404">
        <v>13.98</v>
      </c>
      <c r="L404" s="1">
        <v>44276</v>
      </c>
      <c r="M404" s="7">
        <f>DAY(Data[[#This Row],[Date]])</f>
        <v>21</v>
      </c>
      <c r="N404" s="7">
        <f>MONTH(Data[[#This Row],[Date]])</f>
        <v>3</v>
      </c>
      <c r="O404" s="7">
        <f>YEAR(Data[[#This Row],[Date]])</f>
        <v>2021</v>
      </c>
      <c r="P404" s="2">
        <v>0.56805555555555554</v>
      </c>
      <c r="Q404" t="s">
        <v>22</v>
      </c>
      <c r="R404">
        <v>9.7859999999999996</v>
      </c>
      <c r="S404">
        <v>3.4950000000000001</v>
      </c>
      <c r="T404">
        <v>9.8000000000000007</v>
      </c>
    </row>
    <row r="405" spans="1:20" x14ac:dyDescent="0.55000000000000004">
      <c r="A405" t="s">
        <v>438</v>
      </c>
      <c r="B405" t="s">
        <v>41</v>
      </c>
      <c r="C405" t="s">
        <v>42</v>
      </c>
      <c r="D405" t="str">
        <f>"Br. "&amp;Data[[#This Row],[Branch]]&amp;" ("&amp;Data[[#This Row],[City]]&amp;")"</f>
        <v>Br. B (Mandalay)</v>
      </c>
      <c r="E405" t="s">
        <v>26</v>
      </c>
      <c r="F405" t="s">
        <v>20</v>
      </c>
      <c r="G405" t="s">
        <v>45</v>
      </c>
      <c r="H405">
        <v>39.75</v>
      </c>
      <c r="I405">
        <v>5</v>
      </c>
      <c r="J405">
        <v>9.9375</v>
      </c>
      <c r="K405">
        <v>198.75</v>
      </c>
      <c r="L405" s="1">
        <v>44276</v>
      </c>
      <c r="M405" s="7">
        <f>DAY(Data[[#This Row],[Date]])</f>
        <v>21</v>
      </c>
      <c r="N405" s="7">
        <f>MONTH(Data[[#This Row],[Date]])</f>
        <v>3</v>
      </c>
      <c r="O405" s="7">
        <f>YEAR(Data[[#This Row],[Date]])</f>
        <v>2021</v>
      </c>
      <c r="P405" s="2">
        <v>0.4465277777777778</v>
      </c>
      <c r="Q405" t="s">
        <v>22</v>
      </c>
      <c r="R405">
        <v>139.125</v>
      </c>
      <c r="S405">
        <v>49.6875</v>
      </c>
      <c r="T405">
        <v>9.6</v>
      </c>
    </row>
    <row r="406" spans="1:20" x14ac:dyDescent="0.55000000000000004">
      <c r="A406" t="s">
        <v>439</v>
      </c>
      <c r="B406" t="s">
        <v>24</v>
      </c>
      <c r="C406" t="s">
        <v>25</v>
      </c>
      <c r="D406" t="str">
        <f>"Br. "&amp;Data[[#This Row],[Branch]]&amp;" ("&amp;Data[[#This Row],[City]]&amp;")"</f>
        <v>Br. C (Naypyitaw)</v>
      </c>
      <c r="E406" t="s">
        <v>19</v>
      </c>
      <c r="F406" t="s">
        <v>20</v>
      </c>
      <c r="G406" t="s">
        <v>45</v>
      </c>
      <c r="H406">
        <v>97.79</v>
      </c>
      <c r="I406">
        <v>7</v>
      </c>
      <c r="J406">
        <v>34.226500000000001</v>
      </c>
      <c r="K406">
        <v>684.53</v>
      </c>
      <c r="L406" s="1">
        <v>44276</v>
      </c>
      <c r="M406" s="7">
        <f>DAY(Data[[#This Row],[Date]])</f>
        <v>21</v>
      </c>
      <c r="N406" s="7">
        <f>MONTH(Data[[#This Row],[Date]])</f>
        <v>3</v>
      </c>
      <c r="O406" s="7">
        <f>YEAR(Data[[#This Row],[Date]])</f>
        <v>2021</v>
      </c>
      <c r="P406" s="2">
        <v>0.72916666666666663</v>
      </c>
      <c r="Q406" t="s">
        <v>22</v>
      </c>
      <c r="R406">
        <v>479.17099999999999</v>
      </c>
      <c r="S406">
        <v>171.13249999999999</v>
      </c>
      <c r="T406">
        <v>4.9000000000000004</v>
      </c>
    </row>
    <row r="407" spans="1:20" x14ac:dyDescent="0.55000000000000004">
      <c r="A407" t="s">
        <v>440</v>
      </c>
      <c r="B407" t="s">
        <v>17</v>
      </c>
      <c r="C407" t="s">
        <v>18</v>
      </c>
      <c r="D407" t="str">
        <f>"Br. "&amp;Data[[#This Row],[Branch]]&amp;" ("&amp;Data[[#This Row],[City]]&amp;")"</f>
        <v>Br. A (Yangon)</v>
      </c>
      <c r="E407" t="s">
        <v>19</v>
      </c>
      <c r="F407" t="s">
        <v>30</v>
      </c>
      <c r="G407" t="s">
        <v>35</v>
      </c>
      <c r="H407">
        <v>67.260000000000005</v>
      </c>
      <c r="I407">
        <v>4</v>
      </c>
      <c r="J407">
        <v>13.452</v>
      </c>
      <c r="K407">
        <v>269.04000000000002</v>
      </c>
      <c r="L407" s="1">
        <v>44276</v>
      </c>
      <c r="M407" s="7">
        <f>DAY(Data[[#This Row],[Date]])</f>
        <v>21</v>
      </c>
      <c r="N407" s="7">
        <f>MONTH(Data[[#This Row],[Date]])</f>
        <v>3</v>
      </c>
      <c r="O407" s="7">
        <f>YEAR(Data[[#This Row],[Date]])</f>
        <v>2021</v>
      </c>
      <c r="P407" s="2">
        <v>0.64444444444444449</v>
      </c>
      <c r="Q407" t="s">
        <v>32</v>
      </c>
      <c r="R407">
        <v>188.328</v>
      </c>
      <c r="S407">
        <v>67.260000000000005</v>
      </c>
      <c r="T407">
        <v>8</v>
      </c>
    </row>
    <row r="408" spans="1:20" x14ac:dyDescent="0.55000000000000004">
      <c r="A408" t="s">
        <v>441</v>
      </c>
      <c r="B408" t="s">
        <v>17</v>
      </c>
      <c r="C408" t="s">
        <v>18</v>
      </c>
      <c r="D408" t="str">
        <f>"Br. "&amp;Data[[#This Row],[Branch]]&amp;" ("&amp;Data[[#This Row],[City]]&amp;")"</f>
        <v>Br. A (Yangon)</v>
      </c>
      <c r="E408" t="s">
        <v>26</v>
      </c>
      <c r="F408" t="s">
        <v>30</v>
      </c>
      <c r="G408" t="s">
        <v>43</v>
      </c>
      <c r="H408">
        <v>13.79</v>
      </c>
      <c r="I408">
        <v>5</v>
      </c>
      <c r="J408">
        <v>3.4474999999999998</v>
      </c>
      <c r="K408">
        <v>68.95</v>
      </c>
      <c r="L408" s="1">
        <v>44276</v>
      </c>
      <c r="M408" s="7">
        <f>DAY(Data[[#This Row],[Date]])</f>
        <v>21</v>
      </c>
      <c r="N408" s="7">
        <f>MONTH(Data[[#This Row],[Date]])</f>
        <v>3</v>
      </c>
      <c r="O408" s="7">
        <f>YEAR(Data[[#This Row],[Date]])</f>
        <v>2021</v>
      </c>
      <c r="P408" s="2">
        <v>0.79652777777777772</v>
      </c>
      <c r="Q408" t="s">
        <v>32</v>
      </c>
      <c r="R408">
        <v>48.265000000000001</v>
      </c>
      <c r="S408">
        <v>17.237500000000001</v>
      </c>
      <c r="T408">
        <v>7.8</v>
      </c>
    </row>
    <row r="409" spans="1:20" x14ac:dyDescent="0.55000000000000004">
      <c r="A409" t="s">
        <v>442</v>
      </c>
      <c r="B409" t="s">
        <v>41</v>
      </c>
      <c r="C409" t="s">
        <v>42</v>
      </c>
      <c r="D409" t="str">
        <f>"Br. "&amp;Data[[#This Row],[Branch]]&amp;" ("&amp;Data[[#This Row],[City]]&amp;")"</f>
        <v>Br. B (Mandalay)</v>
      </c>
      <c r="E409" t="s">
        <v>19</v>
      </c>
      <c r="F409" t="s">
        <v>20</v>
      </c>
      <c r="G409" t="s">
        <v>45</v>
      </c>
      <c r="H409">
        <v>68.709999999999994</v>
      </c>
      <c r="I409">
        <v>4</v>
      </c>
      <c r="J409">
        <v>13.742000000000001</v>
      </c>
      <c r="K409">
        <v>274.83999999999997</v>
      </c>
      <c r="L409" s="1">
        <v>44276</v>
      </c>
      <c r="M409" s="7">
        <f>DAY(Data[[#This Row],[Date]])</f>
        <v>21</v>
      </c>
      <c r="N409" s="7">
        <f>MONTH(Data[[#This Row],[Date]])</f>
        <v>3</v>
      </c>
      <c r="O409" s="7">
        <f>YEAR(Data[[#This Row],[Date]])</f>
        <v>2021</v>
      </c>
      <c r="P409" s="2">
        <v>0.79236111111111107</v>
      </c>
      <c r="Q409" t="s">
        <v>28</v>
      </c>
      <c r="R409">
        <v>192.38800000000001</v>
      </c>
      <c r="S409">
        <v>68.709999999999994</v>
      </c>
      <c r="T409">
        <v>4.0999999999999996</v>
      </c>
    </row>
    <row r="410" spans="1:20" x14ac:dyDescent="0.55000000000000004">
      <c r="A410" t="s">
        <v>443</v>
      </c>
      <c r="B410" t="s">
        <v>17</v>
      </c>
      <c r="C410" t="s">
        <v>18</v>
      </c>
      <c r="D410" t="str">
        <f>"Br. "&amp;Data[[#This Row],[Branch]]&amp;" ("&amp;Data[[#This Row],[City]]&amp;")"</f>
        <v>Br. A (Yangon)</v>
      </c>
      <c r="E410" t="s">
        <v>26</v>
      </c>
      <c r="F410" t="s">
        <v>20</v>
      </c>
      <c r="G410" t="s">
        <v>31</v>
      </c>
      <c r="H410">
        <v>56.53</v>
      </c>
      <c r="I410">
        <v>4</v>
      </c>
      <c r="J410">
        <v>11.305999999999999</v>
      </c>
      <c r="K410">
        <v>226.12</v>
      </c>
      <c r="L410" s="1">
        <v>44276</v>
      </c>
      <c r="M410" s="7">
        <f>DAY(Data[[#This Row],[Date]])</f>
        <v>21</v>
      </c>
      <c r="N410" s="7">
        <f>MONTH(Data[[#This Row],[Date]])</f>
        <v>3</v>
      </c>
      <c r="O410" s="7">
        <f>YEAR(Data[[#This Row],[Date]])</f>
        <v>2021</v>
      </c>
      <c r="P410" s="2">
        <v>0.82499999999999996</v>
      </c>
      <c r="Q410" t="s">
        <v>22</v>
      </c>
      <c r="R410">
        <v>158.28399999999999</v>
      </c>
      <c r="S410">
        <v>56.53</v>
      </c>
      <c r="T410">
        <v>5.5</v>
      </c>
    </row>
    <row r="411" spans="1:20" x14ac:dyDescent="0.55000000000000004">
      <c r="A411" t="s">
        <v>444</v>
      </c>
      <c r="B411" t="s">
        <v>24</v>
      </c>
      <c r="C411" t="s">
        <v>25</v>
      </c>
      <c r="D411" t="str">
        <f>"Br. "&amp;Data[[#This Row],[Branch]]&amp;" ("&amp;Data[[#This Row],[City]]&amp;")"</f>
        <v>Br. C (Naypyitaw)</v>
      </c>
      <c r="E411" t="s">
        <v>26</v>
      </c>
      <c r="F411" t="s">
        <v>20</v>
      </c>
      <c r="G411" t="s">
        <v>45</v>
      </c>
      <c r="H411">
        <v>23.82</v>
      </c>
      <c r="I411">
        <v>5</v>
      </c>
      <c r="J411">
        <v>5.9550000000000001</v>
      </c>
      <c r="K411">
        <v>119.1</v>
      </c>
      <c r="L411" s="1">
        <v>44276</v>
      </c>
      <c r="M411" s="7">
        <f>DAY(Data[[#This Row],[Date]])</f>
        <v>21</v>
      </c>
      <c r="N411" s="7">
        <f>MONTH(Data[[#This Row],[Date]])</f>
        <v>3</v>
      </c>
      <c r="O411" s="7">
        <f>YEAR(Data[[#This Row],[Date]])</f>
        <v>2021</v>
      </c>
      <c r="P411" s="2">
        <v>0.80833333333333335</v>
      </c>
      <c r="Q411" t="s">
        <v>22</v>
      </c>
      <c r="R411">
        <v>83.37</v>
      </c>
      <c r="S411">
        <v>29.774999999999999</v>
      </c>
      <c r="T411">
        <v>5.4</v>
      </c>
    </row>
    <row r="412" spans="1:20" x14ac:dyDescent="0.55000000000000004">
      <c r="A412" t="s">
        <v>445</v>
      </c>
      <c r="B412" t="s">
        <v>41</v>
      </c>
      <c r="C412" t="s">
        <v>42</v>
      </c>
      <c r="D412" t="str">
        <f>"Br. "&amp;Data[[#This Row],[Branch]]&amp;" ("&amp;Data[[#This Row],[City]]&amp;")"</f>
        <v>Br. B (Mandalay)</v>
      </c>
      <c r="E412" t="s">
        <v>26</v>
      </c>
      <c r="F412" t="s">
        <v>20</v>
      </c>
      <c r="G412" t="s">
        <v>21</v>
      </c>
      <c r="H412">
        <v>34.21</v>
      </c>
      <c r="I412">
        <v>10</v>
      </c>
      <c r="J412">
        <v>17.105</v>
      </c>
      <c r="K412">
        <v>342.1</v>
      </c>
      <c r="L412" s="1">
        <v>44276</v>
      </c>
      <c r="M412" s="7">
        <f>DAY(Data[[#This Row],[Date]])</f>
        <v>21</v>
      </c>
      <c r="N412" s="7">
        <f>MONTH(Data[[#This Row],[Date]])</f>
        <v>3</v>
      </c>
      <c r="O412" s="7">
        <f>YEAR(Data[[#This Row],[Date]])</f>
        <v>2021</v>
      </c>
      <c r="P412" s="2">
        <v>0.54166666666666663</v>
      </c>
      <c r="Q412" t="s">
        <v>28</v>
      </c>
      <c r="R412">
        <v>239.47</v>
      </c>
      <c r="S412">
        <v>85.525000000000006</v>
      </c>
      <c r="T412">
        <v>5.0999999999999996</v>
      </c>
    </row>
    <row r="413" spans="1:20" x14ac:dyDescent="0.55000000000000004">
      <c r="A413" t="s">
        <v>446</v>
      </c>
      <c r="B413" t="s">
        <v>41</v>
      </c>
      <c r="C413" t="s">
        <v>42</v>
      </c>
      <c r="D413" t="str">
        <f>"Br. "&amp;Data[[#This Row],[Branch]]&amp;" ("&amp;Data[[#This Row],[City]]&amp;")"</f>
        <v>Br. B (Mandalay)</v>
      </c>
      <c r="E413" t="s">
        <v>26</v>
      </c>
      <c r="F413" t="s">
        <v>30</v>
      </c>
      <c r="G413" t="s">
        <v>35</v>
      </c>
      <c r="H413">
        <v>21.87</v>
      </c>
      <c r="I413">
        <v>2</v>
      </c>
      <c r="J413">
        <v>2.1869999999999998</v>
      </c>
      <c r="K413">
        <v>43.74</v>
      </c>
      <c r="L413" s="1">
        <v>44276</v>
      </c>
      <c r="M413" s="7">
        <f>DAY(Data[[#This Row],[Date]])</f>
        <v>21</v>
      </c>
      <c r="N413" s="7">
        <f>MONTH(Data[[#This Row],[Date]])</f>
        <v>3</v>
      </c>
      <c r="O413" s="7">
        <f>YEAR(Data[[#This Row],[Date]])</f>
        <v>2021</v>
      </c>
      <c r="P413" s="2">
        <v>0.60347222222222219</v>
      </c>
      <c r="Q413" t="s">
        <v>22</v>
      </c>
      <c r="R413">
        <v>30.617999999999999</v>
      </c>
      <c r="S413">
        <v>10.935</v>
      </c>
      <c r="T413">
        <v>6.9</v>
      </c>
    </row>
    <row r="414" spans="1:20" x14ac:dyDescent="0.55000000000000004">
      <c r="A414" t="s">
        <v>447</v>
      </c>
      <c r="B414" t="s">
        <v>17</v>
      </c>
      <c r="C414" t="s">
        <v>18</v>
      </c>
      <c r="D414" t="str">
        <f>"Br. "&amp;Data[[#This Row],[Branch]]&amp;" ("&amp;Data[[#This Row],[City]]&amp;")"</f>
        <v>Br. A (Yangon)</v>
      </c>
      <c r="E414" t="s">
        <v>19</v>
      </c>
      <c r="F414" t="s">
        <v>30</v>
      </c>
      <c r="G414" t="s">
        <v>21</v>
      </c>
      <c r="H414">
        <v>20.97</v>
      </c>
      <c r="I414">
        <v>5</v>
      </c>
      <c r="J414">
        <v>5.2424999999999997</v>
      </c>
      <c r="K414">
        <v>104.85</v>
      </c>
      <c r="L414" s="1">
        <v>44276</v>
      </c>
      <c r="M414" s="7">
        <f>DAY(Data[[#This Row],[Date]])</f>
        <v>21</v>
      </c>
      <c r="N414" s="7">
        <f>MONTH(Data[[#This Row],[Date]])</f>
        <v>3</v>
      </c>
      <c r="O414" s="7">
        <f>YEAR(Data[[#This Row],[Date]])</f>
        <v>2021</v>
      </c>
      <c r="P414" s="2">
        <v>0.55625000000000002</v>
      </c>
      <c r="Q414" t="s">
        <v>28</v>
      </c>
      <c r="R414">
        <v>73.394999999999996</v>
      </c>
      <c r="S414">
        <v>26.212499999999999</v>
      </c>
      <c r="T414">
        <v>7.8</v>
      </c>
    </row>
    <row r="415" spans="1:20" x14ac:dyDescent="0.55000000000000004">
      <c r="A415" t="s">
        <v>448</v>
      </c>
      <c r="B415" t="s">
        <v>17</v>
      </c>
      <c r="C415" t="s">
        <v>18</v>
      </c>
      <c r="D415" t="str">
        <f>"Br. "&amp;Data[[#This Row],[Branch]]&amp;" ("&amp;Data[[#This Row],[City]]&amp;")"</f>
        <v>Br. A (Yangon)</v>
      </c>
      <c r="E415" t="s">
        <v>26</v>
      </c>
      <c r="F415" t="s">
        <v>30</v>
      </c>
      <c r="G415" t="s">
        <v>35</v>
      </c>
      <c r="H415">
        <v>25.84</v>
      </c>
      <c r="I415">
        <v>3</v>
      </c>
      <c r="J415">
        <v>3.8759999999999999</v>
      </c>
      <c r="K415">
        <v>77.52</v>
      </c>
      <c r="L415" s="1">
        <v>44276</v>
      </c>
      <c r="M415" s="7">
        <f>DAY(Data[[#This Row],[Date]])</f>
        <v>21</v>
      </c>
      <c r="N415" s="7">
        <f>MONTH(Data[[#This Row],[Date]])</f>
        <v>3</v>
      </c>
      <c r="O415" s="7">
        <f>YEAR(Data[[#This Row],[Date]])</f>
        <v>2021</v>
      </c>
      <c r="P415" s="2">
        <v>0.78819444444444442</v>
      </c>
      <c r="Q415" t="s">
        <v>22</v>
      </c>
      <c r="R415">
        <v>54.264000000000003</v>
      </c>
      <c r="S415">
        <v>19.38</v>
      </c>
      <c r="T415">
        <v>6.6</v>
      </c>
    </row>
    <row r="416" spans="1:20" x14ac:dyDescent="0.55000000000000004">
      <c r="A416" t="s">
        <v>449</v>
      </c>
      <c r="B416" t="s">
        <v>17</v>
      </c>
      <c r="C416" t="s">
        <v>18</v>
      </c>
      <c r="D416" t="str">
        <f>"Br. "&amp;Data[[#This Row],[Branch]]&amp;" ("&amp;Data[[#This Row],[City]]&amp;")"</f>
        <v>Br. A (Yangon)</v>
      </c>
      <c r="E416" t="s">
        <v>26</v>
      </c>
      <c r="F416" t="s">
        <v>30</v>
      </c>
      <c r="G416" t="s">
        <v>31</v>
      </c>
      <c r="H416">
        <v>50.93</v>
      </c>
      <c r="I416">
        <v>8</v>
      </c>
      <c r="J416">
        <v>20.372</v>
      </c>
      <c r="K416">
        <v>407.44</v>
      </c>
      <c r="L416" s="1">
        <v>44276</v>
      </c>
      <c r="M416" s="7">
        <f>DAY(Data[[#This Row],[Date]])</f>
        <v>21</v>
      </c>
      <c r="N416" s="7">
        <f>MONTH(Data[[#This Row],[Date]])</f>
        <v>3</v>
      </c>
      <c r="O416" s="7">
        <f>YEAR(Data[[#This Row],[Date]])</f>
        <v>2021</v>
      </c>
      <c r="P416" s="2">
        <v>0.81666666666666665</v>
      </c>
      <c r="Q416" t="s">
        <v>22</v>
      </c>
      <c r="R416">
        <v>285.20800000000003</v>
      </c>
      <c r="S416">
        <v>101.86</v>
      </c>
      <c r="T416">
        <v>9.1999999999999993</v>
      </c>
    </row>
    <row r="417" spans="1:20" x14ac:dyDescent="0.55000000000000004">
      <c r="A417" t="s">
        <v>450</v>
      </c>
      <c r="B417" t="s">
        <v>41</v>
      </c>
      <c r="C417" t="s">
        <v>42</v>
      </c>
      <c r="D417" t="str">
        <f>"Br. "&amp;Data[[#This Row],[Branch]]&amp;" ("&amp;Data[[#This Row],[City]]&amp;")"</f>
        <v>Br. B (Mandalay)</v>
      </c>
      <c r="E417" t="s">
        <v>26</v>
      </c>
      <c r="F417" t="s">
        <v>30</v>
      </c>
      <c r="G417" t="s">
        <v>21</v>
      </c>
      <c r="H417">
        <v>96.11</v>
      </c>
      <c r="I417">
        <v>1</v>
      </c>
      <c r="J417">
        <v>4.8055000000000003</v>
      </c>
      <c r="K417">
        <v>96.11</v>
      </c>
      <c r="L417" s="1">
        <v>44276</v>
      </c>
      <c r="M417" s="7">
        <f>DAY(Data[[#This Row],[Date]])</f>
        <v>21</v>
      </c>
      <c r="N417" s="7">
        <f>MONTH(Data[[#This Row],[Date]])</f>
        <v>3</v>
      </c>
      <c r="O417" s="7">
        <f>YEAR(Data[[#This Row],[Date]])</f>
        <v>2021</v>
      </c>
      <c r="P417" s="2">
        <v>0.68611111111111112</v>
      </c>
      <c r="Q417" t="s">
        <v>22</v>
      </c>
      <c r="R417">
        <v>67.277000000000001</v>
      </c>
      <c r="S417">
        <v>24.0275</v>
      </c>
      <c r="T417">
        <v>7.8</v>
      </c>
    </row>
    <row r="418" spans="1:20" x14ac:dyDescent="0.55000000000000004">
      <c r="A418" t="s">
        <v>451</v>
      </c>
      <c r="B418" t="s">
        <v>24</v>
      </c>
      <c r="C418" t="s">
        <v>25</v>
      </c>
      <c r="D418" t="str">
        <f>"Br. "&amp;Data[[#This Row],[Branch]]&amp;" ("&amp;Data[[#This Row],[City]]&amp;")"</f>
        <v>Br. C (Naypyitaw)</v>
      </c>
      <c r="E418" t="s">
        <v>26</v>
      </c>
      <c r="F418" t="s">
        <v>20</v>
      </c>
      <c r="G418" t="s">
        <v>31</v>
      </c>
      <c r="H418">
        <v>45.38</v>
      </c>
      <c r="I418">
        <v>4</v>
      </c>
      <c r="J418">
        <v>9.0760000000000005</v>
      </c>
      <c r="K418">
        <v>181.52</v>
      </c>
      <c r="L418" s="1">
        <v>44276</v>
      </c>
      <c r="M418" s="7">
        <f>DAY(Data[[#This Row],[Date]])</f>
        <v>21</v>
      </c>
      <c r="N418" s="7">
        <f>MONTH(Data[[#This Row],[Date]])</f>
        <v>3</v>
      </c>
      <c r="O418" s="7">
        <f>YEAR(Data[[#This Row],[Date]])</f>
        <v>2021</v>
      </c>
      <c r="P418" s="2">
        <v>0.57499999999999996</v>
      </c>
      <c r="Q418" t="s">
        <v>32</v>
      </c>
      <c r="R418">
        <v>127.06399999999999</v>
      </c>
      <c r="S418">
        <v>45.38</v>
      </c>
      <c r="T418">
        <v>8.6999999999999993</v>
      </c>
    </row>
    <row r="419" spans="1:20" x14ac:dyDescent="0.55000000000000004">
      <c r="A419" t="s">
        <v>452</v>
      </c>
      <c r="B419" t="s">
        <v>24</v>
      </c>
      <c r="C419" t="s">
        <v>25</v>
      </c>
      <c r="D419" t="str">
        <f>"Br. "&amp;Data[[#This Row],[Branch]]&amp;" ("&amp;Data[[#This Row],[City]]&amp;")"</f>
        <v>Br. C (Naypyitaw)</v>
      </c>
      <c r="E419" t="s">
        <v>19</v>
      </c>
      <c r="F419" t="s">
        <v>20</v>
      </c>
      <c r="G419" t="s">
        <v>21</v>
      </c>
      <c r="H419">
        <v>81.510000000000005</v>
      </c>
      <c r="I419">
        <v>1</v>
      </c>
      <c r="J419">
        <v>4.0754999999999999</v>
      </c>
      <c r="K419">
        <v>81.510000000000005</v>
      </c>
      <c r="L419" s="1">
        <v>44276</v>
      </c>
      <c r="M419" s="7">
        <f>DAY(Data[[#This Row],[Date]])</f>
        <v>21</v>
      </c>
      <c r="N419" s="7">
        <f>MONTH(Data[[#This Row],[Date]])</f>
        <v>3</v>
      </c>
      <c r="O419" s="7">
        <f>YEAR(Data[[#This Row],[Date]])</f>
        <v>2021</v>
      </c>
      <c r="P419" s="2">
        <v>0.45624999999999999</v>
      </c>
      <c r="Q419" t="s">
        <v>22</v>
      </c>
      <c r="R419">
        <v>57.057000000000002</v>
      </c>
      <c r="S419">
        <v>20.377500000000001</v>
      </c>
      <c r="T419">
        <v>9.1999999999999993</v>
      </c>
    </row>
    <row r="420" spans="1:20" x14ac:dyDescent="0.55000000000000004">
      <c r="A420" t="s">
        <v>453</v>
      </c>
      <c r="B420" t="s">
        <v>41</v>
      </c>
      <c r="C420" t="s">
        <v>42</v>
      </c>
      <c r="D420" t="str">
        <f>"Br. "&amp;Data[[#This Row],[Branch]]&amp;" ("&amp;Data[[#This Row],[City]]&amp;")"</f>
        <v>Br. B (Mandalay)</v>
      </c>
      <c r="E420" t="s">
        <v>26</v>
      </c>
      <c r="F420" t="s">
        <v>20</v>
      </c>
      <c r="G420" t="s">
        <v>21</v>
      </c>
      <c r="H420">
        <v>57.22</v>
      </c>
      <c r="I420">
        <v>2</v>
      </c>
      <c r="J420">
        <v>5.7220000000000004</v>
      </c>
      <c r="K420">
        <v>114.44</v>
      </c>
      <c r="L420" s="1">
        <v>44276</v>
      </c>
      <c r="M420" s="7">
        <f>DAY(Data[[#This Row],[Date]])</f>
        <v>21</v>
      </c>
      <c r="N420" s="7">
        <f>MONTH(Data[[#This Row],[Date]])</f>
        <v>3</v>
      </c>
      <c r="O420" s="7">
        <f>YEAR(Data[[#This Row],[Date]])</f>
        <v>2021</v>
      </c>
      <c r="P420" s="2">
        <v>0.71736111111111112</v>
      </c>
      <c r="Q420" t="s">
        <v>22</v>
      </c>
      <c r="R420">
        <v>80.108000000000004</v>
      </c>
      <c r="S420">
        <v>28.61</v>
      </c>
      <c r="T420">
        <v>8.3000000000000007</v>
      </c>
    </row>
    <row r="421" spans="1:20" x14ac:dyDescent="0.55000000000000004">
      <c r="A421" t="s">
        <v>454</v>
      </c>
      <c r="B421" t="s">
        <v>17</v>
      </c>
      <c r="C421" t="s">
        <v>18</v>
      </c>
      <c r="D421" t="str">
        <f>"Br. "&amp;Data[[#This Row],[Branch]]&amp;" ("&amp;Data[[#This Row],[City]]&amp;")"</f>
        <v>Br. A (Yangon)</v>
      </c>
      <c r="E421" t="s">
        <v>19</v>
      </c>
      <c r="F421" t="s">
        <v>20</v>
      </c>
      <c r="G421" t="s">
        <v>27</v>
      </c>
      <c r="H421">
        <v>25.22</v>
      </c>
      <c r="I421">
        <v>7</v>
      </c>
      <c r="J421">
        <v>8.827</v>
      </c>
      <c r="K421">
        <v>176.54</v>
      </c>
      <c r="L421" s="1">
        <v>44276</v>
      </c>
      <c r="M421" s="7">
        <f>DAY(Data[[#This Row],[Date]])</f>
        <v>21</v>
      </c>
      <c r="N421" s="7">
        <f>MONTH(Data[[#This Row],[Date]])</f>
        <v>3</v>
      </c>
      <c r="O421" s="7">
        <f>YEAR(Data[[#This Row],[Date]])</f>
        <v>2021</v>
      </c>
      <c r="P421" s="2">
        <v>0.43263888888888891</v>
      </c>
      <c r="Q421" t="s">
        <v>28</v>
      </c>
      <c r="R421">
        <v>123.578</v>
      </c>
      <c r="S421">
        <v>44.134999999999998</v>
      </c>
      <c r="T421">
        <v>8.1999999999999993</v>
      </c>
    </row>
    <row r="422" spans="1:20" x14ac:dyDescent="0.55000000000000004">
      <c r="A422" t="s">
        <v>455</v>
      </c>
      <c r="B422" t="s">
        <v>24</v>
      </c>
      <c r="C422" t="s">
        <v>25</v>
      </c>
      <c r="D422" t="str">
        <f>"Br. "&amp;Data[[#This Row],[Branch]]&amp;" ("&amp;Data[[#This Row],[City]]&amp;")"</f>
        <v>Br. C (Naypyitaw)</v>
      </c>
      <c r="E422" t="s">
        <v>19</v>
      </c>
      <c r="F422" t="s">
        <v>20</v>
      </c>
      <c r="G422" t="s">
        <v>43</v>
      </c>
      <c r="H422">
        <v>38.6</v>
      </c>
      <c r="I422">
        <v>3</v>
      </c>
      <c r="J422">
        <v>5.79</v>
      </c>
      <c r="K422">
        <v>115.8</v>
      </c>
      <c r="L422" s="1">
        <v>44276</v>
      </c>
      <c r="M422" s="7">
        <f>DAY(Data[[#This Row],[Date]])</f>
        <v>21</v>
      </c>
      <c r="N422" s="7">
        <f>MONTH(Data[[#This Row],[Date]])</f>
        <v>3</v>
      </c>
      <c r="O422" s="7">
        <f>YEAR(Data[[#This Row],[Date]])</f>
        <v>2021</v>
      </c>
      <c r="P422" s="2">
        <v>0.58125000000000004</v>
      </c>
      <c r="Q422" t="s">
        <v>22</v>
      </c>
      <c r="R422">
        <v>81.06</v>
      </c>
      <c r="S422">
        <v>28.95</v>
      </c>
      <c r="T422">
        <v>7.5</v>
      </c>
    </row>
    <row r="423" spans="1:20" x14ac:dyDescent="0.55000000000000004">
      <c r="A423" t="s">
        <v>456</v>
      </c>
      <c r="B423" t="s">
        <v>24</v>
      </c>
      <c r="C423" t="s">
        <v>25</v>
      </c>
      <c r="D423" t="str">
        <f>"Br. "&amp;Data[[#This Row],[Branch]]&amp;" ("&amp;Data[[#This Row],[City]]&amp;")"</f>
        <v>Br. C (Naypyitaw)</v>
      </c>
      <c r="E423" t="s">
        <v>26</v>
      </c>
      <c r="F423" t="s">
        <v>20</v>
      </c>
      <c r="G423" t="s">
        <v>27</v>
      </c>
      <c r="H423">
        <v>84.05</v>
      </c>
      <c r="I423">
        <v>3</v>
      </c>
      <c r="J423">
        <v>12.6075</v>
      </c>
      <c r="K423">
        <v>252.15</v>
      </c>
      <c r="L423" s="1">
        <v>44276</v>
      </c>
      <c r="M423" s="7">
        <f>DAY(Data[[#This Row],[Date]])</f>
        <v>21</v>
      </c>
      <c r="N423" s="7">
        <f>MONTH(Data[[#This Row],[Date]])</f>
        <v>3</v>
      </c>
      <c r="O423" s="7">
        <f>YEAR(Data[[#This Row],[Date]])</f>
        <v>2021</v>
      </c>
      <c r="P423" s="2">
        <v>0.56180555555555556</v>
      </c>
      <c r="Q423" t="s">
        <v>28</v>
      </c>
      <c r="R423">
        <v>176.505</v>
      </c>
      <c r="S423">
        <v>63.037500000000001</v>
      </c>
      <c r="T423">
        <v>9.8000000000000007</v>
      </c>
    </row>
    <row r="424" spans="1:20" x14ac:dyDescent="0.55000000000000004">
      <c r="A424" t="s">
        <v>457</v>
      </c>
      <c r="B424" t="s">
        <v>24</v>
      </c>
      <c r="C424" t="s">
        <v>25</v>
      </c>
      <c r="D424" t="str">
        <f>"Br. "&amp;Data[[#This Row],[Branch]]&amp;" ("&amp;Data[[#This Row],[City]]&amp;")"</f>
        <v>Br. C (Naypyitaw)</v>
      </c>
      <c r="E424" t="s">
        <v>19</v>
      </c>
      <c r="F424" t="s">
        <v>20</v>
      </c>
      <c r="G424" t="s">
        <v>45</v>
      </c>
      <c r="H424">
        <v>97.21</v>
      </c>
      <c r="I424">
        <v>10</v>
      </c>
      <c r="J424">
        <v>48.604999999999997</v>
      </c>
      <c r="K424">
        <v>972.1</v>
      </c>
      <c r="L424" s="1">
        <v>44276</v>
      </c>
      <c r="M424" s="7">
        <f>DAY(Data[[#This Row],[Date]])</f>
        <v>21</v>
      </c>
      <c r="N424" s="7">
        <f>MONTH(Data[[#This Row],[Date]])</f>
        <v>3</v>
      </c>
      <c r="O424" s="7">
        <f>YEAR(Data[[#This Row],[Date]])</f>
        <v>2021</v>
      </c>
      <c r="P424" s="2">
        <v>0.54166666666666663</v>
      </c>
      <c r="Q424" t="s">
        <v>32</v>
      </c>
      <c r="R424">
        <v>680.47</v>
      </c>
      <c r="S424">
        <v>243.02500000000001</v>
      </c>
      <c r="T424">
        <v>8.6999999999999993</v>
      </c>
    </row>
    <row r="425" spans="1:20" x14ac:dyDescent="0.55000000000000004">
      <c r="A425" t="s">
        <v>458</v>
      </c>
      <c r="B425" t="s">
        <v>41</v>
      </c>
      <c r="C425" t="s">
        <v>42</v>
      </c>
      <c r="D425" t="str">
        <f>"Br. "&amp;Data[[#This Row],[Branch]]&amp;" ("&amp;Data[[#This Row],[City]]&amp;")"</f>
        <v>Br. B (Mandalay)</v>
      </c>
      <c r="E425" t="s">
        <v>19</v>
      </c>
      <c r="F425" t="s">
        <v>30</v>
      </c>
      <c r="G425" t="s">
        <v>45</v>
      </c>
      <c r="H425">
        <v>25.42</v>
      </c>
      <c r="I425">
        <v>8</v>
      </c>
      <c r="J425">
        <v>10.167999999999999</v>
      </c>
      <c r="K425">
        <v>203.36</v>
      </c>
      <c r="L425" s="1">
        <v>44276</v>
      </c>
      <c r="M425" s="7">
        <f>DAY(Data[[#This Row],[Date]])</f>
        <v>21</v>
      </c>
      <c r="N425" s="7">
        <f>MONTH(Data[[#This Row],[Date]])</f>
        <v>3</v>
      </c>
      <c r="O425" s="7">
        <f>YEAR(Data[[#This Row],[Date]])</f>
        <v>2021</v>
      </c>
      <c r="P425" s="2">
        <v>0.8208333333333333</v>
      </c>
      <c r="Q425" t="s">
        <v>32</v>
      </c>
      <c r="R425">
        <v>142.352</v>
      </c>
      <c r="S425">
        <v>50.84</v>
      </c>
      <c r="T425">
        <v>6.7</v>
      </c>
    </row>
    <row r="426" spans="1:20" x14ac:dyDescent="0.55000000000000004">
      <c r="A426" t="s">
        <v>459</v>
      </c>
      <c r="B426" t="s">
        <v>24</v>
      </c>
      <c r="C426" t="s">
        <v>25</v>
      </c>
      <c r="D426" t="str">
        <f>"Br. "&amp;Data[[#This Row],[Branch]]&amp;" ("&amp;Data[[#This Row],[City]]&amp;")"</f>
        <v>Br. C (Naypyitaw)</v>
      </c>
      <c r="E426" t="s">
        <v>26</v>
      </c>
      <c r="F426" t="s">
        <v>30</v>
      </c>
      <c r="G426" t="s">
        <v>45</v>
      </c>
      <c r="H426">
        <v>16.28</v>
      </c>
      <c r="I426">
        <v>1</v>
      </c>
      <c r="J426">
        <v>0.81399999999999995</v>
      </c>
      <c r="K426">
        <v>16.28</v>
      </c>
      <c r="L426" s="1">
        <v>44276</v>
      </c>
      <c r="M426" s="7">
        <f>DAY(Data[[#This Row],[Date]])</f>
        <v>21</v>
      </c>
      <c r="N426" s="7">
        <f>MONTH(Data[[#This Row],[Date]])</f>
        <v>3</v>
      </c>
      <c r="O426" s="7">
        <f>YEAR(Data[[#This Row],[Date]])</f>
        <v>2021</v>
      </c>
      <c r="P426" s="2">
        <v>0.65</v>
      </c>
      <c r="Q426" t="s">
        <v>28</v>
      </c>
      <c r="R426">
        <v>11.396000000000001</v>
      </c>
      <c r="S426">
        <v>4.07</v>
      </c>
      <c r="T426">
        <v>5</v>
      </c>
    </row>
    <row r="427" spans="1:20" x14ac:dyDescent="0.55000000000000004">
      <c r="A427" t="s">
        <v>460</v>
      </c>
      <c r="B427" t="s">
        <v>41</v>
      </c>
      <c r="C427" t="s">
        <v>42</v>
      </c>
      <c r="D427" t="str">
        <f>"Br. "&amp;Data[[#This Row],[Branch]]&amp;" ("&amp;Data[[#This Row],[City]]&amp;")"</f>
        <v>Br. B (Mandalay)</v>
      </c>
      <c r="E427" t="s">
        <v>19</v>
      </c>
      <c r="F427" t="s">
        <v>30</v>
      </c>
      <c r="G427" t="s">
        <v>45</v>
      </c>
      <c r="H427">
        <v>40.61</v>
      </c>
      <c r="I427">
        <v>9</v>
      </c>
      <c r="J427">
        <v>18.2745</v>
      </c>
      <c r="K427">
        <v>365.49</v>
      </c>
      <c r="L427" s="1">
        <v>44276</v>
      </c>
      <c r="M427" s="7">
        <f>DAY(Data[[#This Row],[Date]])</f>
        <v>21</v>
      </c>
      <c r="N427" s="7">
        <f>MONTH(Data[[#This Row],[Date]])</f>
        <v>3</v>
      </c>
      <c r="O427" s="7">
        <f>YEAR(Data[[#This Row],[Date]])</f>
        <v>2021</v>
      </c>
      <c r="P427" s="2">
        <v>0.56944444444444442</v>
      </c>
      <c r="Q427" t="s">
        <v>28</v>
      </c>
      <c r="R427">
        <v>255.84299999999999</v>
      </c>
      <c r="S427">
        <v>91.372500000000002</v>
      </c>
      <c r="T427">
        <v>7</v>
      </c>
    </row>
    <row r="428" spans="1:20" x14ac:dyDescent="0.55000000000000004">
      <c r="A428" t="s">
        <v>461</v>
      </c>
      <c r="B428" t="s">
        <v>17</v>
      </c>
      <c r="C428" t="s">
        <v>18</v>
      </c>
      <c r="D428" t="str">
        <f>"Br. "&amp;Data[[#This Row],[Branch]]&amp;" ("&amp;Data[[#This Row],[City]]&amp;")"</f>
        <v>Br. A (Yangon)</v>
      </c>
      <c r="E428" t="s">
        <v>19</v>
      </c>
      <c r="F428" t="s">
        <v>30</v>
      </c>
      <c r="G428" t="s">
        <v>21</v>
      </c>
      <c r="H428">
        <v>53.17</v>
      </c>
      <c r="I428">
        <v>7</v>
      </c>
      <c r="J428">
        <v>18.609500000000001</v>
      </c>
      <c r="K428">
        <v>372.19</v>
      </c>
      <c r="L428" s="1">
        <v>44276</v>
      </c>
      <c r="M428" s="7">
        <f>DAY(Data[[#This Row],[Date]])</f>
        <v>21</v>
      </c>
      <c r="N428" s="7">
        <f>MONTH(Data[[#This Row],[Date]])</f>
        <v>3</v>
      </c>
      <c r="O428" s="7">
        <f>YEAR(Data[[#This Row],[Date]])</f>
        <v>2021</v>
      </c>
      <c r="P428" s="2">
        <v>0.75069444444444444</v>
      </c>
      <c r="Q428" t="s">
        <v>28</v>
      </c>
      <c r="R428">
        <v>260.53300000000002</v>
      </c>
      <c r="S428">
        <v>93.047499999999999</v>
      </c>
      <c r="T428">
        <v>8.9</v>
      </c>
    </row>
    <row r="429" spans="1:20" x14ac:dyDescent="0.55000000000000004">
      <c r="A429" t="s">
        <v>462</v>
      </c>
      <c r="B429" t="s">
        <v>41</v>
      </c>
      <c r="C429" t="s">
        <v>42</v>
      </c>
      <c r="D429" t="str">
        <f>"Br. "&amp;Data[[#This Row],[Branch]]&amp;" ("&amp;Data[[#This Row],[City]]&amp;")"</f>
        <v>Br. B (Mandalay)</v>
      </c>
      <c r="E429" t="s">
        <v>19</v>
      </c>
      <c r="F429" t="s">
        <v>20</v>
      </c>
      <c r="G429" t="s">
        <v>43</v>
      </c>
      <c r="H429">
        <v>20.87</v>
      </c>
      <c r="I429">
        <v>3</v>
      </c>
      <c r="J429">
        <v>3.1305000000000001</v>
      </c>
      <c r="K429">
        <v>62.61</v>
      </c>
      <c r="L429" s="1">
        <v>44276</v>
      </c>
      <c r="M429" s="7">
        <f>DAY(Data[[#This Row],[Date]])</f>
        <v>21</v>
      </c>
      <c r="N429" s="7">
        <f>MONTH(Data[[#This Row],[Date]])</f>
        <v>3</v>
      </c>
      <c r="O429" s="7">
        <f>YEAR(Data[[#This Row],[Date]])</f>
        <v>2021</v>
      </c>
      <c r="P429" s="2">
        <v>0.57847222222222228</v>
      </c>
      <c r="Q429" t="s">
        <v>32</v>
      </c>
      <c r="R429">
        <v>43.826999999999998</v>
      </c>
      <c r="S429">
        <v>15.6525</v>
      </c>
      <c r="T429">
        <v>8</v>
      </c>
    </row>
    <row r="430" spans="1:20" x14ac:dyDescent="0.55000000000000004">
      <c r="A430" t="s">
        <v>463</v>
      </c>
      <c r="B430" t="s">
        <v>41</v>
      </c>
      <c r="C430" t="s">
        <v>42</v>
      </c>
      <c r="D430" t="str">
        <f>"Br. "&amp;Data[[#This Row],[Branch]]&amp;" ("&amp;Data[[#This Row],[City]]&amp;")"</f>
        <v>Br. B (Mandalay)</v>
      </c>
      <c r="E430" t="s">
        <v>26</v>
      </c>
      <c r="F430" t="s">
        <v>30</v>
      </c>
      <c r="G430" t="s">
        <v>35</v>
      </c>
      <c r="H430">
        <v>67.27</v>
      </c>
      <c r="I430">
        <v>5</v>
      </c>
      <c r="J430">
        <v>16.817499999999999</v>
      </c>
      <c r="K430">
        <v>336.35</v>
      </c>
      <c r="L430" s="1">
        <v>44276</v>
      </c>
      <c r="M430" s="7">
        <f>DAY(Data[[#This Row],[Date]])</f>
        <v>21</v>
      </c>
      <c r="N430" s="7">
        <f>MONTH(Data[[#This Row],[Date]])</f>
        <v>3</v>
      </c>
      <c r="O430" s="7">
        <f>YEAR(Data[[#This Row],[Date]])</f>
        <v>2021</v>
      </c>
      <c r="P430" s="2">
        <v>0.7270833333333333</v>
      </c>
      <c r="Q430" t="s">
        <v>28</v>
      </c>
      <c r="R430">
        <v>235.44499999999999</v>
      </c>
      <c r="S430">
        <v>84.087500000000006</v>
      </c>
      <c r="T430">
        <v>6.9</v>
      </c>
    </row>
    <row r="431" spans="1:20" x14ac:dyDescent="0.55000000000000004">
      <c r="A431" t="s">
        <v>464</v>
      </c>
      <c r="B431" t="s">
        <v>17</v>
      </c>
      <c r="C431" t="s">
        <v>18</v>
      </c>
      <c r="D431" t="str">
        <f>"Br. "&amp;Data[[#This Row],[Branch]]&amp;" ("&amp;Data[[#This Row],[City]]&amp;")"</f>
        <v>Br. A (Yangon)</v>
      </c>
      <c r="E431" t="s">
        <v>19</v>
      </c>
      <c r="F431" t="s">
        <v>20</v>
      </c>
      <c r="G431" t="s">
        <v>31</v>
      </c>
      <c r="H431">
        <v>90.65</v>
      </c>
      <c r="I431">
        <v>10</v>
      </c>
      <c r="J431">
        <v>45.325000000000003</v>
      </c>
      <c r="K431">
        <v>906.5</v>
      </c>
      <c r="L431" s="1">
        <v>44276</v>
      </c>
      <c r="M431" s="7">
        <f>DAY(Data[[#This Row],[Date]])</f>
        <v>21</v>
      </c>
      <c r="N431" s="7">
        <f>MONTH(Data[[#This Row],[Date]])</f>
        <v>3</v>
      </c>
      <c r="O431" s="7">
        <f>YEAR(Data[[#This Row],[Date]])</f>
        <v>2021</v>
      </c>
      <c r="P431" s="2">
        <v>0.45347222222222222</v>
      </c>
      <c r="Q431" t="s">
        <v>22</v>
      </c>
      <c r="R431">
        <v>634.54999999999995</v>
      </c>
      <c r="S431">
        <v>226.625</v>
      </c>
      <c r="T431">
        <v>7.3</v>
      </c>
    </row>
    <row r="432" spans="1:20" x14ac:dyDescent="0.55000000000000004">
      <c r="A432" t="s">
        <v>465</v>
      </c>
      <c r="B432" t="s">
        <v>41</v>
      </c>
      <c r="C432" t="s">
        <v>42</v>
      </c>
      <c r="D432" t="str">
        <f>"Br. "&amp;Data[[#This Row],[Branch]]&amp;" ("&amp;Data[[#This Row],[City]]&amp;")"</f>
        <v>Br. B (Mandalay)</v>
      </c>
      <c r="E432" t="s">
        <v>26</v>
      </c>
      <c r="F432" t="s">
        <v>30</v>
      </c>
      <c r="G432" t="s">
        <v>45</v>
      </c>
      <c r="H432">
        <v>69.08</v>
      </c>
      <c r="I432">
        <v>2</v>
      </c>
      <c r="J432">
        <v>6.9080000000000004</v>
      </c>
      <c r="K432">
        <v>138.16</v>
      </c>
      <c r="L432" s="1">
        <v>44276</v>
      </c>
      <c r="M432" s="7">
        <f>DAY(Data[[#This Row],[Date]])</f>
        <v>21</v>
      </c>
      <c r="N432" s="7">
        <f>MONTH(Data[[#This Row],[Date]])</f>
        <v>3</v>
      </c>
      <c r="O432" s="7">
        <f>YEAR(Data[[#This Row],[Date]])</f>
        <v>2021</v>
      </c>
      <c r="P432" s="2">
        <v>0.82499999999999996</v>
      </c>
      <c r="Q432" t="s">
        <v>32</v>
      </c>
      <c r="R432">
        <v>96.712000000000003</v>
      </c>
      <c r="S432">
        <v>34.54</v>
      </c>
      <c r="T432">
        <v>6.9</v>
      </c>
    </row>
    <row r="433" spans="1:20" x14ac:dyDescent="0.55000000000000004">
      <c r="A433" t="s">
        <v>466</v>
      </c>
      <c r="B433" t="s">
        <v>24</v>
      </c>
      <c r="C433" t="s">
        <v>25</v>
      </c>
      <c r="D433" t="str">
        <f>"Br. "&amp;Data[[#This Row],[Branch]]&amp;" ("&amp;Data[[#This Row],[City]]&amp;")"</f>
        <v>Br. C (Naypyitaw)</v>
      </c>
      <c r="E433" t="s">
        <v>26</v>
      </c>
      <c r="F433" t="s">
        <v>30</v>
      </c>
      <c r="G433" t="s">
        <v>43</v>
      </c>
      <c r="H433">
        <v>43.27</v>
      </c>
      <c r="I433">
        <v>2</v>
      </c>
      <c r="J433">
        <v>4.327</v>
      </c>
      <c r="K433">
        <v>86.54</v>
      </c>
      <c r="L433" s="1">
        <v>44276</v>
      </c>
      <c r="M433" s="7">
        <f>DAY(Data[[#This Row],[Date]])</f>
        <v>21</v>
      </c>
      <c r="N433" s="7">
        <f>MONTH(Data[[#This Row],[Date]])</f>
        <v>3</v>
      </c>
      <c r="O433" s="7">
        <f>YEAR(Data[[#This Row],[Date]])</f>
        <v>2021</v>
      </c>
      <c r="P433" s="2">
        <v>0.70347222222222228</v>
      </c>
      <c r="Q433" t="s">
        <v>22</v>
      </c>
      <c r="R433">
        <v>60.578000000000003</v>
      </c>
      <c r="S433">
        <v>21.635000000000002</v>
      </c>
      <c r="T433">
        <v>5.7</v>
      </c>
    </row>
    <row r="434" spans="1:20" x14ac:dyDescent="0.55000000000000004">
      <c r="A434" t="s">
        <v>467</v>
      </c>
      <c r="B434" t="s">
        <v>17</v>
      </c>
      <c r="C434" t="s">
        <v>18</v>
      </c>
      <c r="D434" t="str">
        <f>"Br. "&amp;Data[[#This Row],[Branch]]&amp;" ("&amp;Data[[#This Row],[City]]&amp;")"</f>
        <v>Br. A (Yangon)</v>
      </c>
      <c r="E434" t="s">
        <v>26</v>
      </c>
      <c r="F434" t="s">
        <v>20</v>
      </c>
      <c r="G434" t="s">
        <v>27</v>
      </c>
      <c r="H434">
        <v>23.46</v>
      </c>
      <c r="I434">
        <v>6</v>
      </c>
      <c r="J434">
        <v>7.0380000000000003</v>
      </c>
      <c r="K434">
        <v>140.76</v>
      </c>
      <c r="L434" s="1">
        <v>44276</v>
      </c>
      <c r="M434" s="7">
        <f>DAY(Data[[#This Row],[Date]])</f>
        <v>21</v>
      </c>
      <c r="N434" s="7">
        <f>MONTH(Data[[#This Row],[Date]])</f>
        <v>3</v>
      </c>
      <c r="O434" s="7">
        <f>YEAR(Data[[#This Row],[Date]])</f>
        <v>2021</v>
      </c>
      <c r="P434" s="2">
        <v>0.80138888888888893</v>
      </c>
      <c r="Q434" t="s">
        <v>22</v>
      </c>
      <c r="R434">
        <v>98.531999999999996</v>
      </c>
      <c r="S434">
        <v>35.19</v>
      </c>
      <c r="T434">
        <v>6.4</v>
      </c>
    </row>
    <row r="435" spans="1:20" x14ac:dyDescent="0.55000000000000004">
      <c r="A435" t="s">
        <v>468</v>
      </c>
      <c r="B435" t="s">
        <v>41</v>
      </c>
      <c r="C435" t="s">
        <v>42</v>
      </c>
      <c r="D435" t="str">
        <f>"Br. "&amp;Data[[#This Row],[Branch]]&amp;" ("&amp;Data[[#This Row],[City]]&amp;")"</f>
        <v>Br. B (Mandalay)</v>
      </c>
      <c r="E435" t="s">
        <v>26</v>
      </c>
      <c r="F435" t="s">
        <v>30</v>
      </c>
      <c r="G435" t="s">
        <v>45</v>
      </c>
      <c r="H435">
        <v>95.54</v>
      </c>
      <c r="I435">
        <v>7</v>
      </c>
      <c r="J435">
        <v>33.439</v>
      </c>
      <c r="K435">
        <v>668.78</v>
      </c>
      <c r="L435" s="1">
        <v>44276</v>
      </c>
      <c r="M435" s="7">
        <f>DAY(Data[[#This Row],[Date]])</f>
        <v>21</v>
      </c>
      <c r="N435" s="7">
        <f>MONTH(Data[[#This Row],[Date]])</f>
        <v>3</v>
      </c>
      <c r="O435" s="7">
        <f>YEAR(Data[[#This Row],[Date]])</f>
        <v>2021</v>
      </c>
      <c r="P435" s="2">
        <v>0.60833333333333328</v>
      </c>
      <c r="Q435" t="s">
        <v>32</v>
      </c>
      <c r="R435">
        <v>468.14600000000002</v>
      </c>
      <c r="S435">
        <v>167.19499999999999</v>
      </c>
      <c r="T435">
        <v>9.6</v>
      </c>
    </row>
    <row r="436" spans="1:20" x14ac:dyDescent="0.55000000000000004">
      <c r="A436" t="s">
        <v>469</v>
      </c>
      <c r="B436" t="s">
        <v>41</v>
      </c>
      <c r="C436" t="s">
        <v>42</v>
      </c>
      <c r="D436" t="str">
        <f>"Br. "&amp;Data[[#This Row],[Branch]]&amp;" ("&amp;Data[[#This Row],[City]]&amp;")"</f>
        <v>Br. B (Mandalay)</v>
      </c>
      <c r="E436" t="s">
        <v>26</v>
      </c>
      <c r="F436" t="s">
        <v>20</v>
      </c>
      <c r="G436" t="s">
        <v>45</v>
      </c>
      <c r="H436">
        <v>47.44</v>
      </c>
      <c r="I436">
        <v>1</v>
      </c>
      <c r="J436">
        <v>2.3719999999999999</v>
      </c>
      <c r="K436">
        <v>47.44</v>
      </c>
      <c r="L436" s="1">
        <v>44276</v>
      </c>
      <c r="M436" s="7">
        <f>DAY(Data[[#This Row],[Date]])</f>
        <v>21</v>
      </c>
      <c r="N436" s="7">
        <f>MONTH(Data[[#This Row],[Date]])</f>
        <v>3</v>
      </c>
      <c r="O436" s="7">
        <f>YEAR(Data[[#This Row],[Date]])</f>
        <v>2021</v>
      </c>
      <c r="P436" s="2">
        <v>0.7631944444444444</v>
      </c>
      <c r="Q436" t="s">
        <v>32</v>
      </c>
      <c r="R436">
        <v>33.207999999999998</v>
      </c>
      <c r="S436">
        <v>11.86</v>
      </c>
      <c r="T436">
        <v>6.8</v>
      </c>
    </row>
    <row r="437" spans="1:20" x14ac:dyDescent="0.55000000000000004">
      <c r="A437" t="s">
        <v>470</v>
      </c>
      <c r="B437" t="s">
        <v>24</v>
      </c>
      <c r="C437" t="s">
        <v>25</v>
      </c>
      <c r="D437" t="str">
        <f>"Br. "&amp;Data[[#This Row],[Branch]]&amp;" ("&amp;Data[[#This Row],[City]]&amp;")"</f>
        <v>Br. C (Naypyitaw)</v>
      </c>
      <c r="E437" t="s">
        <v>26</v>
      </c>
      <c r="F437" t="s">
        <v>30</v>
      </c>
      <c r="G437" t="s">
        <v>35</v>
      </c>
      <c r="H437">
        <v>99.24</v>
      </c>
      <c r="I437">
        <v>9</v>
      </c>
      <c r="J437">
        <v>44.658000000000001</v>
      </c>
      <c r="K437">
        <v>893.16</v>
      </c>
      <c r="L437" s="1">
        <v>44276</v>
      </c>
      <c r="M437" s="7">
        <f>DAY(Data[[#This Row],[Date]])</f>
        <v>21</v>
      </c>
      <c r="N437" s="7">
        <f>MONTH(Data[[#This Row],[Date]])</f>
        <v>3</v>
      </c>
      <c r="O437" s="7">
        <f>YEAR(Data[[#This Row],[Date]])</f>
        <v>2021</v>
      </c>
      <c r="P437" s="2">
        <v>0.79791666666666672</v>
      </c>
      <c r="Q437" t="s">
        <v>22</v>
      </c>
      <c r="R437">
        <v>625.21199999999999</v>
      </c>
      <c r="S437">
        <v>223.29</v>
      </c>
      <c r="T437">
        <v>9</v>
      </c>
    </row>
    <row r="438" spans="1:20" x14ac:dyDescent="0.55000000000000004">
      <c r="A438" t="s">
        <v>471</v>
      </c>
      <c r="B438" t="s">
        <v>24</v>
      </c>
      <c r="C438" t="s">
        <v>25</v>
      </c>
      <c r="D438" t="str">
        <f>"Br. "&amp;Data[[#This Row],[Branch]]&amp;" ("&amp;Data[[#This Row],[City]]&amp;")"</f>
        <v>Br. C (Naypyitaw)</v>
      </c>
      <c r="E438" t="s">
        <v>19</v>
      </c>
      <c r="F438" t="s">
        <v>30</v>
      </c>
      <c r="G438" t="s">
        <v>35</v>
      </c>
      <c r="H438">
        <v>82.93</v>
      </c>
      <c r="I438">
        <v>4</v>
      </c>
      <c r="J438">
        <v>16.585999999999999</v>
      </c>
      <c r="K438">
        <v>331.72</v>
      </c>
      <c r="L438" s="1">
        <v>44276</v>
      </c>
      <c r="M438" s="7">
        <f>DAY(Data[[#This Row],[Date]])</f>
        <v>21</v>
      </c>
      <c r="N438" s="7">
        <f>MONTH(Data[[#This Row],[Date]])</f>
        <v>3</v>
      </c>
      <c r="O438" s="7">
        <f>YEAR(Data[[#This Row],[Date]])</f>
        <v>2021</v>
      </c>
      <c r="P438" s="2">
        <v>0.70208333333333328</v>
      </c>
      <c r="Q438" t="s">
        <v>22</v>
      </c>
      <c r="R438">
        <v>232.20400000000001</v>
      </c>
      <c r="S438">
        <v>82.93</v>
      </c>
      <c r="T438">
        <v>9.6</v>
      </c>
    </row>
    <row r="439" spans="1:20" x14ac:dyDescent="0.55000000000000004">
      <c r="A439" t="s">
        <v>472</v>
      </c>
      <c r="B439" t="s">
        <v>17</v>
      </c>
      <c r="C439" t="s">
        <v>18</v>
      </c>
      <c r="D439" t="str">
        <f>"Br. "&amp;Data[[#This Row],[Branch]]&amp;" ("&amp;Data[[#This Row],[City]]&amp;")"</f>
        <v>Br. A (Yangon)</v>
      </c>
      <c r="E439" t="s">
        <v>26</v>
      </c>
      <c r="F439" t="s">
        <v>30</v>
      </c>
      <c r="G439" t="s">
        <v>31</v>
      </c>
      <c r="H439">
        <v>33.99</v>
      </c>
      <c r="I439">
        <v>6</v>
      </c>
      <c r="J439">
        <v>10.196999999999999</v>
      </c>
      <c r="K439">
        <v>203.94</v>
      </c>
      <c r="L439" s="1">
        <v>44276</v>
      </c>
      <c r="M439" s="7">
        <f>DAY(Data[[#This Row],[Date]])</f>
        <v>21</v>
      </c>
      <c r="N439" s="7">
        <f>MONTH(Data[[#This Row],[Date]])</f>
        <v>3</v>
      </c>
      <c r="O439" s="7">
        <f>YEAR(Data[[#This Row],[Date]])</f>
        <v>2021</v>
      </c>
      <c r="P439" s="2">
        <v>0.65069444444444446</v>
      </c>
      <c r="Q439" t="s">
        <v>32</v>
      </c>
      <c r="R439">
        <v>142.75800000000001</v>
      </c>
      <c r="S439">
        <v>50.984999999999999</v>
      </c>
      <c r="T439">
        <v>7.7</v>
      </c>
    </row>
    <row r="440" spans="1:20" x14ac:dyDescent="0.55000000000000004">
      <c r="A440" t="s">
        <v>473</v>
      </c>
      <c r="B440" t="s">
        <v>24</v>
      </c>
      <c r="C440" t="s">
        <v>25</v>
      </c>
      <c r="D440" t="str">
        <f>"Br. "&amp;Data[[#This Row],[Branch]]&amp;" ("&amp;Data[[#This Row],[City]]&amp;")"</f>
        <v>Br. C (Naypyitaw)</v>
      </c>
      <c r="E440" t="s">
        <v>19</v>
      </c>
      <c r="F440" t="s">
        <v>30</v>
      </c>
      <c r="G440" t="s">
        <v>43</v>
      </c>
      <c r="H440">
        <v>17.04</v>
      </c>
      <c r="I440">
        <v>4</v>
      </c>
      <c r="J440">
        <v>3.4079999999999999</v>
      </c>
      <c r="K440">
        <v>68.16</v>
      </c>
      <c r="L440" s="1">
        <v>44276</v>
      </c>
      <c r="M440" s="7">
        <f>DAY(Data[[#This Row],[Date]])</f>
        <v>21</v>
      </c>
      <c r="N440" s="7">
        <f>MONTH(Data[[#This Row],[Date]])</f>
        <v>3</v>
      </c>
      <c r="O440" s="7">
        <f>YEAR(Data[[#This Row],[Date]])</f>
        <v>2021</v>
      </c>
      <c r="P440" s="2">
        <v>0.84375</v>
      </c>
      <c r="Q440" t="s">
        <v>22</v>
      </c>
      <c r="R440">
        <v>47.712000000000003</v>
      </c>
      <c r="S440">
        <v>17.04</v>
      </c>
      <c r="T440">
        <v>7</v>
      </c>
    </row>
    <row r="441" spans="1:20" x14ac:dyDescent="0.55000000000000004">
      <c r="A441" t="s">
        <v>474</v>
      </c>
      <c r="B441" t="s">
        <v>24</v>
      </c>
      <c r="C441" t="s">
        <v>25</v>
      </c>
      <c r="D441" t="str">
        <f>"Br. "&amp;Data[[#This Row],[Branch]]&amp;" ("&amp;Data[[#This Row],[City]]&amp;")"</f>
        <v>Br. C (Naypyitaw)</v>
      </c>
      <c r="E441" t="s">
        <v>26</v>
      </c>
      <c r="F441" t="s">
        <v>20</v>
      </c>
      <c r="G441" t="s">
        <v>27</v>
      </c>
      <c r="H441">
        <v>40.86</v>
      </c>
      <c r="I441">
        <v>8</v>
      </c>
      <c r="J441">
        <v>16.344000000000001</v>
      </c>
      <c r="K441">
        <v>326.88</v>
      </c>
      <c r="L441" s="1">
        <v>44276</v>
      </c>
      <c r="M441" s="7">
        <f>DAY(Data[[#This Row],[Date]])</f>
        <v>21</v>
      </c>
      <c r="N441" s="7">
        <f>MONTH(Data[[#This Row],[Date]])</f>
        <v>3</v>
      </c>
      <c r="O441" s="7">
        <f>YEAR(Data[[#This Row],[Date]])</f>
        <v>2021</v>
      </c>
      <c r="P441" s="2">
        <v>0.60972222222222228</v>
      </c>
      <c r="Q441" t="s">
        <v>32</v>
      </c>
      <c r="R441">
        <v>228.816</v>
      </c>
      <c r="S441">
        <v>81.72</v>
      </c>
      <c r="T441">
        <v>6.5</v>
      </c>
    </row>
    <row r="442" spans="1:20" x14ac:dyDescent="0.55000000000000004">
      <c r="A442" t="s">
        <v>475</v>
      </c>
      <c r="B442" t="s">
        <v>24</v>
      </c>
      <c r="C442" t="s">
        <v>25</v>
      </c>
      <c r="D442" t="str">
        <f>"Br. "&amp;Data[[#This Row],[Branch]]&amp;" ("&amp;Data[[#This Row],[City]]&amp;")"</f>
        <v>Br. C (Naypyitaw)</v>
      </c>
      <c r="E442" t="s">
        <v>19</v>
      </c>
      <c r="F442" t="s">
        <v>30</v>
      </c>
      <c r="G442" t="s">
        <v>43</v>
      </c>
      <c r="H442">
        <v>17.440000000000001</v>
      </c>
      <c r="I442">
        <v>5</v>
      </c>
      <c r="J442">
        <v>4.3600000000000003</v>
      </c>
      <c r="K442">
        <v>87.2</v>
      </c>
      <c r="L442" s="1">
        <v>44276</v>
      </c>
      <c r="M442" s="7">
        <f>DAY(Data[[#This Row],[Date]])</f>
        <v>21</v>
      </c>
      <c r="N442" s="7">
        <f>MONTH(Data[[#This Row],[Date]])</f>
        <v>3</v>
      </c>
      <c r="O442" s="7">
        <f>YEAR(Data[[#This Row],[Date]])</f>
        <v>2021</v>
      </c>
      <c r="P442" s="2">
        <v>0.80902777777777779</v>
      </c>
      <c r="Q442" t="s">
        <v>28</v>
      </c>
      <c r="R442">
        <v>61.04</v>
      </c>
      <c r="S442">
        <v>21.8</v>
      </c>
      <c r="T442">
        <v>8.1</v>
      </c>
    </row>
    <row r="443" spans="1:20" x14ac:dyDescent="0.55000000000000004">
      <c r="A443" t="s">
        <v>476</v>
      </c>
      <c r="B443" t="s">
        <v>41</v>
      </c>
      <c r="C443" t="s">
        <v>42</v>
      </c>
      <c r="D443" t="str">
        <f>"Br. "&amp;Data[[#This Row],[Branch]]&amp;" ("&amp;Data[[#This Row],[City]]&amp;")"</f>
        <v>Br. B (Mandalay)</v>
      </c>
      <c r="E443" t="s">
        <v>19</v>
      </c>
      <c r="F443" t="s">
        <v>20</v>
      </c>
      <c r="G443" t="s">
        <v>35</v>
      </c>
      <c r="H443">
        <v>88.43</v>
      </c>
      <c r="I443">
        <v>8</v>
      </c>
      <c r="J443">
        <v>35.372</v>
      </c>
      <c r="K443">
        <v>707.44</v>
      </c>
      <c r="L443" s="1">
        <v>44276</v>
      </c>
      <c r="M443" s="7">
        <f>DAY(Data[[#This Row],[Date]])</f>
        <v>21</v>
      </c>
      <c r="N443" s="7">
        <f>MONTH(Data[[#This Row],[Date]])</f>
        <v>3</v>
      </c>
      <c r="O443" s="7">
        <f>YEAR(Data[[#This Row],[Date]])</f>
        <v>2021</v>
      </c>
      <c r="P443" s="2">
        <v>0.81597222222222221</v>
      </c>
      <c r="Q443" t="s">
        <v>32</v>
      </c>
      <c r="R443">
        <v>495.20800000000003</v>
      </c>
      <c r="S443">
        <v>176.86</v>
      </c>
      <c r="T443">
        <v>4.3</v>
      </c>
    </row>
    <row r="444" spans="1:20" x14ac:dyDescent="0.55000000000000004">
      <c r="A444" t="s">
        <v>477</v>
      </c>
      <c r="B444" t="s">
        <v>17</v>
      </c>
      <c r="C444" t="s">
        <v>18</v>
      </c>
      <c r="D444" t="str">
        <f>"Br. "&amp;Data[[#This Row],[Branch]]&amp;" ("&amp;Data[[#This Row],[City]]&amp;")"</f>
        <v>Br. A (Yangon)</v>
      </c>
      <c r="E444" t="s">
        <v>19</v>
      </c>
      <c r="F444" t="s">
        <v>20</v>
      </c>
      <c r="G444" t="s">
        <v>31</v>
      </c>
      <c r="H444">
        <v>89.21</v>
      </c>
      <c r="I444">
        <v>9</v>
      </c>
      <c r="J444">
        <v>40.144500000000001</v>
      </c>
      <c r="K444">
        <v>802.89</v>
      </c>
      <c r="L444" s="1">
        <v>44276</v>
      </c>
      <c r="M444" s="7">
        <f>DAY(Data[[#This Row],[Date]])</f>
        <v>21</v>
      </c>
      <c r="N444" s="7">
        <f>MONTH(Data[[#This Row],[Date]])</f>
        <v>3</v>
      </c>
      <c r="O444" s="7">
        <f>YEAR(Data[[#This Row],[Date]])</f>
        <v>2021</v>
      </c>
      <c r="P444" s="2">
        <v>0.65416666666666667</v>
      </c>
      <c r="Q444" t="s">
        <v>32</v>
      </c>
      <c r="R444">
        <v>562.02300000000002</v>
      </c>
      <c r="S444">
        <v>200.7225</v>
      </c>
      <c r="T444">
        <v>6.5</v>
      </c>
    </row>
    <row r="445" spans="1:20" x14ac:dyDescent="0.55000000000000004">
      <c r="A445" t="s">
        <v>478</v>
      </c>
      <c r="B445" t="s">
        <v>24</v>
      </c>
      <c r="C445" t="s">
        <v>25</v>
      </c>
      <c r="D445" t="str">
        <f>"Br. "&amp;Data[[#This Row],[Branch]]&amp;" ("&amp;Data[[#This Row],[City]]&amp;")"</f>
        <v>Br. C (Naypyitaw)</v>
      </c>
      <c r="E445" t="s">
        <v>26</v>
      </c>
      <c r="F445" t="s">
        <v>30</v>
      </c>
      <c r="G445" t="s">
        <v>45</v>
      </c>
      <c r="H445">
        <v>12.78</v>
      </c>
      <c r="I445">
        <v>1</v>
      </c>
      <c r="J445">
        <v>0.63900000000000001</v>
      </c>
      <c r="K445">
        <v>12.78</v>
      </c>
      <c r="L445" s="1">
        <v>44276</v>
      </c>
      <c r="M445" s="7">
        <f>DAY(Data[[#This Row],[Date]])</f>
        <v>21</v>
      </c>
      <c r="N445" s="7">
        <f>MONTH(Data[[#This Row],[Date]])</f>
        <v>3</v>
      </c>
      <c r="O445" s="7">
        <f>YEAR(Data[[#This Row],[Date]])</f>
        <v>2021</v>
      </c>
      <c r="P445" s="2">
        <v>0.59097222222222223</v>
      </c>
      <c r="Q445" t="s">
        <v>22</v>
      </c>
      <c r="R445">
        <v>8.9459999999999997</v>
      </c>
      <c r="S445">
        <v>3.1949999999999998</v>
      </c>
      <c r="T445">
        <v>9.5</v>
      </c>
    </row>
    <row r="446" spans="1:20" x14ac:dyDescent="0.55000000000000004">
      <c r="A446" t="s">
        <v>479</v>
      </c>
      <c r="B446" t="s">
        <v>17</v>
      </c>
      <c r="C446" t="s">
        <v>18</v>
      </c>
      <c r="D446" t="str">
        <f>"Br. "&amp;Data[[#This Row],[Branch]]&amp;" ("&amp;Data[[#This Row],[City]]&amp;")"</f>
        <v>Br. A (Yangon)</v>
      </c>
      <c r="E446" t="s">
        <v>26</v>
      </c>
      <c r="F446" t="s">
        <v>20</v>
      </c>
      <c r="G446" t="s">
        <v>35</v>
      </c>
      <c r="H446">
        <v>19.100000000000001</v>
      </c>
      <c r="I446">
        <v>7</v>
      </c>
      <c r="J446">
        <v>6.6849999999999996</v>
      </c>
      <c r="K446">
        <v>133.69999999999999</v>
      </c>
      <c r="L446" s="1">
        <v>44276</v>
      </c>
      <c r="M446" s="7">
        <f>DAY(Data[[#This Row],[Date]])</f>
        <v>21</v>
      </c>
      <c r="N446" s="7">
        <f>MONTH(Data[[#This Row],[Date]])</f>
        <v>3</v>
      </c>
      <c r="O446" s="7">
        <f>YEAR(Data[[#This Row],[Date]])</f>
        <v>2021</v>
      </c>
      <c r="P446" s="2">
        <v>0.4465277777777778</v>
      </c>
      <c r="Q446" t="s">
        <v>28</v>
      </c>
      <c r="R446">
        <v>93.59</v>
      </c>
      <c r="S446">
        <v>33.424999999999997</v>
      </c>
      <c r="T446">
        <v>9.6999999999999993</v>
      </c>
    </row>
    <row r="447" spans="1:20" x14ac:dyDescent="0.55000000000000004">
      <c r="A447" t="s">
        <v>480</v>
      </c>
      <c r="B447" t="s">
        <v>41</v>
      </c>
      <c r="C447" t="s">
        <v>42</v>
      </c>
      <c r="D447" t="str">
        <f>"Br. "&amp;Data[[#This Row],[Branch]]&amp;" ("&amp;Data[[#This Row],[City]]&amp;")"</f>
        <v>Br. B (Mandalay)</v>
      </c>
      <c r="E447" t="s">
        <v>19</v>
      </c>
      <c r="F447" t="s">
        <v>20</v>
      </c>
      <c r="G447" t="s">
        <v>21</v>
      </c>
      <c r="H447">
        <v>19.149999999999999</v>
      </c>
      <c r="I447">
        <v>1</v>
      </c>
      <c r="J447">
        <v>0.95750000000000002</v>
      </c>
      <c r="K447">
        <v>19.149999999999999</v>
      </c>
      <c r="L447" s="1">
        <v>44276</v>
      </c>
      <c r="M447" s="7">
        <f>DAY(Data[[#This Row],[Date]])</f>
        <v>21</v>
      </c>
      <c r="N447" s="7">
        <f>MONTH(Data[[#This Row],[Date]])</f>
        <v>3</v>
      </c>
      <c r="O447" s="7">
        <f>YEAR(Data[[#This Row],[Date]])</f>
        <v>2021</v>
      </c>
      <c r="P447" s="2">
        <v>0.74861111111111112</v>
      </c>
      <c r="Q447" t="s">
        <v>32</v>
      </c>
      <c r="R447">
        <v>13.404999999999999</v>
      </c>
      <c r="S447">
        <v>4.7874999999999996</v>
      </c>
      <c r="T447">
        <v>9.5</v>
      </c>
    </row>
    <row r="448" spans="1:20" x14ac:dyDescent="0.55000000000000004">
      <c r="A448" t="s">
        <v>481</v>
      </c>
      <c r="B448" t="s">
        <v>24</v>
      </c>
      <c r="C448" t="s">
        <v>25</v>
      </c>
      <c r="D448" t="str">
        <f>"Br. "&amp;Data[[#This Row],[Branch]]&amp;" ("&amp;Data[[#This Row],[City]]&amp;")"</f>
        <v>Br. C (Naypyitaw)</v>
      </c>
      <c r="E448" t="s">
        <v>19</v>
      </c>
      <c r="F448" t="s">
        <v>30</v>
      </c>
      <c r="G448" t="s">
        <v>43</v>
      </c>
      <c r="H448">
        <v>27.66</v>
      </c>
      <c r="I448">
        <v>10</v>
      </c>
      <c r="J448">
        <v>13.83</v>
      </c>
      <c r="K448">
        <v>276.60000000000002</v>
      </c>
      <c r="L448" s="1">
        <v>44276</v>
      </c>
      <c r="M448" s="7">
        <f>DAY(Data[[#This Row],[Date]])</f>
        <v>21</v>
      </c>
      <c r="N448" s="7">
        <f>MONTH(Data[[#This Row],[Date]])</f>
        <v>3</v>
      </c>
      <c r="O448" s="7">
        <f>YEAR(Data[[#This Row],[Date]])</f>
        <v>2021</v>
      </c>
      <c r="P448" s="2">
        <v>0.47638888888888886</v>
      </c>
      <c r="Q448" t="s">
        <v>32</v>
      </c>
      <c r="R448">
        <v>193.62</v>
      </c>
      <c r="S448">
        <v>69.150000000000006</v>
      </c>
      <c r="T448">
        <v>8.9</v>
      </c>
    </row>
    <row r="449" spans="1:20" x14ac:dyDescent="0.55000000000000004">
      <c r="A449" t="s">
        <v>482</v>
      </c>
      <c r="B449" t="s">
        <v>24</v>
      </c>
      <c r="C449" t="s">
        <v>25</v>
      </c>
      <c r="D449" t="str">
        <f>"Br. "&amp;Data[[#This Row],[Branch]]&amp;" ("&amp;Data[[#This Row],[City]]&amp;")"</f>
        <v>Br. C (Naypyitaw)</v>
      </c>
      <c r="E449" t="s">
        <v>26</v>
      </c>
      <c r="F449" t="s">
        <v>30</v>
      </c>
      <c r="G449" t="s">
        <v>45</v>
      </c>
      <c r="H449">
        <v>45.74</v>
      </c>
      <c r="I449">
        <v>3</v>
      </c>
      <c r="J449">
        <v>6.8609999999999998</v>
      </c>
      <c r="K449">
        <v>137.22</v>
      </c>
      <c r="L449" s="1">
        <v>44276</v>
      </c>
      <c r="M449" s="7">
        <f>DAY(Data[[#This Row],[Date]])</f>
        <v>21</v>
      </c>
      <c r="N449" s="7">
        <f>MONTH(Data[[#This Row],[Date]])</f>
        <v>3</v>
      </c>
      <c r="O449" s="7">
        <f>YEAR(Data[[#This Row],[Date]])</f>
        <v>2021</v>
      </c>
      <c r="P449" s="2">
        <v>0.73472222222222228</v>
      </c>
      <c r="Q449" t="s">
        <v>32</v>
      </c>
      <c r="R449">
        <v>96.054000000000002</v>
      </c>
      <c r="S449">
        <v>34.305</v>
      </c>
      <c r="T449">
        <v>6.5</v>
      </c>
    </row>
    <row r="450" spans="1:20" x14ac:dyDescent="0.55000000000000004">
      <c r="A450" t="s">
        <v>483</v>
      </c>
      <c r="B450" t="s">
        <v>41</v>
      </c>
      <c r="C450" t="s">
        <v>42</v>
      </c>
      <c r="D450" t="str">
        <f>"Br. "&amp;Data[[#This Row],[Branch]]&amp;" ("&amp;Data[[#This Row],[City]]&amp;")"</f>
        <v>Br. B (Mandalay)</v>
      </c>
      <c r="E450" t="s">
        <v>19</v>
      </c>
      <c r="F450" t="s">
        <v>20</v>
      </c>
      <c r="G450" t="s">
        <v>21</v>
      </c>
      <c r="H450">
        <v>27.07</v>
      </c>
      <c r="I450">
        <v>1</v>
      </c>
      <c r="J450">
        <v>1.3534999999999999</v>
      </c>
      <c r="K450">
        <v>27.07</v>
      </c>
      <c r="L450" s="1">
        <v>44276</v>
      </c>
      <c r="M450" s="7">
        <f>DAY(Data[[#This Row],[Date]])</f>
        <v>21</v>
      </c>
      <c r="N450" s="7">
        <f>MONTH(Data[[#This Row],[Date]])</f>
        <v>3</v>
      </c>
      <c r="O450" s="7">
        <f>YEAR(Data[[#This Row],[Date]])</f>
        <v>2021</v>
      </c>
      <c r="P450" s="2">
        <v>0.83819444444444446</v>
      </c>
      <c r="Q450" t="s">
        <v>32</v>
      </c>
      <c r="R450">
        <v>18.949000000000002</v>
      </c>
      <c r="S450">
        <v>6.7675000000000001</v>
      </c>
      <c r="T450">
        <v>5.3</v>
      </c>
    </row>
    <row r="451" spans="1:20" x14ac:dyDescent="0.55000000000000004">
      <c r="A451" t="s">
        <v>484</v>
      </c>
      <c r="B451" t="s">
        <v>41</v>
      </c>
      <c r="C451" t="s">
        <v>42</v>
      </c>
      <c r="D451" t="str">
        <f>"Br. "&amp;Data[[#This Row],[Branch]]&amp;" ("&amp;Data[[#This Row],[City]]&amp;")"</f>
        <v>Br. B (Mandalay)</v>
      </c>
      <c r="E451" t="s">
        <v>19</v>
      </c>
      <c r="F451" t="s">
        <v>20</v>
      </c>
      <c r="G451" t="s">
        <v>35</v>
      </c>
      <c r="H451">
        <v>39.119999999999997</v>
      </c>
      <c r="I451">
        <v>1</v>
      </c>
      <c r="J451">
        <v>1.956</v>
      </c>
      <c r="K451">
        <v>39.119999999999997</v>
      </c>
      <c r="L451" s="1">
        <v>44276</v>
      </c>
      <c r="M451" s="7">
        <f>DAY(Data[[#This Row],[Date]])</f>
        <v>21</v>
      </c>
      <c r="N451" s="7">
        <f>MONTH(Data[[#This Row],[Date]])</f>
        <v>3</v>
      </c>
      <c r="O451" s="7">
        <f>YEAR(Data[[#This Row],[Date]])</f>
        <v>2021</v>
      </c>
      <c r="P451" s="2">
        <v>0.4597222222222222</v>
      </c>
      <c r="Q451" t="s">
        <v>32</v>
      </c>
      <c r="R451">
        <v>27.384</v>
      </c>
      <c r="S451">
        <v>9.7799999999999994</v>
      </c>
      <c r="T451">
        <v>9.6</v>
      </c>
    </row>
    <row r="452" spans="1:20" x14ac:dyDescent="0.55000000000000004">
      <c r="A452" t="s">
        <v>485</v>
      </c>
      <c r="B452" t="s">
        <v>41</v>
      </c>
      <c r="C452" t="s">
        <v>42</v>
      </c>
      <c r="D452" t="str">
        <f>"Br. "&amp;Data[[#This Row],[Branch]]&amp;" ("&amp;Data[[#This Row],[City]]&amp;")"</f>
        <v>Br. B (Mandalay)</v>
      </c>
      <c r="E452" t="s">
        <v>26</v>
      </c>
      <c r="F452" t="s">
        <v>20</v>
      </c>
      <c r="G452" t="s">
        <v>27</v>
      </c>
      <c r="H452">
        <v>74.709999999999994</v>
      </c>
      <c r="I452">
        <v>6</v>
      </c>
      <c r="J452">
        <v>22.413</v>
      </c>
      <c r="K452">
        <v>448.26</v>
      </c>
      <c r="L452" s="1">
        <v>44276</v>
      </c>
      <c r="M452" s="7">
        <f>DAY(Data[[#This Row],[Date]])</f>
        <v>21</v>
      </c>
      <c r="N452" s="7">
        <f>MONTH(Data[[#This Row],[Date]])</f>
        <v>3</v>
      </c>
      <c r="O452" s="7">
        <f>YEAR(Data[[#This Row],[Date]])</f>
        <v>2021</v>
      </c>
      <c r="P452" s="2">
        <v>0.79652777777777772</v>
      </c>
      <c r="Q452" t="s">
        <v>28</v>
      </c>
      <c r="R452">
        <v>313.78199999999998</v>
      </c>
      <c r="S452">
        <v>112.065</v>
      </c>
      <c r="T452">
        <v>6.7</v>
      </c>
    </row>
    <row r="453" spans="1:20" x14ac:dyDescent="0.55000000000000004">
      <c r="A453" t="s">
        <v>486</v>
      </c>
      <c r="B453" t="s">
        <v>41</v>
      </c>
      <c r="C453" t="s">
        <v>42</v>
      </c>
      <c r="D453" t="str">
        <f>"Br. "&amp;Data[[#This Row],[Branch]]&amp;" ("&amp;Data[[#This Row],[City]]&amp;")"</f>
        <v>Br. B (Mandalay)</v>
      </c>
      <c r="E453" t="s">
        <v>26</v>
      </c>
      <c r="F453" t="s">
        <v>30</v>
      </c>
      <c r="G453" t="s">
        <v>27</v>
      </c>
      <c r="H453">
        <v>22.01</v>
      </c>
      <c r="I453">
        <v>6</v>
      </c>
      <c r="J453">
        <v>6.6029999999999998</v>
      </c>
      <c r="K453">
        <v>132.06</v>
      </c>
      <c r="L453" s="1">
        <v>44276</v>
      </c>
      <c r="M453" s="7">
        <f>DAY(Data[[#This Row],[Date]])</f>
        <v>21</v>
      </c>
      <c r="N453" s="7">
        <f>MONTH(Data[[#This Row],[Date]])</f>
        <v>3</v>
      </c>
      <c r="O453" s="7">
        <f>YEAR(Data[[#This Row],[Date]])</f>
        <v>2021</v>
      </c>
      <c r="P453" s="2">
        <v>0.78472222222222221</v>
      </c>
      <c r="Q453" t="s">
        <v>28</v>
      </c>
      <c r="R453">
        <v>92.441999999999993</v>
      </c>
      <c r="S453">
        <v>33.015000000000001</v>
      </c>
      <c r="T453">
        <v>7.6</v>
      </c>
    </row>
    <row r="454" spans="1:20" x14ac:dyDescent="0.55000000000000004">
      <c r="A454" t="s">
        <v>487</v>
      </c>
      <c r="B454" t="s">
        <v>17</v>
      </c>
      <c r="C454" t="s">
        <v>18</v>
      </c>
      <c r="D454" t="str">
        <f>"Br. "&amp;Data[[#This Row],[Branch]]&amp;" ("&amp;Data[[#This Row],[City]]&amp;")"</f>
        <v>Br. A (Yangon)</v>
      </c>
      <c r="E454" t="s">
        <v>26</v>
      </c>
      <c r="F454" t="s">
        <v>20</v>
      </c>
      <c r="G454" t="s">
        <v>43</v>
      </c>
      <c r="H454">
        <v>63.61</v>
      </c>
      <c r="I454">
        <v>5</v>
      </c>
      <c r="J454">
        <v>15.9025</v>
      </c>
      <c r="K454">
        <v>318.05</v>
      </c>
      <c r="L454" s="1">
        <v>44276</v>
      </c>
      <c r="M454" s="7">
        <f>DAY(Data[[#This Row],[Date]])</f>
        <v>21</v>
      </c>
      <c r="N454" s="7">
        <f>MONTH(Data[[#This Row],[Date]])</f>
        <v>3</v>
      </c>
      <c r="O454" s="7">
        <f>YEAR(Data[[#This Row],[Date]])</f>
        <v>2021</v>
      </c>
      <c r="P454" s="2">
        <v>0.52986111111111112</v>
      </c>
      <c r="Q454" t="s">
        <v>22</v>
      </c>
      <c r="R454">
        <v>222.63499999999999</v>
      </c>
      <c r="S454">
        <v>79.512500000000003</v>
      </c>
      <c r="T454">
        <v>4.8</v>
      </c>
    </row>
    <row r="455" spans="1:20" x14ac:dyDescent="0.55000000000000004">
      <c r="A455" t="s">
        <v>488</v>
      </c>
      <c r="B455" t="s">
        <v>17</v>
      </c>
      <c r="C455" t="s">
        <v>18</v>
      </c>
      <c r="D455" t="str">
        <f>"Br. "&amp;Data[[#This Row],[Branch]]&amp;" ("&amp;Data[[#This Row],[City]]&amp;")"</f>
        <v>Br. A (Yangon)</v>
      </c>
      <c r="E455" t="s">
        <v>26</v>
      </c>
      <c r="F455" t="s">
        <v>30</v>
      </c>
      <c r="G455" t="s">
        <v>21</v>
      </c>
      <c r="H455">
        <v>25</v>
      </c>
      <c r="I455">
        <v>1</v>
      </c>
      <c r="J455">
        <v>1.25</v>
      </c>
      <c r="K455">
        <v>25</v>
      </c>
      <c r="L455" s="1">
        <v>44276</v>
      </c>
      <c r="M455" s="7">
        <f>DAY(Data[[#This Row],[Date]])</f>
        <v>21</v>
      </c>
      <c r="N455" s="7">
        <f>MONTH(Data[[#This Row],[Date]])</f>
        <v>3</v>
      </c>
      <c r="O455" s="7">
        <f>YEAR(Data[[#This Row],[Date]])</f>
        <v>2021</v>
      </c>
      <c r="P455" s="2">
        <v>0.63124999999999998</v>
      </c>
      <c r="Q455" t="s">
        <v>22</v>
      </c>
      <c r="R455">
        <v>17.5</v>
      </c>
      <c r="S455">
        <v>6.25</v>
      </c>
      <c r="T455">
        <v>5.5</v>
      </c>
    </row>
    <row r="456" spans="1:20" x14ac:dyDescent="0.55000000000000004">
      <c r="A456" t="s">
        <v>489</v>
      </c>
      <c r="B456" t="s">
        <v>17</v>
      </c>
      <c r="C456" t="s">
        <v>18</v>
      </c>
      <c r="D456" t="str">
        <f>"Br. "&amp;Data[[#This Row],[Branch]]&amp;" ("&amp;Data[[#This Row],[City]]&amp;")"</f>
        <v>Br. A (Yangon)</v>
      </c>
      <c r="E456" t="s">
        <v>19</v>
      </c>
      <c r="F456" t="s">
        <v>30</v>
      </c>
      <c r="G456" t="s">
        <v>27</v>
      </c>
      <c r="H456">
        <v>20.77</v>
      </c>
      <c r="I456">
        <v>4</v>
      </c>
      <c r="J456">
        <v>4.1539999999999999</v>
      </c>
      <c r="K456">
        <v>83.08</v>
      </c>
      <c r="L456" s="1">
        <v>44276</v>
      </c>
      <c r="M456" s="7">
        <f>DAY(Data[[#This Row],[Date]])</f>
        <v>21</v>
      </c>
      <c r="N456" s="7">
        <f>MONTH(Data[[#This Row],[Date]])</f>
        <v>3</v>
      </c>
      <c r="O456" s="7">
        <f>YEAR(Data[[#This Row],[Date]])</f>
        <v>2021</v>
      </c>
      <c r="P456" s="2">
        <v>0.57430555555555551</v>
      </c>
      <c r="Q456" t="s">
        <v>28</v>
      </c>
      <c r="R456">
        <v>58.155999999999999</v>
      </c>
      <c r="S456">
        <v>20.77</v>
      </c>
      <c r="T456">
        <v>4.7</v>
      </c>
    </row>
    <row r="457" spans="1:20" x14ac:dyDescent="0.55000000000000004">
      <c r="A457" t="s">
        <v>490</v>
      </c>
      <c r="B457" t="s">
        <v>41</v>
      </c>
      <c r="C457" t="s">
        <v>42</v>
      </c>
      <c r="D457" t="str">
        <f>"Br. "&amp;Data[[#This Row],[Branch]]&amp;" ("&amp;Data[[#This Row],[City]]&amp;")"</f>
        <v>Br. B (Mandalay)</v>
      </c>
      <c r="E457" t="s">
        <v>19</v>
      </c>
      <c r="F457" t="s">
        <v>20</v>
      </c>
      <c r="G457" t="s">
        <v>45</v>
      </c>
      <c r="H457">
        <v>29.56</v>
      </c>
      <c r="I457">
        <v>5</v>
      </c>
      <c r="J457">
        <v>7.39</v>
      </c>
      <c r="K457">
        <v>147.80000000000001</v>
      </c>
      <c r="L457" s="1">
        <v>44276</v>
      </c>
      <c r="M457" s="7">
        <f>DAY(Data[[#This Row],[Date]])</f>
        <v>21</v>
      </c>
      <c r="N457" s="7">
        <f>MONTH(Data[[#This Row],[Date]])</f>
        <v>3</v>
      </c>
      <c r="O457" s="7">
        <f>YEAR(Data[[#This Row],[Date]])</f>
        <v>2021</v>
      </c>
      <c r="P457" s="2">
        <v>0.70763888888888893</v>
      </c>
      <c r="Q457" t="s">
        <v>28</v>
      </c>
      <c r="R457">
        <v>103.46</v>
      </c>
      <c r="S457">
        <v>36.950000000000003</v>
      </c>
      <c r="T457">
        <v>6.9</v>
      </c>
    </row>
    <row r="458" spans="1:20" x14ac:dyDescent="0.55000000000000004">
      <c r="A458" t="s">
        <v>491</v>
      </c>
      <c r="B458" t="s">
        <v>41</v>
      </c>
      <c r="C458" t="s">
        <v>42</v>
      </c>
      <c r="D458" t="str">
        <f>"Br. "&amp;Data[[#This Row],[Branch]]&amp;" ("&amp;Data[[#This Row],[City]]&amp;")"</f>
        <v>Br. B (Mandalay)</v>
      </c>
      <c r="E458" t="s">
        <v>19</v>
      </c>
      <c r="F458" t="s">
        <v>20</v>
      </c>
      <c r="G458" t="s">
        <v>43</v>
      </c>
      <c r="H458">
        <v>77.400000000000006</v>
      </c>
      <c r="I458">
        <v>9</v>
      </c>
      <c r="J458">
        <v>34.83</v>
      </c>
      <c r="K458">
        <v>696.6</v>
      </c>
      <c r="L458" s="1">
        <v>44276</v>
      </c>
      <c r="M458" s="7">
        <f>DAY(Data[[#This Row],[Date]])</f>
        <v>21</v>
      </c>
      <c r="N458" s="7">
        <f>MONTH(Data[[#This Row],[Date]])</f>
        <v>3</v>
      </c>
      <c r="O458" s="7">
        <f>YEAR(Data[[#This Row],[Date]])</f>
        <v>2021</v>
      </c>
      <c r="P458" s="2">
        <v>0.59375</v>
      </c>
      <c r="Q458" t="s">
        <v>32</v>
      </c>
      <c r="R458">
        <v>487.62</v>
      </c>
      <c r="S458">
        <v>174.15</v>
      </c>
      <c r="T458">
        <v>4.5</v>
      </c>
    </row>
    <row r="459" spans="1:20" x14ac:dyDescent="0.55000000000000004">
      <c r="A459" t="s">
        <v>492</v>
      </c>
      <c r="B459" t="s">
        <v>41</v>
      </c>
      <c r="C459" t="s">
        <v>42</v>
      </c>
      <c r="D459" t="str">
        <f>"Br. "&amp;Data[[#This Row],[Branch]]&amp;" ("&amp;Data[[#This Row],[City]]&amp;")"</f>
        <v>Br. B (Mandalay)</v>
      </c>
      <c r="E459" t="s">
        <v>26</v>
      </c>
      <c r="F459" t="s">
        <v>30</v>
      </c>
      <c r="G459" t="s">
        <v>27</v>
      </c>
      <c r="H459">
        <v>79.39</v>
      </c>
      <c r="I459">
        <v>10</v>
      </c>
      <c r="J459">
        <v>39.695</v>
      </c>
      <c r="K459">
        <v>793.9</v>
      </c>
      <c r="L459" s="1">
        <v>44276</v>
      </c>
      <c r="M459" s="7">
        <f>DAY(Data[[#This Row],[Date]])</f>
        <v>21</v>
      </c>
      <c r="N459" s="7">
        <f>MONTH(Data[[#This Row],[Date]])</f>
        <v>3</v>
      </c>
      <c r="O459" s="7">
        <f>YEAR(Data[[#This Row],[Date]])</f>
        <v>2021</v>
      </c>
      <c r="P459" s="2">
        <v>0.85</v>
      </c>
      <c r="Q459" t="s">
        <v>28</v>
      </c>
      <c r="R459">
        <v>555.73</v>
      </c>
      <c r="S459">
        <v>198.47499999999999</v>
      </c>
      <c r="T459">
        <v>6.2</v>
      </c>
    </row>
    <row r="460" spans="1:20" x14ac:dyDescent="0.55000000000000004">
      <c r="A460" t="s">
        <v>493</v>
      </c>
      <c r="B460" t="s">
        <v>24</v>
      </c>
      <c r="C460" t="s">
        <v>25</v>
      </c>
      <c r="D460" t="str">
        <f>"Br. "&amp;Data[[#This Row],[Branch]]&amp;" ("&amp;Data[[#This Row],[City]]&amp;")"</f>
        <v>Br. C (Naypyitaw)</v>
      </c>
      <c r="E460" t="s">
        <v>19</v>
      </c>
      <c r="F460" t="s">
        <v>20</v>
      </c>
      <c r="G460" t="s">
        <v>27</v>
      </c>
      <c r="H460">
        <v>46.57</v>
      </c>
      <c r="I460">
        <v>10</v>
      </c>
      <c r="J460">
        <v>23.285</v>
      </c>
      <c r="K460">
        <v>465.7</v>
      </c>
      <c r="L460" s="1">
        <v>44276</v>
      </c>
      <c r="M460" s="7">
        <f>DAY(Data[[#This Row],[Date]])</f>
        <v>21</v>
      </c>
      <c r="N460" s="7">
        <f>MONTH(Data[[#This Row],[Date]])</f>
        <v>3</v>
      </c>
      <c r="O460" s="7">
        <f>YEAR(Data[[#This Row],[Date]])</f>
        <v>2021</v>
      </c>
      <c r="P460" s="2">
        <v>0.58194444444444449</v>
      </c>
      <c r="Q460" t="s">
        <v>28</v>
      </c>
      <c r="R460">
        <v>325.99</v>
      </c>
      <c r="S460">
        <v>116.425</v>
      </c>
      <c r="T460">
        <v>7.6</v>
      </c>
    </row>
    <row r="461" spans="1:20" x14ac:dyDescent="0.55000000000000004">
      <c r="A461" t="s">
        <v>494</v>
      </c>
      <c r="B461" t="s">
        <v>24</v>
      </c>
      <c r="C461" t="s">
        <v>25</v>
      </c>
      <c r="D461" t="str">
        <f>"Br. "&amp;Data[[#This Row],[Branch]]&amp;" ("&amp;Data[[#This Row],[City]]&amp;")"</f>
        <v>Br. C (Naypyitaw)</v>
      </c>
      <c r="E461" t="s">
        <v>26</v>
      </c>
      <c r="F461" t="s">
        <v>30</v>
      </c>
      <c r="G461" t="s">
        <v>43</v>
      </c>
      <c r="H461">
        <v>35.89</v>
      </c>
      <c r="I461">
        <v>1</v>
      </c>
      <c r="J461">
        <v>1.7945</v>
      </c>
      <c r="K461">
        <v>35.89</v>
      </c>
      <c r="L461" s="1">
        <v>44276</v>
      </c>
      <c r="M461" s="7">
        <f>DAY(Data[[#This Row],[Date]])</f>
        <v>21</v>
      </c>
      <c r="N461" s="7">
        <f>MONTH(Data[[#This Row],[Date]])</f>
        <v>3</v>
      </c>
      <c r="O461" s="7">
        <f>YEAR(Data[[#This Row],[Date]])</f>
        <v>2021</v>
      </c>
      <c r="P461" s="2">
        <v>0.70277777777777772</v>
      </c>
      <c r="Q461" t="s">
        <v>32</v>
      </c>
      <c r="R461">
        <v>25.123000000000001</v>
      </c>
      <c r="S461">
        <v>8.9725000000000001</v>
      </c>
      <c r="T461">
        <v>7.9</v>
      </c>
    </row>
    <row r="462" spans="1:20" x14ac:dyDescent="0.55000000000000004">
      <c r="A462" t="s">
        <v>495</v>
      </c>
      <c r="B462" t="s">
        <v>24</v>
      </c>
      <c r="C462" t="s">
        <v>25</v>
      </c>
      <c r="D462" t="str">
        <f>"Br. "&amp;Data[[#This Row],[Branch]]&amp;" ("&amp;Data[[#This Row],[City]]&amp;")"</f>
        <v>Br. C (Naypyitaw)</v>
      </c>
      <c r="E462" t="s">
        <v>26</v>
      </c>
      <c r="F462" t="s">
        <v>30</v>
      </c>
      <c r="G462" t="s">
        <v>43</v>
      </c>
      <c r="H462">
        <v>40.520000000000003</v>
      </c>
      <c r="I462">
        <v>5</v>
      </c>
      <c r="J462">
        <v>10.130000000000001</v>
      </c>
      <c r="K462">
        <v>202.6</v>
      </c>
      <c r="L462" s="1">
        <v>44276</v>
      </c>
      <c r="M462" s="7">
        <f>DAY(Data[[#This Row],[Date]])</f>
        <v>21</v>
      </c>
      <c r="N462" s="7">
        <f>MONTH(Data[[#This Row],[Date]])</f>
        <v>3</v>
      </c>
      <c r="O462" s="7">
        <f>YEAR(Data[[#This Row],[Date]])</f>
        <v>2021</v>
      </c>
      <c r="P462" s="2">
        <v>0.6381944444444444</v>
      </c>
      <c r="Q462" t="s">
        <v>28</v>
      </c>
      <c r="R462">
        <v>141.82</v>
      </c>
      <c r="S462">
        <v>50.65</v>
      </c>
      <c r="T462">
        <v>4.5</v>
      </c>
    </row>
    <row r="463" spans="1:20" x14ac:dyDescent="0.55000000000000004">
      <c r="A463" t="s">
        <v>496</v>
      </c>
      <c r="B463" t="s">
        <v>41</v>
      </c>
      <c r="C463" t="s">
        <v>42</v>
      </c>
      <c r="D463" t="str">
        <f>"Br. "&amp;Data[[#This Row],[Branch]]&amp;" ("&amp;Data[[#This Row],[City]]&amp;")"</f>
        <v>Br. B (Mandalay)</v>
      </c>
      <c r="E463" t="s">
        <v>19</v>
      </c>
      <c r="F463" t="s">
        <v>20</v>
      </c>
      <c r="G463" t="s">
        <v>43</v>
      </c>
      <c r="H463">
        <v>73.05</v>
      </c>
      <c r="I463">
        <v>10</v>
      </c>
      <c r="J463">
        <v>36.524999999999999</v>
      </c>
      <c r="K463">
        <v>730.5</v>
      </c>
      <c r="L463" s="1">
        <v>44276</v>
      </c>
      <c r="M463" s="7">
        <f>DAY(Data[[#This Row],[Date]])</f>
        <v>21</v>
      </c>
      <c r="N463" s="7">
        <f>MONTH(Data[[#This Row],[Date]])</f>
        <v>3</v>
      </c>
      <c r="O463" s="7">
        <f>YEAR(Data[[#This Row],[Date]])</f>
        <v>2021</v>
      </c>
      <c r="P463" s="2">
        <v>0.51736111111111116</v>
      </c>
      <c r="Q463" t="s">
        <v>32</v>
      </c>
      <c r="R463">
        <v>511.35</v>
      </c>
      <c r="S463">
        <v>182.625</v>
      </c>
      <c r="T463">
        <v>8.6999999999999993</v>
      </c>
    </row>
    <row r="464" spans="1:20" x14ac:dyDescent="0.55000000000000004">
      <c r="A464" t="s">
        <v>497</v>
      </c>
      <c r="B464" t="s">
        <v>24</v>
      </c>
      <c r="C464" t="s">
        <v>25</v>
      </c>
      <c r="D464" t="str">
        <f>"Br. "&amp;Data[[#This Row],[Branch]]&amp;" ("&amp;Data[[#This Row],[City]]&amp;")"</f>
        <v>Br. C (Naypyitaw)</v>
      </c>
      <c r="E464" t="s">
        <v>26</v>
      </c>
      <c r="F464" t="s">
        <v>20</v>
      </c>
      <c r="G464" t="s">
        <v>35</v>
      </c>
      <c r="H464">
        <v>73.95</v>
      </c>
      <c r="I464">
        <v>4</v>
      </c>
      <c r="J464">
        <v>14.79</v>
      </c>
      <c r="K464">
        <v>295.8</v>
      </c>
      <c r="L464" s="1">
        <v>44276</v>
      </c>
      <c r="M464" s="7">
        <f>DAY(Data[[#This Row],[Date]])</f>
        <v>21</v>
      </c>
      <c r="N464" s="7">
        <f>MONTH(Data[[#This Row],[Date]])</f>
        <v>3</v>
      </c>
      <c r="O464" s="7">
        <f>YEAR(Data[[#This Row],[Date]])</f>
        <v>2021</v>
      </c>
      <c r="P464" s="2">
        <v>0.41805555555555557</v>
      </c>
      <c r="Q464" t="s">
        <v>28</v>
      </c>
      <c r="R464">
        <v>207.06</v>
      </c>
      <c r="S464">
        <v>73.95</v>
      </c>
      <c r="T464">
        <v>6.1</v>
      </c>
    </row>
    <row r="465" spans="1:20" x14ac:dyDescent="0.55000000000000004">
      <c r="A465" t="s">
        <v>498</v>
      </c>
      <c r="B465" t="s">
        <v>24</v>
      </c>
      <c r="C465" t="s">
        <v>25</v>
      </c>
      <c r="D465" t="str">
        <f>"Br. "&amp;Data[[#This Row],[Branch]]&amp;" ("&amp;Data[[#This Row],[City]]&amp;")"</f>
        <v>Br. C (Naypyitaw)</v>
      </c>
      <c r="E465" t="s">
        <v>19</v>
      </c>
      <c r="F465" t="s">
        <v>20</v>
      </c>
      <c r="G465" t="s">
        <v>43</v>
      </c>
      <c r="H465">
        <v>22.62</v>
      </c>
      <c r="I465">
        <v>1</v>
      </c>
      <c r="J465">
        <v>1.131</v>
      </c>
      <c r="K465">
        <v>22.62</v>
      </c>
      <c r="L465" s="1">
        <v>44276</v>
      </c>
      <c r="M465" s="7">
        <f>DAY(Data[[#This Row],[Date]])</f>
        <v>21</v>
      </c>
      <c r="N465" s="7">
        <f>MONTH(Data[[#This Row],[Date]])</f>
        <v>3</v>
      </c>
      <c r="O465" s="7">
        <f>YEAR(Data[[#This Row],[Date]])</f>
        <v>2021</v>
      </c>
      <c r="P465" s="2">
        <v>0.79027777777777775</v>
      </c>
      <c r="Q465" t="s">
        <v>28</v>
      </c>
      <c r="R465">
        <v>15.834</v>
      </c>
      <c r="S465">
        <v>5.6550000000000002</v>
      </c>
      <c r="T465">
        <v>6.4</v>
      </c>
    </row>
    <row r="466" spans="1:20" x14ac:dyDescent="0.55000000000000004">
      <c r="A466" t="s">
        <v>499</v>
      </c>
      <c r="B466" t="s">
        <v>17</v>
      </c>
      <c r="C466" t="s">
        <v>18</v>
      </c>
      <c r="D466" t="str">
        <f>"Br. "&amp;Data[[#This Row],[Branch]]&amp;" ("&amp;Data[[#This Row],[City]]&amp;")"</f>
        <v>Br. A (Yangon)</v>
      </c>
      <c r="E466" t="s">
        <v>19</v>
      </c>
      <c r="F466" t="s">
        <v>30</v>
      </c>
      <c r="G466" t="s">
        <v>43</v>
      </c>
      <c r="H466">
        <v>51.34</v>
      </c>
      <c r="I466">
        <v>5</v>
      </c>
      <c r="J466">
        <v>12.835000000000001</v>
      </c>
      <c r="K466">
        <v>256.7</v>
      </c>
      <c r="L466" s="1">
        <v>44276</v>
      </c>
      <c r="M466" s="7">
        <f>DAY(Data[[#This Row],[Date]])</f>
        <v>21</v>
      </c>
      <c r="N466" s="7">
        <f>MONTH(Data[[#This Row],[Date]])</f>
        <v>3</v>
      </c>
      <c r="O466" s="7">
        <f>YEAR(Data[[#This Row],[Date]])</f>
        <v>2021</v>
      </c>
      <c r="P466" s="2">
        <v>0.64652777777777781</v>
      </c>
      <c r="Q466" t="s">
        <v>32</v>
      </c>
      <c r="R466">
        <v>179.69</v>
      </c>
      <c r="S466">
        <v>64.174999999999997</v>
      </c>
      <c r="T466">
        <v>9.1</v>
      </c>
    </row>
    <row r="467" spans="1:20" x14ac:dyDescent="0.55000000000000004">
      <c r="A467" t="s">
        <v>500</v>
      </c>
      <c r="B467" t="s">
        <v>24</v>
      </c>
      <c r="C467" t="s">
        <v>25</v>
      </c>
      <c r="D467" t="str">
        <f>"Br. "&amp;Data[[#This Row],[Branch]]&amp;" ("&amp;Data[[#This Row],[City]]&amp;")"</f>
        <v>Br. C (Naypyitaw)</v>
      </c>
      <c r="E467" t="s">
        <v>19</v>
      </c>
      <c r="F467" t="s">
        <v>20</v>
      </c>
      <c r="G467" t="s">
        <v>35</v>
      </c>
      <c r="H467">
        <v>54.55</v>
      </c>
      <c r="I467">
        <v>10</v>
      </c>
      <c r="J467">
        <v>27.274999999999999</v>
      </c>
      <c r="K467">
        <v>545.5</v>
      </c>
      <c r="L467" s="1">
        <v>44276</v>
      </c>
      <c r="M467" s="7">
        <f>DAY(Data[[#This Row],[Date]])</f>
        <v>21</v>
      </c>
      <c r="N467" s="7">
        <f>MONTH(Data[[#This Row],[Date]])</f>
        <v>3</v>
      </c>
      <c r="O467" s="7">
        <f>YEAR(Data[[#This Row],[Date]])</f>
        <v>2021</v>
      </c>
      <c r="P467" s="2">
        <v>0.47361111111111109</v>
      </c>
      <c r="Q467" t="s">
        <v>32</v>
      </c>
      <c r="R467">
        <v>381.85</v>
      </c>
      <c r="S467">
        <v>136.375</v>
      </c>
      <c r="T467">
        <v>7.1</v>
      </c>
    </row>
    <row r="468" spans="1:20" x14ac:dyDescent="0.55000000000000004">
      <c r="A468" t="s">
        <v>501</v>
      </c>
      <c r="B468" t="s">
        <v>24</v>
      </c>
      <c r="C468" t="s">
        <v>25</v>
      </c>
      <c r="D468" t="str">
        <f>"Br. "&amp;Data[[#This Row],[Branch]]&amp;" ("&amp;Data[[#This Row],[City]]&amp;")"</f>
        <v>Br. C (Naypyitaw)</v>
      </c>
      <c r="E468" t="s">
        <v>19</v>
      </c>
      <c r="F468" t="s">
        <v>20</v>
      </c>
      <c r="G468" t="s">
        <v>21</v>
      </c>
      <c r="H468">
        <v>37.15</v>
      </c>
      <c r="I468">
        <v>7</v>
      </c>
      <c r="J468">
        <v>13.0025</v>
      </c>
      <c r="K468">
        <v>260.05</v>
      </c>
      <c r="L468" s="1">
        <v>44276</v>
      </c>
      <c r="M468" s="7">
        <f>DAY(Data[[#This Row],[Date]])</f>
        <v>21</v>
      </c>
      <c r="N468" s="7">
        <f>MONTH(Data[[#This Row],[Date]])</f>
        <v>3</v>
      </c>
      <c r="O468" s="7">
        <f>YEAR(Data[[#This Row],[Date]])</f>
        <v>2021</v>
      </c>
      <c r="P468" s="2">
        <v>0.55000000000000004</v>
      </c>
      <c r="Q468" t="s">
        <v>32</v>
      </c>
      <c r="R468">
        <v>182.035</v>
      </c>
      <c r="S468">
        <v>65.012500000000003</v>
      </c>
      <c r="T468">
        <v>7.7</v>
      </c>
    </row>
    <row r="469" spans="1:20" x14ac:dyDescent="0.55000000000000004">
      <c r="A469" t="s">
        <v>502</v>
      </c>
      <c r="B469" t="s">
        <v>41</v>
      </c>
      <c r="C469" t="s">
        <v>42</v>
      </c>
      <c r="D469" t="str">
        <f>"Br. "&amp;Data[[#This Row],[Branch]]&amp;" ("&amp;Data[[#This Row],[City]]&amp;")"</f>
        <v>Br. B (Mandalay)</v>
      </c>
      <c r="E469" t="s">
        <v>26</v>
      </c>
      <c r="F469" t="s">
        <v>30</v>
      </c>
      <c r="G469" t="s">
        <v>35</v>
      </c>
      <c r="H469">
        <v>37.020000000000003</v>
      </c>
      <c r="I469">
        <v>6</v>
      </c>
      <c r="J469">
        <v>11.106</v>
      </c>
      <c r="K469">
        <v>222.12</v>
      </c>
      <c r="L469" s="1">
        <v>44276</v>
      </c>
      <c r="M469" s="7">
        <f>DAY(Data[[#This Row],[Date]])</f>
        <v>21</v>
      </c>
      <c r="N469" s="7">
        <f>MONTH(Data[[#This Row],[Date]])</f>
        <v>3</v>
      </c>
      <c r="O469" s="7">
        <f>YEAR(Data[[#This Row],[Date]])</f>
        <v>2021</v>
      </c>
      <c r="P469" s="2">
        <v>0.7729166666666667</v>
      </c>
      <c r="Q469" t="s">
        <v>28</v>
      </c>
      <c r="R469">
        <v>155.48400000000001</v>
      </c>
      <c r="S469">
        <v>55.53</v>
      </c>
      <c r="T469">
        <v>4.5</v>
      </c>
    </row>
    <row r="470" spans="1:20" x14ac:dyDescent="0.55000000000000004">
      <c r="A470" t="s">
        <v>503</v>
      </c>
      <c r="B470" t="s">
        <v>24</v>
      </c>
      <c r="C470" t="s">
        <v>25</v>
      </c>
      <c r="D470" t="str">
        <f>"Br. "&amp;Data[[#This Row],[Branch]]&amp;" ("&amp;Data[[#This Row],[City]]&amp;")"</f>
        <v>Br. C (Naypyitaw)</v>
      </c>
      <c r="E470" t="s">
        <v>26</v>
      </c>
      <c r="F470" t="s">
        <v>30</v>
      </c>
      <c r="G470" t="s">
        <v>43</v>
      </c>
      <c r="H470">
        <v>21.58</v>
      </c>
      <c r="I470">
        <v>1</v>
      </c>
      <c r="J470">
        <v>1.079</v>
      </c>
      <c r="K470">
        <v>21.58</v>
      </c>
      <c r="L470" s="1">
        <v>44276</v>
      </c>
      <c r="M470" s="7">
        <f>DAY(Data[[#This Row],[Date]])</f>
        <v>21</v>
      </c>
      <c r="N470" s="7">
        <f>MONTH(Data[[#This Row],[Date]])</f>
        <v>3</v>
      </c>
      <c r="O470" s="7">
        <f>YEAR(Data[[#This Row],[Date]])</f>
        <v>2021</v>
      </c>
      <c r="P470" s="2">
        <v>0.41805555555555557</v>
      </c>
      <c r="Q470" t="s">
        <v>22</v>
      </c>
      <c r="R470">
        <v>15.106</v>
      </c>
      <c r="S470">
        <v>5.3949999999999996</v>
      </c>
      <c r="T470">
        <v>7.2</v>
      </c>
    </row>
    <row r="471" spans="1:20" x14ac:dyDescent="0.55000000000000004">
      <c r="A471" t="s">
        <v>504</v>
      </c>
      <c r="B471" t="s">
        <v>24</v>
      </c>
      <c r="C471" t="s">
        <v>25</v>
      </c>
      <c r="D471" t="str">
        <f>"Br. "&amp;Data[[#This Row],[Branch]]&amp;" ("&amp;Data[[#This Row],[City]]&amp;")"</f>
        <v>Br. C (Naypyitaw)</v>
      </c>
      <c r="E471" t="s">
        <v>19</v>
      </c>
      <c r="F471" t="s">
        <v>20</v>
      </c>
      <c r="G471" t="s">
        <v>27</v>
      </c>
      <c r="H471">
        <v>98.84</v>
      </c>
      <c r="I471">
        <v>1</v>
      </c>
      <c r="J471">
        <v>4.9420000000000002</v>
      </c>
      <c r="K471">
        <v>98.84</v>
      </c>
      <c r="L471" s="1">
        <v>44276</v>
      </c>
      <c r="M471" s="7">
        <f>DAY(Data[[#This Row],[Date]])</f>
        <v>21</v>
      </c>
      <c r="N471" s="7">
        <f>MONTH(Data[[#This Row],[Date]])</f>
        <v>3</v>
      </c>
      <c r="O471" s="7">
        <f>YEAR(Data[[#This Row],[Date]])</f>
        <v>2021</v>
      </c>
      <c r="P471" s="2">
        <v>0.47291666666666665</v>
      </c>
      <c r="Q471" t="s">
        <v>28</v>
      </c>
      <c r="R471">
        <v>69.188000000000002</v>
      </c>
      <c r="S471">
        <v>24.71</v>
      </c>
      <c r="T471">
        <v>8.4</v>
      </c>
    </row>
    <row r="472" spans="1:20" x14ac:dyDescent="0.55000000000000004">
      <c r="A472" t="s">
        <v>505</v>
      </c>
      <c r="B472" t="s">
        <v>24</v>
      </c>
      <c r="C472" t="s">
        <v>25</v>
      </c>
      <c r="D472" t="str">
        <f>"Br. "&amp;Data[[#This Row],[Branch]]&amp;" ("&amp;Data[[#This Row],[City]]&amp;")"</f>
        <v>Br. C (Naypyitaw)</v>
      </c>
      <c r="E472" t="s">
        <v>19</v>
      </c>
      <c r="F472" t="s">
        <v>20</v>
      </c>
      <c r="G472" t="s">
        <v>31</v>
      </c>
      <c r="H472">
        <v>83.77</v>
      </c>
      <c r="I472">
        <v>6</v>
      </c>
      <c r="J472">
        <v>25.131</v>
      </c>
      <c r="K472">
        <v>502.62</v>
      </c>
      <c r="L472" s="1">
        <v>44276</v>
      </c>
      <c r="M472" s="7">
        <f>DAY(Data[[#This Row],[Date]])</f>
        <v>21</v>
      </c>
      <c r="N472" s="7">
        <f>MONTH(Data[[#This Row],[Date]])</f>
        <v>3</v>
      </c>
      <c r="O472" s="7">
        <f>YEAR(Data[[#This Row],[Date]])</f>
        <v>2021</v>
      </c>
      <c r="P472" s="2">
        <v>0.50694444444444442</v>
      </c>
      <c r="Q472" t="s">
        <v>22</v>
      </c>
      <c r="R472">
        <v>351.834</v>
      </c>
      <c r="S472">
        <v>125.655</v>
      </c>
      <c r="T472">
        <v>5.4</v>
      </c>
    </row>
    <row r="473" spans="1:20" x14ac:dyDescent="0.55000000000000004">
      <c r="A473" t="s">
        <v>506</v>
      </c>
      <c r="B473" t="s">
        <v>17</v>
      </c>
      <c r="C473" t="s">
        <v>18</v>
      </c>
      <c r="D473" t="str">
        <f>"Br. "&amp;Data[[#This Row],[Branch]]&amp;" ("&amp;Data[[#This Row],[City]]&amp;")"</f>
        <v>Br. A (Yangon)</v>
      </c>
      <c r="E473" t="s">
        <v>19</v>
      </c>
      <c r="F473" t="s">
        <v>20</v>
      </c>
      <c r="G473" t="s">
        <v>35</v>
      </c>
      <c r="H473">
        <v>40.049999999999997</v>
      </c>
      <c r="I473">
        <v>4</v>
      </c>
      <c r="J473">
        <v>8.01</v>
      </c>
      <c r="K473">
        <v>160.19999999999999</v>
      </c>
      <c r="L473" s="1">
        <v>44276</v>
      </c>
      <c r="M473" s="7">
        <f>DAY(Data[[#This Row],[Date]])</f>
        <v>21</v>
      </c>
      <c r="N473" s="7">
        <f>MONTH(Data[[#This Row],[Date]])</f>
        <v>3</v>
      </c>
      <c r="O473" s="7">
        <f>YEAR(Data[[#This Row],[Date]])</f>
        <v>2021</v>
      </c>
      <c r="P473" s="2">
        <v>0.4861111111111111</v>
      </c>
      <c r="Q473" t="s">
        <v>28</v>
      </c>
      <c r="R473">
        <v>112.14</v>
      </c>
      <c r="S473">
        <v>40.049999999999997</v>
      </c>
      <c r="T473">
        <v>9.6999999999999993</v>
      </c>
    </row>
    <row r="474" spans="1:20" x14ac:dyDescent="0.55000000000000004">
      <c r="A474" t="s">
        <v>507</v>
      </c>
      <c r="B474" t="s">
        <v>17</v>
      </c>
      <c r="C474" t="s">
        <v>18</v>
      </c>
      <c r="D474" t="str">
        <f>"Br. "&amp;Data[[#This Row],[Branch]]&amp;" ("&amp;Data[[#This Row],[City]]&amp;")"</f>
        <v>Br. A (Yangon)</v>
      </c>
      <c r="E474" t="s">
        <v>19</v>
      </c>
      <c r="F474" t="s">
        <v>30</v>
      </c>
      <c r="G474" t="s">
        <v>45</v>
      </c>
      <c r="H474">
        <v>43.13</v>
      </c>
      <c r="I474">
        <v>10</v>
      </c>
      <c r="J474">
        <v>21.565000000000001</v>
      </c>
      <c r="K474">
        <v>431.3</v>
      </c>
      <c r="L474" s="1">
        <v>44276</v>
      </c>
      <c r="M474" s="7">
        <f>DAY(Data[[#This Row],[Date]])</f>
        <v>21</v>
      </c>
      <c r="N474" s="7">
        <f>MONTH(Data[[#This Row],[Date]])</f>
        <v>3</v>
      </c>
      <c r="O474" s="7">
        <f>YEAR(Data[[#This Row],[Date]])</f>
        <v>2021</v>
      </c>
      <c r="P474" s="2">
        <v>0.77152777777777781</v>
      </c>
      <c r="Q474" t="s">
        <v>32</v>
      </c>
      <c r="R474">
        <v>301.91000000000003</v>
      </c>
      <c r="S474">
        <v>107.825</v>
      </c>
      <c r="T474">
        <v>5.5</v>
      </c>
    </row>
    <row r="475" spans="1:20" x14ac:dyDescent="0.55000000000000004">
      <c r="A475" t="s">
        <v>508</v>
      </c>
      <c r="B475" t="s">
        <v>41</v>
      </c>
      <c r="C475" t="s">
        <v>42</v>
      </c>
      <c r="D475" t="str">
        <f>"Br. "&amp;Data[[#This Row],[Branch]]&amp;" ("&amp;Data[[#This Row],[City]]&amp;")"</f>
        <v>Br. B (Mandalay)</v>
      </c>
      <c r="E475" t="s">
        <v>19</v>
      </c>
      <c r="F475" t="s">
        <v>30</v>
      </c>
      <c r="G475" t="s">
        <v>21</v>
      </c>
      <c r="H475">
        <v>72.569999999999993</v>
      </c>
      <c r="I475">
        <v>8</v>
      </c>
      <c r="J475">
        <v>29.027999999999999</v>
      </c>
      <c r="K475">
        <v>580.55999999999995</v>
      </c>
      <c r="L475" s="1">
        <v>44276</v>
      </c>
      <c r="M475" s="7">
        <f>DAY(Data[[#This Row],[Date]])</f>
        <v>21</v>
      </c>
      <c r="N475" s="7">
        <f>MONTH(Data[[#This Row],[Date]])</f>
        <v>3</v>
      </c>
      <c r="O475" s="7">
        <f>YEAR(Data[[#This Row],[Date]])</f>
        <v>2021</v>
      </c>
      <c r="P475" s="2">
        <v>0.74861111111111112</v>
      </c>
      <c r="Q475" t="s">
        <v>28</v>
      </c>
      <c r="R475">
        <v>406.392</v>
      </c>
      <c r="S475">
        <v>145.13999999999999</v>
      </c>
      <c r="T475">
        <v>4.5999999999999996</v>
      </c>
    </row>
    <row r="476" spans="1:20" x14ac:dyDescent="0.55000000000000004">
      <c r="A476" t="s">
        <v>509</v>
      </c>
      <c r="B476" t="s">
        <v>17</v>
      </c>
      <c r="C476" t="s">
        <v>18</v>
      </c>
      <c r="D476" t="str">
        <f>"Br. "&amp;Data[[#This Row],[Branch]]&amp;" ("&amp;Data[[#This Row],[City]]&amp;")"</f>
        <v>Br. A (Yangon)</v>
      </c>
      <c r="E476" t="s">
        <v>19</v>
      </c>
      <c r="F476" t="s">
        <v>20</v>
      </c>
      <c r="G476" t="s">
        <v>27</v>
      </c>
      <c r="H476">
        <v>64.44</v>
      </c>
      <c r="I476">
        <v>5</v>
      </c>
      <c r="J476">
        <v>16.11</v>
      </c>
      <c r="K476">
        <v>322.2</v>
      </c>
      <c r="L476" s="1">
        <v>44276</v>
      </c>
      <c r="M476" s="7">
        <f>DAY(Data[[#This Row],[Date]])</f>
        <v>21</v>
      </c>
      <c r="N476" s="7">
        <f>MONTH(Data[[#This Row],[Date]])</f>
        <v>3</v>
      </c>
      <c r="O476" s="7">
        <f>YEAR(Data[[#This Row],[Date]])</f>
        <v>2021</v>
      </c>
      <c r="P476" s="2">
        <v>0.71111111111111114</v>
      </c>
      <c r="Q476" t="s">
        <v>28</v>
      </c>
      <c r="R476">
        <v>225.54</v>
      </c>
      <c r="S476">
        <v>80.55</v>
      </c>
      <c r="T476">
        <v>6.6</v>
      </c>
    </row>
    <row r="477" spans="1:20" x14ac:dyDescent="0.55000000000000004">
      <c r="A477" t="s">
        <v>510</v>
      </c>
      <c r="B477" t="s">
        <v>17</v>
      </c>
      <c r="C477" t="s">
        <v>18</v>
      </c>
      <c r="D477" t="str">
        <f>"Br. "&amp;Data[[#This Row],[Branch]]&amp;" ("&amp;Data[[#This Row],[City]]&amp;")"</f>
        <v>Br. A (Yangon)</v>
      </c>
      <c r="E477" t="s">
        <v>26</v>
      </c>
      <c r="F477" t="s">
        <v>30</v>
      </c>
      <c r="G477" t="s">
        <v>21</v>
      </c>
      <c r="H477">
        <v>65.180000000000007</v>
      </c>
      <c r="I477">
        <v>3</v>
      </c>
      <c r="J477">
        <v>9.7769999999999992</v>
      </c>
      <c r="K477">
        <v>195.54</v>
      </c>
      <c r="L477" s="1">
        <v>44276</v>
      </c>
      <c r="M477" s="7">
        <f>DAY(Data[[#This Row],[Date]])</f>
        <v>21</v>
      </c>
      <c r="N477" s="7">
        <f>MONTH(Data[[#This Row],[Date]])</f>
        <v>3</v>
      </c>
      <c r="O477" s="7">
        <f>YEAR(Data[[#This Row],[Date]])</f>
        <v>2021</v>
      </c>
      <c r="P477" s="2">
        <v>0.85763888888888884</v>
      </c>
      <c r="Q477" t="s">
        <v>32</v>
      </c>
      <c r="R477">
        <v>136.87799999999999</v>
      </c>
      <c r="S477">
        <v>48.884999999999998</v>
      </c>
      <c r="T477">
        <v>6.3</v>
      </c>
    </row>
    <row r="478" spans="1:20" x14ac:dyDescent="0.55000000000000004">
      <c r="A478" t="s">
        <v>511</v>
      </c>
      <c r="B478" t="s">
        <v>17</v>
      </c>
      <c r="C478" t="s">
        <v>18</v>
      </c>
      <c r="D478" t="str">
        <f>"Br. "&amp;Data[[#This Row],[Branch]]&amp;" ("&amp;Data[[#This Row],[City]]&amp;")"</f>
        <v>Br. A (Yangon)</v>
      </c>
      <c r="E478" t="s">
        <v>26</v>
      </c>
      <c r="F478" t="s">
        <v>20</v>
      </c>
      <c r="G478" t="s">
        <v>35</v>
      </c>
      <c r="H478">
        <v>33.26</v>
      </c>
      <c r="I478">
        <v>5</v>
      </c>
      <c r="J478">
        <v>8.3149999999999995</v>
      </c>
      <c r="K478">
        <v>166.3</v>
      </c>
      <c r="L478" s="1">
        <v>44276</v>
      </c>
      <c r="M478" s="7">
        <f>DAY(Data[[#This Row],[Date]])</f>
        <v>21</v>
      </c>
      <c r="N478" s="7">
        <f>MONTH(Data[[#This Row],[Date]])</f>
        <v>3</v>
      </c>
      <c r="O478" s="7">
        <f>YEAR(Data[[#This Row],[Date]])</f>
        <v>2021</v>
      </c>
      <c r="P478" s="2">
        <v>0.67361111111111116</v>
      </c>
      <c r="Q478" t="s">
        <v>32</v>
      </c>
      <c r="R478">
        <v>116.41</v>
      </c>
      <c r="S478">
        <v>41.575000000000003</v>
      </c>
      <c r="T478">
        <v>4.2</v>
      </c>
    </row>
    <row r="479" spans="1:20" x14ac:dyDescent="0.55000000000000004">
      <c r="A479" t="s">
        <v>512</v>
      </c>
      <c r="B479" t="s">
        <v>24</v>
      </c>
      <c r="C479" t="s">
        <v>25</v>
      </c>
      <c r="D479" t="str">
        <f>"Br. "&amp;Data[[#This Row],[Branch]]&amp;" ("&amp;Data[[#This Row],[City]]&amp;")"</f>
        <v>Br. C (Naypyitaw)</v>
      </c>
      <c r="E479" t="s">
        <v>26</v>
      </c>
      <c r="F479" t="s">
        <v>30</v>
      </c>
      <c r="G479" t="s">
        <v>27</v>
      </c>
      <c r="H479">
        <v>84.07</v>
      </c>
      <c r="I479">
        <v>4</v>
      </c>
      <c r="J479">
        <v>16.814</v>
      </c>
      <c r="K479">
        <v>336.28</v>
      </c>
      <c r="L479" s="1">
        <v>44276</v>
      </c>
      <c r="M479" s="7">
        <f>DAY(Data[[#This Row],[Date]])</f>
        <v>21</v>
      </c>
      <c r="N479" s="7">
        <f>MONTH(Data[[#This Row],[Date]])</f>
        <v>3</v>
      </c>
      <c r="O479" s="7">
        <f>YEAR(Data[[#This Row],[Date]])</f>
        <v>2021</v>
      </c>
      <c r="P479" s="2">
        <v>0.70416666666666672</v>
      </c>
      <c r="Q479" t="s">
        <v>22</v>
      </c>
      <c r="R479">
        <v>235.39599999999999</v>
      </c>
      <c r="S479">
        <v>84.07</v>
      </c>
      <c r="T479">
        <v>4.4000000000000004</v>
      </c>
    </row>
    <row r="480" spans="1:20" x14ac:dyDescent="0.55000000000000004">
      <c r="A480" t="s">
        <v>513</v>
      </c>
      <c r="B480" t="s">
        <v>41</v>
      </c>
      <c r="C480" t="s">
        <v>42</v>
      </c>
      <c r="D480" t="str">
        <f>"Br. "&amp;Data[[#This Row],[Branch]]&amp;" ("&amp;Data[[#This Row],[City]]&amp;")"</f>
        <v>Br. B (Mandalay)</v>
      </c>
      <c r="E480" t="s">
        <v>26</v>
      </c>
      <c r="F480" t="s">
        <v>30</v>
      </c>
      <c r="G480" t="s">
        <v>35</v>
      </c>
      <c r="H480">
        <v>34.369999999999997</v>
      </c>
      <c r="I480">
        <v>10</v>
      </c>
      <c r="J480">
        <v>17.184999999999999</v>
      </c>
      <c r="K480">
        <v>343.7</v>
      </c>
      <c r="L480" s="1">
        <v>44276</v>
      </c>
      <c r="M480" s="7">
        <f>DAY(Data[[#This Row],[Date]])</f>
        <v>21</v>
      </c>
      <c r="N480" s="7">
        <f>MONTH(Data[[#This Row],[Date]])</f>
        <v>3</v>
      </c>
      <c r="O480" s="7">
        <f>YEAR(Data[[#This Row],[Date]])</f>
        <v>2021</v>
      </c>
      <c r="P480" s="2">
        <v>0.42430555555555555</v>
      </c>
      <c r="Q480" t="s">
        <v>22</v>
      </c>
      <c r="R480">
        <v>240.59</v>
      </c>
      <c r="S480">
        <v>85.924999999999997</v>
      </c>
      <c r="T480">
        <v>6.7</v>
      </c>
    </row>
    <row r="481" spans="1:20" x14ac:dyDescent="0.55000000000000004">
      <c r="A481" t="s">
        <v>514</v>
      </c>
      <c r="B481" t="s">
        <v>17</v>
      </c>
      <c r="C481" t="s">
        <v>18</v>
      </c>
      <c r="D481" t="str">
        <f>"Br. "&amp;Data[[#This Row],[Branch]]&amp;" ("&amp;Data[[#This Row],[City]]&amp;")"</f>
        <v>Br. A (Yangon)</v>
      </c>
      <c r="E481" t="s">
        <v>26</v>
      </c>
      <c r="F481" t="s">
        <v>30</v>
      </c>
      <c r="G481" t="s">
        <v>27</v>
      </c>
      <c r="H481">
        <v>38.6</v>
      </c>
      <c r="I481">
        <v>1</v>
      </c>
      <c r="J481">
        <v>1.93</v>
      </c>
      <c r="K481">
        <v>38.6</v>
      </c>
      <c r="L481" s="1">
        <v>44276</v>
      </c>
      <c r="M481" s="7">
        <f>DAY(Data[[#This Row],[Date]])</f>
        <v>21</v>
      </c>
      <c r="N481" s="7">
        <f>MONTH(Data[[#This Row],[Date]])</f>
        <v>3</v>
      </c>
      <c r="O481" s="7">
        <f>YEAR(Data[[#This Row],[Date]])</f>
        <v>2021</v>
      </c>
      <c r="P481" s="2">
        <v>0.47638888888888886</v>
      </c>
      <c r="Q481" t="s">
        <v>22</v>
      </c>
      <c r="R481">
        <v>27.02</v>
      </c>
      <c r="S481">
        <v>9.65</v>
      </c>
      <c r="T481">
        <v>6.7</v>
      </c>
    </row>
    <row r="482" spans="1:20" x14ac:dyDescent="0.55000000000000004">
      <c r="A482" t="s">
        <v>515</v>
      </c>
      <c r="B482" t="s">
        <v>24</v>
      </c>
      <c r="C482" t="s">
        <v>25</v>
      </c>
      <c r="D482" t="str">
        <f>"Br. "&amp;Data[[#This Row],[Branch]]&amp;" ("&amp;Data[[#This Row],[City]]&amp;")"</f>
        <v>Br. C (Naypyitaw)</v>
      </c>
      <c r="E482" t="s">
        <v>26</v>
      </c>
      <c r="F482" t="s">
        <v>30</v>
      </c>
      <c r="G482" t="s">
        <v>43</v>
      </c>
      <c r="H482">
        <v>65.97</v>
      </c>
      <c r="I482">
        <v>8</v>
      </c>
      <c r="J482">
        <v>26.388000000000002</v>
      </c>
      <c r="K482">
        <v>527.76</v>
      </c>
      <c r="L482" s="1">
        <v>44276</v>
      </c>
      <c r="M482" s="7">
        <f>DAY(Data[[#This Row],[Date]])</f>
        <v>21</v>
      </c>
      <c r="N482" s="7">
        <f>MONTH(Data[[#This Row],[Date]])</f>
        <v>3</v>
      </c>
      <c r="O482" s="7">
        <f>YEAR(Data[[#This Row],[Date]])</f>
        <v>2021</v>
      </c>
      <c r="P482" s="2">
        <v>0.85347222222222219</v>
      </c>
      <c r="Q482" t="s">
        <v>28</v>
      </c>
      <c r="R482">
        <v>369.43200000000002</v>
      </c>
      <c r="S482">
        <v>131.94</v>
      </c>
      <c r="T482">
        <v>8.4</v>
      </c>
    </row>
    <row r="483" spans="1:20" x14ac:dyDescent="0.55000000000000004">
      <c r="A483" t="s">
        <v>516</v>
      </c>
      <c r="B483" t="s">
        <v>24</v>
      </c>
      <c r="C483" t="s">
        <v>25</v>
      </c>
      <c r="D483" t="str">
        <f>"Br. "&amp;Data[[#This Row],[Branch]]&amp;" ("&amp;Data[[#This Row],[City]]&amp;")"</f>
        <v>Br. C (Naypyitaw)</v>
      </c>
      <c r="E483" t="s">
        <v>26</v>
      </c>
      <c r="F483" t="s">
        <v>20</v>
      </c>
      <c r="G483" t="s">
        <v>27</v>
      </c>
      <c r="H483">
        <v>32.799999999999997</v>
      </c>
      <c r="I483">
        <v>10</v>
      </c>
      <c r="J483">
        <v>16.399999999999999</v>
      </c>
      <c r="K483">
        <v>328</v>
      </c>
      <c r="L483" s="1">
        <v>44276</v>
      </c>
      <c r="M483" s="7">
        <f>DAY(Data[[#This Row],[Date]])</f>
        <v>21</v>
      </c>
      <c r="N483" s="7">
        <f>MONTH(Data[[#This Row],[Date]])</f>
        <v>3</v>
      </c>
      <c r="O483" s="7">
        <f>YEAR(Data[[#This Row],[Date]])</f>
        <v>2021</v>
      </c>
      <c r="P483" s="2">
        <v>0.5083333333333333</v>
      </c>
      <c r="Q483" t="s">
        <v>28</v>
      </c>
      <c r="R483">
        <v>229.6</v>
      </c>
      <c r="S483">
        <v>82</v>
      </c>
      <c r="T483">
        <v>6.2</v>
      </c>
    </row>
    <row r="484" spans="1:20" x14ac:dyDescent="0.55000000000000004">
      <c r="A484" t="s">
        <v>517</v>
      </c>
      <c r="B484" t="s">
        <v>17</v>
      </c>
      <c r="C484" t="s">
        <v>18</v>
      </c>
      <c r="D484" t="str">
        <f>"Br. "&amp;Data[[#This Row],[Branch]]&amp;" ("&amp;Data[[#This Row],[City]]&amp;")"</f>
        <v>Br. A (Yangon)</v>
      </c>
      <c r="E484" t="s">
        <v>26</v>
      </c>
      <c r="F484" t="s">
        <v>30</v>
      </c>
      <c r="G484" t="s">
        <v>35</v>
      </c>
      <c r="H484">
        <v>37.14</v>
      </c>
      <c r="I484">
        <v>5</v>
      </c>
      <c r="J484">
        <v>9.2850000000000001</v>
      </c>
      <c r="K484">
        <v>185.7</v>
      </c>
      <c r="L484" s="1">
        <v>44276</v>
      </c>
      <c r="M484" s="7">
        <f>DAY(Data[[#This Row],[Date]])</f>
        <v>21</v>
      </c>
      <c r="N484" s="7">
        <f>MONTH(Data[[#This Row],[Date]])</f>
        <v>3</v>
      </c>
      <c r="O484" s="7">
        <f>YEAR(Data[[#This Row],[Date]])</f>
        <v>2021</v>
      </c>
      <c r="P484" s="2">
        <v>0.54513888888888884</v>
      </c>
      <c r="Q484" t="s">
        <v>22</v>
      </c>
      <c r="R484">
        <v>129.99</v>
      </c>
      <c r="S484">
        <v>46.424999999999997</v>
      </c>
      <c r="T484">
        <v>5</v>
      </c>
    </row>
    <row r="485" spans="1:20" x14ac:dyDescent="0.55000000000000004">
      <c r="A485" t="s">
        <v>518</v>
      </c>
      <c r="B485" t="s">
        <v>41</v>
      </c>
      <c r="C485" t="s">
        <v>42</v>
      </c>
      <c r="D485" t="str">
        <f>"Br. "&amp;Data[[#This Row],[Branch]]&amp;" ("&amp;Data[[#This Row],[City]]&amp;")"</f>
        <v>Br. B (Mandalay)</v>
      </c>
      <c r="E485" t="s">
        <v>19</v>
      </c>
      <c r="F485" t="s">
        <v>30</v>
      </c>
      <c r="G485" t="s">
        <v>31</v>
      </c>
      <c r="H485">
        <v>60.38</v>
      </c>
      <c r="I485">
        <v>10</v>
      </c>
      <c r="J485">
        <v>30.19</v>
      </c>
      <c r="K485">
        <v>603.79999999999995</v>
      </c>
      <c r="L485" s="1">
        <v>44276</v>
      </c>
      <c r="M485" s="7">
        <f>DAY(Data[[#This Row],[Date]])</f>
        <v>21</v>
      </c>
      <c r="N485" s="7">
        <f>MONTH(Data[[#This Row],[Date]])</f>
        <v>3</v>
      </c>
      <c r="O485" s="7">
        <f>YEAR(Data[[#This Row],[Date]])</f>
        <v>2021</v>
      </c>
      <c r="P485" s="2">
        <v>0.67986111111111114</v>
      </c>
      <c r="Q485" t="s">
        <v>28</v>
      </c>
      <c r="R485">
        <v>422.66</v>
      </c>
      <c r="S485">
        <v>150.94999999999999</v>
      </c>
      <c r="T485">
        <v>6</v>
      </c>
    </row>
    <row r="486" spans="1:20" x14ac:dyDescent="0.55000000000000004">
      <c r="A486" t="s">
        <v>519</v>
      </c>
      <c r="B486" t="s">
        <v>24</v>
      </c>
      <c r="C486" t="s">
        <v>25</v>
      </c>
      <c r="D486" t="str">
        <f>"Br. "&amp;Data[[#This Row],[Branch]]&amp;" ("&amp;Data[[#This Row],[City]]&amp;")"</f>
        <v>Br. C (Naypyitaw)</v>
      </c>
      <c r="E486" t="s">
        <v>19</v>
      </c>
      <c r="F486" t="s">
        <v>20</v>
      </c>
      <c r="G486" t="s">
        <v>35</v>
      </c>
      <c r="H486">
        <v>36.979999999999997</v>
      </c>
      <c r="I486">
        <v>10</v>
      </c>
      <c r="J486">
        <v>18.489999999999998</v>
      </c>
      <c r="K486">
        <v>369.8</v>
      </c>
      <c r="L486" s="1">
        <v>44276</v>
      </c>
      <c r="M486" s="7">
        <f>DAY(Data[[#This Row],[Date]])</f>
        <v>21</v>
      </c>
      <c r="N486" s="7">
        <f>MONTH(Data[[#This Row],[Date]])</f>
        <v>3</v>
      </c>
      <c r="O486" s="7">
        <f>YEAR(Data[[#This Row],[Date]])</f>
        <v>2021</v>
      </c>
      <c r="P486" s="2">
        <v>0.82499999999999996</v>
      </c>
      <c r="Q486" t="s">
        <v>32</v>
      </c>
      <c r="R486">
        <v>258.86</v>
      </c>
      <c r="S486">
        <v>92.45</v>
      </c>
      <c r="T486">
        <v>7</v>
      </c>
    </row>
    <row r="487" spans="1:20" x14ac:dyDescent="0.55000000000000004">
      <c r="A487" t="s">
        <v>520</v>
      </c>
      <c r="B487" t="s">
        <v>41</v>
      </c>
      <c r="C487" t="s">
        <v>42</v>
      </c>
      <c r="D487" t="str">
        <f>"Br. "&amp;Data[[#This Row],[Branch]]&amp;" ("&amp;Data[[#This Row],[City]]&amp;")"</f>
        <v>Br. B (Mandalay)</v>
      </c>
      <c r="E487" t="s">
        <v>19</v>
      </c>
      <c r="F487" t="s">
        <v>20</v>
      </c>
      <c r="G487" t="s">
        <v>35</v>
      </c>
      <c r="H487">
        <v>49.49</v>
      </c>
      <c r="I487">
        <v>4</v>
      </c>
      <c r="J487">
        <v>9.8979999999999997</v>
      </c>
      <c r="K487">
        <v>197.96</v>
      </c>
      <c r="L487" s="1">
        <v>44276</v>
      </c>
      <c r="M487" s="7">
        <f>DAY(Data[[#This Row],[Date]])</f>
        <v>21</v>
      </c>
      <c r="N487" s="7">
        <f>MONTH(Data[[#This Row],[Date]])</f>
        <v>3</v>
      </c>
      <c r="O487" s="7">
        <f>YEAR(Data[[#This Row],[Date]])</f>
        <v>2021</v>
      </c>
      <c r="P487" s="2">
        <v>0.64236111111111116</v>
      </c>
      <c r="Q487" t="s">
        <v>22</v>
      </c>
      <c r="R487">
        <v>138.572</v>
      </c>
      <c r="S487">
        <v>49.49</v>
      </c>
      <c r="T487">
        <v>6.6</v>
      </c>
    </row>
    <row r="488" spans="1:20" x14ac:dyDescent="0.55000000000000004">
      <c r="A488" t="s">
        <v>521</v>
      </c>
      <c r="B488" t="s">
        <v>41</v>
      </c>
      <c r="C488" t="s">
        <v>42</v>
      </c>
      <c r="D488" t="str">
        <f>"Br. "&amp;Data[[#This Row],[Branch]]&amp;" ("&amp;Data[[#This Row],[City]]&amp;")"</f>
        <v>Br. B (Mandalay)</v>
      </c>
      <c r="E488" t="s">
        <v>26</v>
      </c>
      <c r="F488" t="s">
        <v>20</v>
      </c>
      <c r="G488" t="s">
        <v>45</v>
      </c>
      <c r="H488">
        <v>41.09</v>
      </c>
      <c r="I488">
        <v>10</v>
      </c>
      <c r="J488">
        <v>20.545000000000002</v>
      </c>
      <c r="K488">
        <v>410.9</v>
      </c>
      <c r="L488" s="1">
        <v>44276</v>
      </c>
      <c r="M488" s="7">
        <f>DAY(Data[[#This Row],[Date]])</f>
        <v>21</v>
      </c>
      <c r="N488" s="7">
        <f>MONTH(Data[[#This Row],[Date]])</f>
        <v>3</v>
      </c>
      <c r="O488" s="7">
        <f>YEAR(Data[[#This Row],[Date]])</f>
        <v>2021</v>
      </c>
      <c r="P488" s="2">
        <v>0.61250000000000004</v>
      </c>
      <c r="Q488" t="s">
        <v>28</v>
      </c>
      <c r="R488">
        <v>287.63</v>
      </c>
      <c r="S488">
        <v>102.72499999999999</v>
      </c>
      <c r="T488">
        <v>7.3</v>
      </c>
    </row>
    <row r="489" spans="1:20" x14ac:dyDescent="0.55000000000000004">
      <c r="A489" t="s">
        <v>522</v>
      </c>
      <c r="B489" t="s">
        <v>17</v>
      </c>
      <c r="C489" t="s">
        <v>18</v>
      </c>
      <c r="D489" t="str">
        <f>"Br. "&amp;Data[[#This Row],[Branch]]&amp;" ("&amp;Data[[#This Row],[City]]&amp;")"</f>
        <v>Br. A (Yangon)</v>
      </c>
      <c r="E489" t="s">
        <v>26</v>
      </c>
      <c r="F489" t="s">
        <v>30</v>
      </c>
      <c r="G489" t="s">
        <v>45</v>
      </c>
      <c r="H489">
        <v>37.15</v>
      </c>
      <c r="I489">
        <v>4</v>
      </c>
      <c r="J489">
        <v>7.43</v>
      </c>
      <c r="K489">
        <v>148.6</v>
      </c>
      <c r="L489" s="1">
        <v>44276</v>
      </c>
      <c r="M489" s="7">
        <f>DAY(Data[[#This Row],[Date]])</f>
        <v>21</v>
      </c>
      <c r="N489" s="7">
        <f>MONTH(Data[[#This Row],[Date]])</f>
        <v>3</v>
      </c>
      <c r="O489" s="7">
        <f>YEAR(Data[[#This Row],[Date]])</f>
        <v>2021</v>
      </c>
      <c r="P489" s="2">
        <v>0.79097222222222219</v>
      </c>
      <c r="Q489" t="s">
        <v>22</v>
      </c>
      <c r="R489">
        <v>104.02</v>
      </c>
      <c r="S489">
        <v>37.15</v>
      </c>
      <c r="T489">
        <v>8.3000000000000007</v>
      </c>
    </row>
    <row r="490" spans="1:20" x14ac:dyDescent="0.55000000000000004">
      <c r="A490" t="s">
        <v>523</v>
      </c>
      <c r="B490" t="s">
        <v>24</v>
      </c>
      <c r="C490" t="s">
        <v>25</v>
      </c>
      <c r="D490" t="str">
        <f>"Br. "&amp;Data[[#This Row],[Branch]]&amp;" ("&amp;Data[[#This Row],[City]]&amp;")"</f>
        <v>Br. C (Naypyitaw)</v>
      </c>
      <c r="E490" t="s">
        <v>26</v>
      </c>
      <c r="F490" t="s">
        <v>30</v>
      </c>
      <c r="G490" t="s">
        <v>31</v>
      </c>
      <c r="H490">
        <v>22.96</v>
      </c>
      <c r="I490">
        <v>1</v>
      </c>
      <c r="J490">
        <v>1.1479999999999999</v>
      </c>
      <c r="K490">
        <v>22.96</v>
      </c>
      <c r="L490" s="1">
        <v>44276</v>
      </c>
      <c r="M490" s="7">
        <f>DAY(Data[[#This Row],[Date]])</f>
        <v>21</v>
      </c>
      <c r="N490" s="7">
        <f>MONTH(Data[[#This Row],[Date]])</f>
        <v>3</v>
      </c>
      <c r="O490" s="7">
        <f>YEAR(Data[[#This Row],[Date]])</f>
        <v>2021</v>
      </c>
      <c r="P490" s="2">
        <v>0.86597222222222225</v>
      </c>
      <c r="Q490" t="s">
        <v>28</v>
      </c>
      <c r="R490">
        <v>16.071999999999999</v>
      </c>
      <c r="S490">
        <v>5.74</v>
      </c>
      <c r="T490">
        <v>4.3</v>
      </c>
    </row>
    <row r="491" spans="1:20" x14ac:dyDescent="0.55000000000000004">
      <c r="A491" t="s">
        <v>524</v>
      </c>
      <c r="B491" t="s">
        <v>41</v>
      </c>
      <c r="C491" t="s">
        <v>42</v>
      </c>
      <c r="D491" t="str">
        <f>"Br. "&amp;Data[[#This Row],[Branch]]&amp;" ("&amp;Data[[#This Row],[City]]&amp;")"</f>
        <v>Br. B (Mandalay)</v>
      </c>
      <c r="E491" t="s">
        <v>19</v>
      </c>
      <c r="F491" t="s">
        <v>20</v>
      </c>
      <c r="G491" t="s">
        <v>31</v>
      </c>
      <c r="H491">
        <v>77.680000000000007</v>
      </c>
      <c r="I491">
        <v>9</v>
      </c>
      <c r="J491">
        <v>34.956000000000003</v>
      </c>
      <c r="K491">
        <v>699.12</v>
      </c>
      <c r="L491" s="1">
        <v>44276</v>
      </c>
      <c r="M491" s="7">
        <f>DAY(Data[[#This Row],[Date]])</f>
        <v>21</v>
      </c>
      <c r="N491" s="7">
        <f>MONTH(Data[[#This Row],[Date]])</f>
        <v>3</v>
      </c>
      <c r="O491" s="7">
        <f>YEAR(Data[[#This Row],[Date]])</f>
        <v>2021</v>
      </c>
      <c r="P491" s="2">
        <v>0.55625000000000002</v>
      </c>
      <c r="Q491" t="s">
        <v>22</v>
      </c>
      <c r="R491">
        <v>489.38400000000001</v>
      </c>
      <c r="S491">
        <v>174.78</v>
      </c>
      <c r="T491">
        <v>9.8000000000000007</v>
      </c>
    </row>
    <row r="492" spans="1:20" x14ac:dyDescent="0.55000000000000004">
      <c r="A492" t="s">
        <v>525</v>
      </c>
      <c r="B492" t="s">
        <v>41</v>
      </c>
      <c r="C492" t="s">
        <v>42</v>
      </c>
      <c r="D492" t="str">
        <f>"Br. "&amp;Data[[#This Row],[Branch]]&amp;" ("&amp;Data[[#This Row],[City]]&amp;")"</f>
        <v>Br. B (Mandalay)</v>
      </c>
      <c r="E492" t="s">
        <v>26</v>
      </c>
      <c r="F492" t="s">
        <v>20</v>
      </c>
      <c r="G492" t="s">
        <v>45</v>
      </c>
      <c r="H492">
        <v>34.700000000000003</v>
      </c>
      <c r="I492">
        <v>2</v>
      </c>
      <c r="J492">
        <v>3.47</v>
      </c>
      <c r="K492">
        <v>69.400000000000006</v>
      </c>
      <c r="L492" s="1">
        <v>44276</v>
      </c>
      <c r="M492" s="7">
        <f>DAY(Data[[#This Row],[Date]])</f>
        <v>21</v>
      </c>
      <c r="N492" s="7">
        <f>MONTH(Data[[#This Row],[Date]])</f>
        <v>3</v>
      </c>
      <c r="O492" s="7">
        <f>YEAR(Data[[#This Row],[Date]])</f>
        <v>2021</v>
      </c>
      <c r="P492" s="2">
        <v>0.82499999999999996</v>
      </c>
      <c r="Q492" t="s">
        <v>22</v>
      </c>
      <c r="R492">
        <v>48.58</v>
      </c>
      <c r="S492">
        <v>17.350000000000001</v>
      </c>
      <c r="T492">
        <v>8.1999999999999993</v>
      </c>
    </row>
    <row r="493" spans="1:20" x14ac:dyDescent="0.55000000000000004">
      <c r="A493" t="s">
        <v>526</v>
      </c>
      <c r="B493" t="s">
        <v>17</v>
      </c>
      <c r="C493" t="s">
        <v>18</v>
      </c>
      <c r="D493" t="str">
        <f>"Br. "&amp;Data[[#This Row],[Branch]]&amp;" ("&amp;Data[[#This Row],[City]]&amp;")"</f>
        <v>Br. A (Yangon)</v>
      </c>
      <c r="E493" t="s">
        <v>19</v>
      </c>
      <c r="F493" t="s">
        <v>20</v>
      </c>
      <c r="G493" t="s">
        <v>45</v>
      </c>
      <c r="H493">
        <v>19.66</v>
      </c>
      <c r="I493">
        <v>10</v>
      </c>
      <c r="J493">
        <v>9.83</v>
      </c>
      <c r="K493">
        <v>196.6</v>
      </c>
      <c r="L493" s="1">
        <v>44276</v>
      </c>
      <c r="M493" s="7">
        <f>DAY(Data[[#This Row],[Date]])</f>
        <v>21</v>
      </c>
      <c r="N493" s="7">
        <f>MONTH(Data[[#This Row],[Date]])</f>
        <v>3</v>
      </c>
      <c r="O493" s="7">
        <f>YEAR(Data[[#This Row],[Date]])</f>
        <v>2021</v>
      </c>
      <c r="P493" s="2">
        <v>0.76388888888888884</v>
      </c>
      <c r="Q493" t="s">
        <v>32</v>
      </c>
      <c r="R493">
        <v>137.62</v>
      </c>
      <c r="S493">
        <v>49.15</v>
      </c>
      <c r="T493">
        <v>7.2</v>
      </c>
    </row>
    <row r="494" spans="1:20" x14ac:dyDescent="0.55000000000000004">
      <c r="A494" t="s">
        <v>527</v>
      </c>
      <c r="B494" t="s">
        <v>41</v>
      </c>
      <c r="C494" t="s">
        <v>42</v>
      </c>
      <c r="D494" t="str">
        <f>"Br. "&amp;Data[[#This Row],[Branch]]&amp;" ("&amp;Data[[#This Row],[City]]&amp;")"</f>
        <v>Br. B (Mandalay)</v>
      </c>
      <c r="E494" t="s">
        <v>19</v>
      </c>
      <c r="F494" t="s">
        <v>20</v>
      </c>
      <c r="G494" t="s">
        <v>21</v>
      </c>
      <c r="H494">
        <v>25.32</v>
      </c>
      <c r="I494">
        <v>8</v>
      </c>
      <c r="J494">
        <v>10.128</v>
      </c>
      <c r="K494">
        <v>202.56</v>
      </c>
      <c r="L494" s="1">
        <v>44276</v>
      </c>
      <c r="M494" s="7">
        <f>DAY(Data[[#This Row],[Date]])</f>
        <v>21</v>
      </c>
      <c r="N494" s="7">
        <f>MONTH(Data[[#This Row],[Date]])</f>
        <v>3</v>
      </c>
      <c r="O494" s="7">
        <f>YEAR(Data[[#This Row],[Date]])</f>
        <v>2021</v>
      </c>
      <c r="P494" s="2">
        <v>0.85</v>
      </c>
      <c r="Q494" t="s">
        <v>22</v>
      </c>
      <c r="R494">
        <v>141.792</v>
      </c>
      <c r="S494">
        <v>50.64</v>
      </c>
      <c r="T494">
        <v>8.6999999999999993</v>
      </c>
    </row>
    <row r="495" spans="1:20" x14ac:dyDescent="0.55000000000000004">
      <c r="A495" t="s">
        <v>528</v>
      </c>
      <c r="B495" t="s">
        <v>24</v>
      </c>
      <c r="C495" t="s">
        <v>25</v>
      </c>
      <c r="D495" t="str">
        <f>"Br. "&amp;Data[[#This Row],[Branch]]&amp;" ("&amp;Data[[#This Row],[City]]&amp;")"</f>
        <v>Br. C (Naypyitaw)</v>
      </c>
      <c r="E495" t="s">
        <v>19</v>
      </c>
      <c r="F495" t="s">
        <v>20</v>
      </c>
      <c r="G495" t="s">
        <v>31</v>
      </c>
      <c r="H495">
        <v>12.12</v>
      </c>
      <c r="I495">
        <v>10</v>
      </c>
      <c r="J495">
        <v>6.06</v>
      </c>
      <c r="K495">
        <v>121.2</v>
      </c>
      <c r="L495" s="1">
        <v>44276</v>
      </c>
      <c r="M495" s="7">
        <f>DAY(Data[[#This Row],[Date]])</f>
        <v>21</v>
      </c>
      <c r="N495" s="7">
        <f>MONTH(Data[[#This Row],[Date]])</f>
        <v>3</v>
      </c>
      <c r="O495" s="7">
        <f>YEAR(Data[[#This Row],[Date]])</f>
        <v>2021</v>
      </c>
      <c r="P495" s="2">
        <v>0.57222222222222219</v>
      </c>
      <c r="Q495" t="s">
        <v>32</v>
      </c>
      <c r="R495">
        <v>84.84</v>
      </c>
      <c r="S495">
        <v>30.3</v>
      </c>
      <c r="T495">
        <v>8.4</v>
      </c>
    </row>
    <row r="496" spans="1:20" x14ac:dyDescent="0.55000000000000004">
      <c r="A496" t="s">
        <v>529</v>
      </c>
      <c r="B496" t="s">
        <v>41</v>
      </c>
      <c r="C496" t="s">
        <v>42</v>
      </c>
      <c r="D496" t="str">
        <f>"Br. "&amp;Data[[#This Row],[Branch]]&amp;" ("&amp;Data[[#This Row],[City]]&amp;")"</f>
        <v>Br. B (Mandalay)</v>
      </c>
      <c r="E496" t="s">
        <v>26</v>
      </c>
      <c r="F496" t="s">
        <v>30</v>
      </c>
      <c r="G496" t="s">
        <v>45</v>
      </c>
      <c r="H496">
        <v>99.89</v>
      </c>
      <c r="I496">
        <v>2</v>
      </c>
      <c r="J496">
        <v>9.9890000000000008</v>
      </c>
      <c r="K496">
        <v>199.78</v>
      </c>
      <c r="L496" s="1">
        <v>44276</v>
      </c>
      <c r="M496" s="7">
        <f>DAY(Data[[#This Row],[Date]])</f>
        <v>21</v>
      </c>
      <c r="N496" s="7">
        <f>MONTH(Data[[#This Row],[Date]])</f>
        <v>3</v>
      </c>
      <c r="O496" s="7">
        <f>YEAR(Data[[#This Row],[Date]])</f>
        <v>2021</v>
      </c>
      <c r="P496" s="2">
        <v>0.49166666666666664</v>
      </c>
      <c r="Q496" t="s">
        <v>22</v>
      </c>
      <c r="R496">
        <v>139.846</v>
      </c>
      <c r="S496">
        <v>49.945</v>
      </c>
      <c r="T496">
        <v>7.1</v>
      </c>
    </row>
    <row r="497" spans="1:20" x14ac:dyDescent="0.55000000000000004">
      <c r="A497" t="s">
        <v>530</v>
      </c>
      <c r="B497" t="s">
        <v>41</v>
      </c>
      <c r="C497" t="s">
        <v>42</v>
      </c>
      <c r="D497" t="str">
        <f>"Br. "&amp;Data[[#This Row],[Branch]]&amp;" ("&amp;Data[[#This Row],[City]]&amp;")"</f>
        <v>Br. B (Mandalay)</v>
      </c>
      <c r="E497" t="s">
        <v>26</v>
      </c>
      <c r="F497" t="s">
        <v>30</v>
      </c>
      <c r="G497" t="s">
        <v>35</v>
      </c>
      <c r="H497">
        <v>75.92</v>
      </c>
      <c r="I497">
        <v>8</v>
      </c>
      <c r="J497">
        <v>30.367999999999999</v>
      </c>
      <c r="K497">
        <v>607.36</v>
      </c>
      <c r="L497" s="1">
        <v>44276</v>
      </c>
      <c r="M497" s="7">
        <f>DAY(Data[[#This Row],[Date]])</f>
        <v>21</v>
      </c>
      <c r="N497" s="7">
        <f>MONTH(Data[[#This Row],[Date]])</f>
        <v>3</v>
      </c>
      <c r="O497" s="7">
        <f>YEAR(Data[[#This Row],[Date]])</f>
        <v>2021</v>
      </c>
      <c r="P497" s="2">
        <v>0.59305555555555556</v>
      </c>
      <c r="Q497" t="s">
        <v>28</v>
      </c>
      <c r="R497">
        <v>425.15199999999999</v>
      </c>
      <c r="S497">
        <v>151.84</v>
      </c>
      <c r="T497">
        <v>5.5</v>
      </c>
    </row>
    <row r="498" spans="1:20" x14ac:dyDescent="0.55000000000000004">
      <c r="A498" t="s">
        <v>531</v>
      </c>
      <c r="B498" t="s">
        <v>24</v>
      </c>
      <c r="C498" t="s">
        <v>25</v>
      </c>
      <c r="D498" t="str">
        <f>"Br. "&amp;Data[[#This Row],[Branch]]&amp;" ("&amp;Data[[#This Row],[City]]&amp;")"</f>
        <v>Br. C (Naypyitaw)</v>
      </c>
      <c r="E498" t="s">
        <v>26</v>
      </c>
      <c r="F498" t="s">
        <v>20</v>
      </c>
      <c r="G498" t="s">
        <v>27</v>
      </c>
      <c r="H498">
        <v>63.22</v>
      </c>
      <c r="I498">
        <v>2</v>
      </c>
      <c r="J498">
        <v>6.3220000000000001</v>
      </c>
      <c r="K498">
        <v>126.44</v>
      </c>
      <c r="L498" s="1">
        <v>44276</v>
      </c>
      <c r="M498" s="7">
        <f>DAY(Data[[#This Row],[Date]])</f>
        <v>21</v>
      </c>
      <c r="N498" s="7">
        <f>MONTH(Data[[#This Row],[Date]])</f>
        <v>3</v>
      </c>
      <c r="O498" s="7">
        <f>YEAR(Data[[#This Row],[Date]])</f>
        <v>2021</v>
      </c>
      <c r="P498" s="2">
        <v>0.66041666666666665</v>
      </c>
      <c r="Q498" t="s">
        <v>28</v>
      </c>
      <c r="R498">
        <v>88.507999999999996</v>
      </c>
      <c r="S498">
        <v>31.61</v>
      </c>
      <c r="T498">
        <v>8.5</v>
      </c>
    </row>
    <row r="499" spans="1:20" x14ac:dyDescent="0.55000000000000004">
      <c r="A499" t="s">
        <v>532</v>
      </c>
      <c r="B499" t="s">
        <v>24</v>
      </c>
      <c r="C499" t="s">
        <v>25</v>
      </c>
      <c r="D499" t="str">
        <f>"Br. "&amp;Data[[#This Row],[Branch]]&amp;" ("&amp;Data[[#This Row],[City]]&amp;")"</f>
        <v>Br. C (Naypyitaw)</v>
      </c>
      <c r="E499" t="s">
        <v>26</v>
      </c>
      <c r="F499" t="s">
        <v>20</v>
      </c>
      <c r="G499" t="s">
        <v>43</v>
      </c>
      <c r="H499">
        <v>90.24</v>
      </c>
      <c r="I499">
        <v>6</v>
      </c>
      <c r="J499">
        <v>27.071999999999999</v>
      </c>
      <c r="K499">
        <v>541.44000000000005</v>
      </c>
      <c r="L499" s="1">
        <v>44276</v>
      </c>
      <c r="M499" s="7">
        <f>DAY(Data[[#This Row],[Date]])</f>
        <v>21</v>
      </c>
      <c r="N499" s="7">
        <f>MONTH(Data[[#This Row],[Date]])</f>
        <v>3</v>
      </c>
      <c r="O499" s="7">
        <f>YEAR(Data[[#This Row],[Date]])</f>
        <v>2021</v>
      </c>
      <c r="P499" s="2">
        <v>0.47013888888888888</v>
      </c>
      <c r="Q499" t="s">
        <v>28</v>
      </c>
      <c r="R499">
        <v>379.00799999999998</v>
      </c>
      <c r="S499">
        <v>135.36000000000001</v>
      </c>
      <c r="T499">
        <v>6.2</v>
      </c>
    </row>
    <row r="500" spans="1:20" x14ac:dyDescent="0.55000000000000004">
      <c r="A500" t="s">
        <v>533</v>
      </c>
      <c r="B500" t="s">
        <v>41</v>
      </c>
      <c r="C500" t="s">
        <v>42</v>
      </c>
      <c r="D500" t="str">
        <f>"Br. "&amp;Data[[#This Row],[Branch]]&amp;" ("&amp;Data[[#This Row],[City]]&amp;")"</f>
        <v>Br. B (Mandalay)</v>
      </c>
      <c r="E500" t="s">
        <v>19</v>
      </c>
      <c r="F500" t="s">
        <v>20</v>
      </c>
      <c r="G500" t="s">
        <v>35</v>
      </c>
      <c r="H500">
        <v>98.13</v>
      </c>
      <c r="I500">
        <v>1</v>
      </c>
      <c r="J500">
        <v>4.9065000000000003</v>
      </c>
      <c r="K500">
        <v>98.13</v>
      </c>
      <c r="L500" s="1">
        <v>44276</v>
      </c>
      <c r="M500" s="7">
        <f>DAY(Data[[#This Row],[Date]])</f>
        <v>21</v>
      </c>
      <c r="N500" s="7">
        <f>MONTH(Data[[#This Row],[Date]])</f>
        <v>3</v>
      </c>
      <c r="O500" s="7">
        <f>YEAR(Data[[#This Row],[Date]])</f>
        <v>2021</v>
      </c>
      <c r="P500" s="2">
        <v>0.73333333333333328</v>
      </c>
      <c r="Q500" t="s">
        <v>28</v>
      </c>
      <c r="R500">
        <v>68.691000000000003</v>
      </c>
      <c r="S500">
        <v>24.532499999999999</v>
      </c>
      <c r="T500">
        <v>8.9</v>
      </c>
    </row>
    <row r="501" spans="1:20" x14ac:dyDescent="0.55000000000000004">
      <c r="A501" t="s">
        <v>534</v>
      </c>
      <c r="B501" t="s">
        <v>17</v>
      </c>
      <c r="C501" t="s">
        <v>18</v>
      </c>
      <c r="D501" t="str">
        <f>"Br. "&amp;Data[[#This Row],[Branch]]&amp;" ("&amp;Data[[#This Row],[City]]&amp;")"</f>
        <v>Br. A (Yangon)</v>
      </c>
      <c r="E501" t="s">
        <v>19</v>
      </c>
      <c r="F501" t="s">
        <v>20</v>
      </c>
      <c r="G501" t="s">
        <v>35</v>
      </c>
      <c r="H501">
        <v>51.52</v>
      </c>
      <c r="I501">
        <v>8</v>
      </c>
      <c r="J501">
        <v>20.608000000000001</v>
      </c>
      <c r="K501">
        <v>412.16</v>
      </c>
      <c r="L501" s="1">
        <v>44276</v>
      </c>
      <c r="M501" s="7">
        <f>DAY(Data[[#This Row],[Date]])</f>
        <v>21</v>
      </c>
      <c r="N501" s="7">
        <f>MONTH(Data[[#This Row],[Date]])</f>
        <v>3</v>
      </c>
      <c r="O501" s="7">
        <f>YEAR(Data[[#This Row],[Date]])</f>
        <v>2021</v>
      </c>
      <c r="P501" s="2">
        <v>0.65763888888888888</v>
      </c>
      <c r="Q501" t="s">
        <v>28</v>
      </c>
      <c r="R501">
        <v>288.512</v>
      </c>
      <c r="S501">
        <v>103.04</v>
      </c>
      <c r="T501">
        <v>9.6</v>
      </c>
    </row>
    <row r="502" spans="1:20" x14ac:dyDescent="0.55000000000000004">
      <c r="A502" t="s">
        <v>535</v>
      </c>
      <c r="B502" t="s">
        <v>41</v>
      </c>
      <c r="C502" t="s">
        <v>42</v>
      </c>
      <c r="D502" t="str">
        <f>"Br. "&amp;Data[[#This Row],[Branch]]&amp;" ("&amp;Data[[#This Row],[City]]&amp;")"</f>
        <v>Br. B (Mandalay)</v>
      </c>
      <c r="E502" t="s">
        <v>19</v>
      </c>
      <c r="F502" t="s">
        <v>30</v>
      </c>
      <c r="G502" t="s">
        <v>35</v>
      </c>
      <c r="H502">
        <v>73.97</v>
      </c>
      <c r="I502">
        <v>1</v>
      </c>
      <c r="J502">
        <v>3.6985000000000001</v>
      </c>
      <c r="K502">
        <v>73.97</v>
      </c>
      <c r="L502" s="1">
        <v>44276</v>
      </c>
      <c r="M502" s="7">
        <f>DAY(Data[[#This Row],[Date]])</f>
        <v>21</v>
      </c>
      <c r="N502" s="7">
        <f>MONTH(Data[[#This Row],[Date]])</f>
        <v>3</v>
      </c>
      <c r="O502" s="7">
        <f>YEAR(Data[[#This Row],[Date]])</f>
        <v>2021</v>
      </c>
      <c r="P502" s="2">
        <v>0.66180555555555554</v>
      </c>
      <c r="Q502" t="s">
        <v>32</v>
      </c>
      <c r="R502">
        <v>51.779000000000003</v>
      </c>
      <c r="S502">
        <v>18.4925</v>
      </c>
      <c r="T502">
        <v>5.4</v>
      </c>
    </row>
    <row r="503" spans="1:20" x14ac:dyDescent="0.55000000000000004">
      <c r="A503" t="s">
        <v>536</v>
      </c>
      <c r="B503" t="s">
        <v>24</v>
      </c>
      <c r="C503" t="s">
        <v>25</v>
      </c>
      <c r="D503" t="str">
        <f>"Br. "&amp;Data[[#This Row],[Branch]]&amp;" ("&amp;Data[[#This Row],[City]]&amp;")"</f>
        <v>Br. C (Naypyitaw)</v>
      </c>
      <c r="E503" t="s">
        <v>19</v>
      </c>
      <c r="F503" t="s">
        <v>20</v>
      </c>
      <c r="G503" t="s">
        <v>45</v>
      </c>
      <c r="H503">
        <v>31.9</v>
      </c>
      <c r="I503">
        <v>1</v>
      </c>
      <c r="J503">
        <v>1.595</v>
      </c>
      <c r="K503">
        <v>31.9</v>
      </c>
      <c r="L503" s="1">
        <v>44276</v>
      </c>
      <c r="M503" s="7">
        <f>DAY(Data[[#This Row],[Date]])</f>
        <v>21</v>
      </c>
      <c r="N503" s="7">
        <f>MONTH(Data[[#This Row],[Date]])</f>
        <v>3</v>
      </c>
      <c r="O503" s="7">
        <f>YEAR(Data[[#This Row],[Date]])</f>
        <v>2021</v>
      </c>
      <c r="P503" s="2">
        <v>0.52777777777777779</v>
      </c>
      <c r="Q503" t="s">
        <v>22</v>
      </c>
      <c r="R503">
        <v>22.33</v>
      </c>
      <c r="S503">
        <v>7.9749999999999996</v>
      </c>
      <c r="T503">
        <v>9.1</v>
      </c>
    </row>
    <row r="504" spans="1:20" x14ac:dyDescent="0.55000000000000004">
      <c r="A504" t="s">
        <v>537</v>
      </c>
      <c r="B504" t="s">
        <v>24</v>
      </c>
      <c r="C504" t="s">
        <v>25</v>
      </c>
      <c r="D504" t="str">
        <f>"Br. "&amp;Data[[#This Row],[Branch]]&amp;" ("&amp;Data[[#This Row],[City]]&amp;")"</f>
        <v>Br. C (Naypyitaw)</v>
      </c>
      <c r="E504" t="s">
        <v>26</v>
      </c>
      <c r="F504" t="s">
        <v>30</v>
      </c>
      <c r="G504" t="s">
        <v>31</v>
      </c>
      <c r="H504">
        <v>69.400000000000006</v>
      </c>
      <c r="I504">
        <v>2</v>
      </c>
      <c r="J504">
        <v>6.94</v>
      </c>
      <c r="K504">
        <v>138.80000000000001</v>
      </c>
      <c r="L504" s="1">
        <v>44276</v>
      </c>
      <c r="M504" s="7">
        <f>DAY(Data[[#This Row],[Date]])</f>
        <v>21</v>
      </c>
      <c r="N504" s="7">
        <f>MONTH(Data[[#This Row],[Date]])</f>
        <v>3</v>
      </c>
      <c r="O504" s="7">
        <f>YEAR(Data[[#This Row],[Date]])</f>
        <v>2021</v>
      </c>
      <c r="P504" s="2">
        <v>0.82499999999999996</v>
      </c>
      <c r="Q504" t="s">
        <v>22</v>
      </c>
      <c r="R504">
        <v>97.16</v>
      </c>
      <c r="S504">
        <v>34.700000000000003</v>
      </c>
      <c r="T504">
        <v>9</v>
      </c>
    </row>
    <row r="505" spans="1:20" x14ac:dyDescent="0.55000000000000004">
      <c r="A505" t="s">
        <v>538</v>
      </c>
      <c r="B505" t="s">
        <v>41</v>
      </c>
      <c r="C505" t="s">
        <v>42</v>
      </c>
      <c r="D505" t="str">
        <f>"Br. "&amp;Data[[#This Row],[Branch]]&amp;" ("&amp;Data[[#This Row],[City]]&amp;")"</f>
        <v>Br. B (Mandalay)</v>
      </c>
      <c r="E505" t="s">
        <v>26</v>
      </c>
      <c r="F505" t="s">
        <v>20</v>
      </c>
      <c r="G505" t="s">
        <v>35</v>
      </c>
      <c r="H505">
        <v>93.31</v>
      </c>
      <c r="I505">
        <v>2</v>
      </c>
      <c r="J505">
        <v>9.3309999999999995</v>
      </c>
      <c r="K505">
        <v>186.62</v>
      </c>
      <c r="L505" s="1">
        <v>44276</v>
      </c>
      <c r="M505" s="7">
        <f>DAY(Data[[#This Row],[Date]])</f>
        <v>21</v>
      </c>
      <c r="N505" s="7">
        <f>MONTH(Data[[#This Row],[Date]])</f>
        <v>3</v>
      </c>
      <c r="O505" s="7">
        <f>YEAR(Data[[#This Row],[Date]])</f>
        <v>2021</v>
      </c>
      <c r="P505" s="2">
        <v>0.74513888888888891</v>
      </c>
      <c r="Q505" t="s">
        <v>28</v>
      </c>
      <c r="R505">
        <v>130.63399999999999</v>
      </c>
      <c r="S505">
        <v>46.655000000000001</v>
      </c>
      <c r="T505">
        <v>6.3</v>
      </c>
    </row>
    <row r="506" spans="1:20" x14ac:dyDescent="0.55000000000000004">
      <c r="A506" t="s">
        <v>539</v>
      </c>
      <c r="B506" t="s">
        <v>41</v>
      </c>
      <c r="C506" t="s">
        <v>42</v>
      </c>
      <c r="D506" t="str">
        <f>"Br. "&amp;Data[[#This Row],[Branch]]&amp;" ("&amp;Data[[#This Row],[City]]&amp;")"</f>
        <v>Br. B (Mandalay)</v>
      </c>
      <c r="E506" t="s">
        <v>26</v>
      </c>
      <c r="F506" t="s">
        <v>30</v>
      </c>
      <c r="G506" t="s">
        <v>35</v>
      </c>
      <c r="H506">
        <v>88.45</v>
      </c>
      <c r="I506">
        <v>1</v>
      </c>
      <c r="J506">
        <v>4.4225000000000003</v>
      </c>
      <c r="K506">
        <v>88.45</v>
      </c>
      <c r="L506" s="1">
        <v>44276</v>
      </c>
      <c r="M506" s="7">
        <f>DAY(Data[[#This Row],[Date]])</f>
        <v>21</v>
      </c>
      <c r="N506" s="7">
        <f>MONTH(Data[[#This Row],[Date]])</f>
        <v>3</v>
      </c>
      <c r="O506" s="7">
        <f>YEAR(Data[[#This Row],[Date]])</f>
        <v>2021</v>
      </c>
      <c r="P506" s="2">
        <v>0.69166666666666665</v>
      </c>
      <c r="Q506" t="s">
        <v>32</v>
      </c>
      <c r="R506">
        <v>61.914999999999999</v>
      </c>
      <c r="S506">
        <v>22.112500000000001</v>
      </c>
      <c r="T506">
        <v>9.5</v>
      </c>
    </row>
    <row r="507" spans="1:20" x14ac:dyDescent="0.55000000000000004">
      <c r="A507" t="s">
        <v>540</v>
      </c>
      <c r="B507" t="s">
        <v>17</v>
      </c>
      <c r="C507" t="s">
        <v>18</v>
      </c>
      <c r="D507" t="str">
        <f>"Br. "&amp;Data[[#This Row],[Branch]]&amp;" ("&amp;Data[[#This Row],[City]]&amp;")"</f>
        <v>Br. A (Yangon)</v>
      </c>
      <c r="E507" t="s">
        <v>19</v>
      </c>
      <c r="F507" t="s">
        <v>30</v>
      </c>
      <c r="G507" t="s">
        <v>27</v>
      </c>
      <c r="H507">
        <v>24.18</v>
      </c>
      <c r="I507">
        <v>8</v>
      </c>
      <c r="J507">
        <v>9.6720000000000006</v>
      </c>
      <c r="K507">
        <v>193.44</v>
      </c>
      <c r="L507" s="1">
        <v>44276</v>
      </c>
      <c r="M507" s="7">
        <f>DAY(Data[[#This Row],[Date]])</f>
        <v>21</v>
      </c>
      <c r="N507" s="7">
        <f>MONTH(Data[[#This Row],[Date]])</f>
        <v>3</v>
      </c>
      <c r="O507" s="7">
        <f>YEAR(Data[[#This Row],[Date]])</f>
        <v>2021</v>
      </c>
      <c r="P507" s="2">
        <v>0.87083333333333335</v>
      </c>
      <c r="Q507" t="s">
        <v>22</v>
      </c>
      <c r="R507">
        <v>135.40799999999999</v>
      </c>
      <c r="S507">
        <v>48.36</v>
      </c>
      <c r="T507">
        <v>9.8000000000000007</v>
      </c>
    </row>
    <row r="508" spans="1:20" x14ac:dyDescent="0.55000000000000004">
      <c r="A508" t="s">
        <v>541</v>
      </c>
      <c r="B508" t="s">
        <v>41</v>
      </c>
      <c r="C508" t="s">
        <v>42</v>
      </c>
      <c r="D508" t="str">
        <f>"Br. "&amp;Data[[#This Row],[Branch]]&amp;" ("&amp;Data[[#This Row],[City]]&amp;")"</f>
        <v>Br. B (Mandalay)</v>
      </c>
      <c r="E508" t="s">
        <v>19</v>
      </c>
      <c r="F508" t="s">
        <v>20</v>
      </c>
      <c r="G508" t="s">
        <v>35</v>
      </c>
      <c r="H508">
        <v>48.5</v>
      </c>
      <c r="I508">
        <v>3</v>
      </c>
      <c r="J508">
        <v>7.2750000000000004</v>
      </c>
      <c r="K508">
        <v>145.5</v>
      </c>
      <c r="L508" s="1">
        <v>44276</v>
      </c>
      <c r="M508" s="7">
        <f>DAY(Data[[#This Row],[Date]])</f>
        <v>21</v>
      </c>
      <c r="N508" s="7">
        <f>MONTH(Data[[#This Row],[Date]])</f>
        <v>3</v>
      </c>
      <c r="O508" s="7">
        <f>YEAR(Data[[#This Row],[Date]])</f>
        <v>2021</v>
      </c>
      <c r="P508" s="2">
        <v>0.53472222222222221</v>
      </c>
      <c r="Q508" t="s">
        <v>28</v>
      </c>
      <c r="R508">
        <v>101.85</v>
      </c>
      <c r="S508">
        <v>36.375</v>
      </c>
      <c r="T508">
        <v>6.7</v>
      </c>
    </row>
    <row r="509" spans="1:20" x14ac:dyDescent="0.55000000000000004">
      <c r="A509" t="s">
        <v>542</v>
      </c>
      <c r="B509" t="s">
        <v>41</v>
      </c>
      <c r="C509" t="s">
        <v>42</v>
      </c>
      <c r="D509" t="str">
        <f>"Br. "&amp;Data[[#This Row],[Branch]]&amp;" ("&amp;Data[[#This Row],[City]]&amp;")"</f>
        <v>Br. B (Mandalay)</v>
      </c>
      <c r="E509" t="s">
        <v>26</v>
      </c>
      <c r="F509" t="s">
        <v>20</v>
      </c>
      <c r="G509" t="s">
        <v>43</v>
      </c>
      <c r="H509">
        <v>84.05</v>
      </c>
      <c r="I509">
        <v>6</v>
      </c>
      <c r="J509">
        <v>25.215</v>
      </c>
      <c r="K509">
        <v>504.3</v>
      </c>
      <c r="L509" s="1">
        <v>44276</v>
      </c>
      <c r="M509" s="7">
        <f>DAY(Data[[#This Row],[Date]])</f>
        <v>21</v>
      </c>
      <c r="N509" s="7">
        <f>MONTH(Data[[#This Row],[Date]])</f>
        <v>3</v>
      </c>
      <c r="O509" s="7">
        <f>YEAR(Data[[#This Row],[Date]])</f>
        <v>2021</v>
      </c>
      <c r="P509" s="2">
        <v>0.45</v>
      </c>
      <c r="Q509" t="s">
        <v>32</v>
      </c>
      <c r="R509">
        <v>353.01</v>
      </c>
      <c r="S509">
        <v>126.075</v>
      </c>
      <c r="T509">
        <v>7.7</v>
      </c>
    </row>
    <row r="510" spans="1:20" x14ac:dyDescent="0.55000000000000004">
      <c r="A510" t="s">
        <v>543</v>
      </c>
      <c r="B510" t="s">
        <v>41</v>
      </c>
      <c r="C510" t="s">
        <v>42</v>
      </c>
      <c r="D510" t="str">
        <f>"Br. "&amp;Data[[#This Row],[Branch]]&amp;" ("&amp;Data[[#This Row],[City]]&amp;")"</f>
        <v>Br. B (Mandalay)</v>
      </c>
      <c r="E510" t="s">
        <v>19</v>
      </c>
      <c r="F510" t="s">
        <v>30</v>
      </c>
      <c r="G510" t="s">
        <v>21</v>
      </c>
      <c r="H510">
        <v>61.29</v>
      </c>
      <c r="I510">
        <v>5</v>
      </c>
      <c r="J510">
        <v>15.3225</v>
      </c>
      <c r="K510">
        <v>306.45</v>
      </c>
      <c r="L510" s="1">
        <v>44276</v>
      </c>
      <c r="M510" s="7">
        <f>DAY(Data[[#This Row],[Date]])</f>
        <v>21</v>
      </c>
      <c r="N510" s="7">
        <f>MONTH(Data[[#This Row],[Date]])</f>
        <v>3</v>
      </c>
      <c r="O510" s="7">
        <f>YEAR(Data[[#This Row],[Date]])</f>
        <v>2021</v>
      </c>
      <c r="P510" s="2">
        <v>0.60277777777777775</v>
      </c>
      <c r="Q510" t="s">
        <v>28</v>
      </c>
      <c r="R510">
        <v>214.51499999999999</v>
      </c>
      <c r="S510">
        <v>76.612499999999997</v>
      </c>
      <c r="T510">
        <v>7</v>
      </c>
    </row>
    <row r="511" spans="1:20" x14ac:dyDescent="0.55000000000000004">
      <c r="A511" t="s">
        <v>544</v>
      </c>
      <c r="B511" t="s">
        <v>24</v>
      </c>
      <c r="C511" t="s">
        <v>25</v>
      </c>
      <c r="D511" t="str">
        <f>"Br. "&amp;Data[[#This Row],[Branch]]&amp;" ("&amp;Data[[#This Row],[City]]&amp;")"</f>
        <v>Br. C (Naypyitaw)</v>
      </c>
      <c r="E511" t="s">
        <v>19</v>
      </c>
      <c r="F511" t="s">
        <v>20</v>
      </c>
      <c r="G511" t="s">
        <v>31</v>
      </c>
      <c r="H511">
        <v>15.95</v>
      </c>
      <c r="I511">
        <v>6</v>
      </c>
      <c r="J511">
        <v>4.7850000000000001</v>
      </c>
      <c r="K511">
        <v>95.7</v>
      </c>
      <c r="L511" s="1">
        <v>44276</v>
      </c>
      <c r="M511" s="7">
        <f>DAY(Data[[#This Row],[Date]])</f>
        <v>21</v>
      </c>
      <c r="N511" s="7">
        <f>MONTH(Data[[#This Row],[Date]])</f>
        <v>3</v>
      </c>
      <c r="O511" s="7">
        <f>YEAR(Data[[#This Row],[Date]])</f>
        <v>2021</v>
      </c>
      <c r="P511" s="2">
        <v>0.71875</v>
      </c>
      <c r="Q511" t="s">
        <v>32</v>
      </c>
      <c r="R511">
        <v>66.989999999999995</v>
      </c>
      <c r="S511">
        <v>23.925000000000001</v>
      </c>
      <c r="T511">
        <v>5.0999999999999996</v>
      </c>
    </row>
    <row r="512" spans="1:20" x14ac:dyDescent="0.55000000000000004">
      <c r="A512" t="s">
        <v>545</v>
      </c>
      <c r="B512" t="s">
        <v>41</v>
      </c>
      <c r="C512" t="s">
        <v>42</v>
      </c>
      <c r="D512" t="str">
        <f>"Br. "&amp;Data[[#This Row],[Branch]]&amp;" ("&amp;Data[[#This Row],[City]]&amp;")"</f>
        <v>Br. B (Mandalay)</v>
      </c>
      <c r="E512" t="s">
        <v>19</v>
      </c>
      <c r="F512" t="s">
        <v>20</v>
      </c>
      <c r="G512" t="s">
        <v>35</v>
      </c>
      <c r="H512">
        <v>90.74</v>
      </c>
      <c r="I512">
        <v>7</v>
      </c>
      <c r="J512">
        <v>31.759</v>
      </c>
      <c r="K512">
        <v>635.17999999999995</v>
      </c>
      <c r="L512" s="1">
        <v>44276</v>
      </c>
      <c r="M512" s="7">
        <f>DAY(Data[[#This Row],[Date]])</f>
        <v>21</v>
      </c>
      <c r="N512" s="7">
        <f>MONTH(Data[[#This Row],[Date]])</f>
        <v>3</v>
      </c>
      <c r="O512" s="7">
        <f>YEAR(Data[[#This Row],[Date]])</f>
        <v>2021</v>
      </c>
      <c r="P512" s="2">
        <v>0.75208333333333333</v>
      </c>
      <c r="Q512" t="s">
        <v>32</v>
      </c>
      <c r="R512">
        <v>444.62599999999998</v>
      </c>
      <c r="S512">
        <v>158.79499999999999</v>
      </c>
      <c r="T512">
        <v>6.2</v>
      </c>
    </row>
    <row r="513" spans="1:20" x14ac:dyDescent="0.55000000000000004">
      <c r="A513" t="s">
        <v>546</v>
      </c>
      <c r="B513" t="s">
        <v>17</v>
      </c>
      <c r="C513" t="s">
        <v>18</v>
      </c>
      <c r="D513" t="str">
        <f>"Br. "&amp;Data[[#This Row],[Branch]]&amp;" ("&amp;Data[[#This Row],[City]]&amp;")"</f>
        <v>Br. A (Yangon)</v>
      </c>
      <c r="E513" t="s">
        <v>26</v>
      </c>
      <c r="F513" t="s">
        <v>20</v>
      </c>
      <c r="G513" t="s">
        <v>31</v>
      </c>
      <c r="H513">
        <v>42.91</v>
      </c>
      <c r="I513">
        <v>5</v>
      </c>
      <c r="J513">
        <v>10.727499999999999</v>
      </c>
      <c r="K513">
        <v>214.55</v>
      </c>
      <c r="L513" s="1">
        <v>44276</v>
      </c>
      <c r="M513" s="7">
        <f>DAY(Data[[#This Row],[Date]])</f>
        <v>21</v>
      </c>
      <c r="N513" s="7">
        <f>MONTH(Data[[#This Row],[Date]])</f>
        <v>3</v>
      </c>
      <c r="O513" s="7">
        <f>YEAR(Data[[#This Row],[Date]])</f>
        <v>2021</v>
      </c>
      <c r="P513" s="2">
        <v>0.72847222222222219</v>
      </c>
      <c r="Q513" t="s">
        <v>22</v>
      </c>
      <c r="R513">
        <v>150.185</v>
      </c>
      <c r="S513">
        <v>53.637500000000003</v>
      </c>
      <c r="T513">
        <v>6.1</v>
      </c>
    </row>
    <row r="514" spans="1:20" x14ac:dyDescent="0.55000000000000004">
      <c r="A514" t="s">
        <v>547</v>
      </c>
      <c r="B514" t="s">
        <v>17</v>
      </c>
      <c r="C514" t="s">
        <v>18</v>
      </c>
      <c r="D514" t="str">
        <f>"Br. "&amp;Data[[#This Row],[Branch]]&amp;" ("&amp;Data[[#This Row],[City]]&amp;")"</f>
        <v>Br. A (Yangon)</v>
      </c>
      <c r="E514" t="s">
        <v>26</v>
      </c>
      <c r="F514" t="s">
        <v>20</v>
      </c>
      <c r="G514" t="s">
        <v>45</v>
      </c>
      <c r="H514">
        <v>54.28</v>
      </c>
      <c r="I514">
        <v>7</v>
      </c>
      <c r="J514">
        <v>18.998000000000001</v>
      </c>
      <c r="K514">
        <v>379.96</v>
      </c>
      <c r="L514" s="1">
        <v>44276</v>
      </c>
      <c r="M514" s="7">
        <f>DAY(Data[[#This Row],[Date]])</f>
        <v>21</v>
      </c>
      <c r="N514" s="7">
        <f>MONTH(Data[[#This Row],[Date]])</f>
        <v>3</v>
      </c>
      <c r="O514" s="7">
        <f>YEAR(Data[[#This Row],[Date]])</f>
        <v>2021</v>
      </c>
      <c r="P514" s="2">
        <v>0.75347222222222221</v>
      </c>
      <c r="Q514" t="s">
        <v>22</v>
      </c>
      <c r="R514">
        <v>265.97199999999998</v>
      </c>
      <c r="S514">
        <v>94.99</v>
      </c>
      <c r="T514">
        <v>9.3000000000000007</v>
      </c>
    </row>
    <row r="515" spans="1:20" x14ac:dyDescent="0.55000000000000004">
      <c r="A515" t="s">
        <v>548</v>
      </c>
      <c r="B515" t="s">
        <v>17</v>
      </c>
      <c r="C515" t="s">
        <v>18</v>
      </c>
      <c r="D515" t="str">
        <f>"Br. "&amp;Data[[#This Row],[Branch]]&amp;" ("&amp;Data[[#This Row],[City]]&amp;")"</f>
        <v>Br. A (Yangon)</v>
      </c>
      <c r="E515" t="s">
        <v>26</v>
      </c>
      <c r="F515" t="s">
        <v>30</v>
      </c>
      <c r="G515" t="s">
        <v>27</v>
      </c>
      <c r="H515">
        <v>99.55</v>
      </c>
      <c r="I515">
        <v>7</v>
      </c>
      <c r="J515">
        <v>34.842500000000001</v>
      </c>
      <c r="K515">
        <v>696.85</v>
      </c>
      <c r="L515" s="1">
        <v>44276</v>
      </c>
      <c r="M515" s="7">
        <f>DAY(Data[[#This Row],[Date]])</f>
        <v>21</v>
      </c>
      <c r="N515" s="7">
        <f>MONTH(Data[[#This Row],[Date]])</f>
        <v>3</v>
      </c>
      <c r="O515" s="7">
        <f>YEAR(Data[[#This Row],[Date]])</f>
        <v>2021</v>
      </c>
      <c r="P515" s="2">
        <v>0.50486111111111109</v>
      </c>
      <c r="Q515" t="s">
        <v>28</v>
      </c>
      <c r="R515">
        <v>487.79500000000002</v>
      </c>
      <c r="S515">
        <v>174.21250000000001</v>
      </c>
      <c r="T515">
        <v>7.6</v>
      </c>
    </row>
    <row r="516" spans="1:20" x14ac:dyDescent="0.55000000000000004">
      <c r="A516" t="s">
        <v>549</v>
      </c>
      <c r="B516" t="s">
        <v>24</v>
      </c>
      <c r="C516" t="s">
        <v>25</v>
      </c>
      <c r="D516" t="str">
        <f>"Br. "&amp;Data[[#This Row],[Branch]]&amp;" ("&amp;Data[[#This Row],[City]]&amp;")"</f>
        <v>Br. C (Naypyitaw)</v>
      </c>
      <c r="E516" t="s">
        <v>19</v>
      </c>
      <c r="F516" t="s">
        <v>30</v>
      </c>
      <c r="G516" t="s">
        <v>35</v>
      </c>
      <c r="H516">
        <v>58.39</v>
      </c>
      <c r="I516">
        <v>7</v>
      </c>
      <c r="J516">
        <v>20.436499999999999</v>
      </c>
      <c r="K516">
        <v>408.73</v>
      </c>
      <c r="L516" s="1">
        <v>44276</v>
      </c>
      <c r="M516" s="7">
        <f>DAY(Data[[#This Row],[Date]])</f>
        <v>21</v>
      </c>
      <c r="N516" s="7">
        <f>MONTH(Data[[#This Row],[Date]])</f>
        <v>3</v>
      </c>
      <c r="O516" s="7">
        <f>YEAR(Data[[#This Row],[Date]])</f>
        <v>2021</v>
      </c>
      <c r="P516" s="2">
        <v>0.8256944444444444</v>
      </c>
      <c r="Q516" t="s">
        <v>32</v>
      </c>
      <c r="R516">
        <v>286.11099999999999</v>
      </c>
      <c r="S516">
        <v>102.1825</v>
      </c>
      <c r="T516">
        <v>8.1999999999999993</v>
      </c>
    </row>
    <row r="517" spans="1:20" x14ac:dyDescent="0.55000000000000004">
      <c r="A517" t="s">
        <v>550</v>
      </c>
      <c r="B517" t="s">
        <v>24</v>
      </c>
      <c r="C517" t="s">
        <v>25</v>
      </c>
      <c r="D517" t="str">
        <f>"Br. "&amp;Data[[#This Row],[Branch]]&amp;" ("&amp;Data[[#This Row],[City]]&amp;")"</f>
        <v>Br. C (Naypyitaw)</v>
      </c>
      <c r="E517" t="s">
        <v>19</v>
      </c>
      <c r="F517" t="s">
        <v>20</v>
      </c>
      <c r="G517" t="s">
        <v>45</v>
      </c>
      <c r="H517">
        <v>51.47</v>
      </c>
      <c r="I517">
        <v>1</v>
      </c>
      <c r="J517">
        <v>2.5735000000000001</v>
      </c>
      <c r="K517">
        <v>51.47</v>
      </c>
      <c r="L517" s="1">
        <v>44276</v>
      </c>
      <c r="M517" s="7">
        <f>DAY(Data[[#This Row],[Date]])</f>
        <v>21</v>
      </c>
      <c r="N517" s="7">
        <f>MONTH(Data[[#This Row],[Date]])</f>
        <v>3</v>
      </c>
      <c r="O517" s="7">
        <f>YEAR(Data[[#This Row],[Date]])</f>
        <v>2021</v>
      </c>
      <c r="P517" s="2">
        <v>0.66111111111111109</v>
      </c>
      <c r="Q517" t="s">
        <v>22</v>
      </c>
      <c r="R517">
        <v>36.029000000000003</v>
      </c>
      <c r="S517">
        <v>12.8675</v>
      </c>
      <c r="T517">
        <v>8.5</v>
      </c>
    </row>
    <row r="518" spans="1:20" x14ac:dyDescent="0.55000000000000004">
      <c r="A518" t="s">
        <v>551</v>
      </c>
      <c r="B518" t="s">
        <v>41</v>
      </c>
      <c r="C518" t="s">
        <v>42</v>
      </c>
      <c r="D518" t="str">
        <f>"Br. "&amp;Data[[#This Row],[Branch]]&amp;" ("&amp;Data[[#This Row],[City]]&amp;")"</f>
        <v>Br. B (Mandalay)</v>
      </c>
      <c r="E518" t="s">
        <v>19</v>
      </c>
      <c r="F518" t="s">
        <v>30</v>
      </c>
      <c r="G518" t="s">
        <v>21</v>
      </c>
      <c r="H518">
        <v>54.86</v>
      </c>
      <c r="I518">
        <v>5</v>
      </c>
      <c r="J518">
        <v>13.715</v>
      </c>
      <c r="K518">
        <v>274.3</v>
      </c>
      <c r="L518" s="1">
        <v>44276</v>
      </c>
      <c r="M518" s="7">
        <f>DAY(Data[[#This Row],[Date]])</f>
        <v>21</v>
      </c>
      <c r="N518" s="7">
        <f>MONTH(Data[[#This Row],[Date]])</f>
        <v>3</v>
      </c>
      <c r="O518" s="7">
        <f>YEAR(Data[[#This Row],[Date]])</f>
        <v>2021</v>
      </c>
      <c r="P518" s="2">
        <v>0.7</v>
      </c>
      <c r="Q518" t="s">
        <v>22</v>
      </c>
      <c r="R518">
        <v>192.01</v>
      </c>
      <c r="S518">
        <v>68.575000000000003</v>
      </c>
      <c r="T518">
        <v>9.8000000000000007</v>
      </c>
    </row>
    <row r="519" spans="1:20" x14ac:dyDescent="0.55000000000000004">
      <c r="A519" t="s">
        <v>552</v>
      </c>
      <c r="B519" t="s">
        <v>24</v>
      </c>
      <c r="C519" t="s">
        <v>25</v>
      </c>
      <c r="D519" t="str">
        <f>"Br. "&amp;Data[[#This Row],[Branch]]&amp;" ("&amp;Data[[#This Row],[City]]&amp;")"</f>
        <v>Br. C (Naypyitaw)</v>
      </c>
      <c r="E519" t="s">
        <v>19</v>
      </c>
      <c r="F519" t="s">
        <v>30</v>
      </c>
      <c r="G519" t="s">
        <v>31</v>
      </c>
      <c r="H519">
        <v>39.39</v>
      </c>
      <c r="I519">
        <v>5</v>
      </c>
      <c r="J519">
        <v>9.8475000000000001</v>
      </c>
      <c r="K519">
        <v>196.95</v>
      </c>
      <c r="L519" s="1">
        <v>44276</v>
      </c>
      <c r="M519" s="7">
        <f>DAY(Data[[#This Row],[Date]])</f>
        <v>21</v>
      </c>
      <c r="N519" s="7">
        <f>MONTH(Data[[#This Row],[Date]])</f>
        <v>3</v>
      </c>
      <c r="O519" s="7">
        <f>YEAR(Data[[#This Row],[Date]])</f>
        <v>2021</v>
      </c>
      <c r="P519" s="2">
        <v>0.86527777777777781</v>
      </c>
      <c r="Q519" t="s">
        <v>32</v>
      </c>
      <c r="R519">
        <v>137.86500000000001</v>
      </c>
      <c r="S519">
        <v>49.237499999999997</v>
      </c>
      <c r="T519">
        <v>8.6999999999999993</v>
      </c>
    </row>
    <row r="520" spans="1:20" x14ac:dyDescent="0.55000000000000004">
      <c r="A520" t="s">
        <v>553</v>
      </c>
      <c r="B520" t="s">
        <v>17</v>
      </c>
      <c r="C520" t="s">
        <v>18</v>
      </c>
      <c r="D520" t="str">
        <f>"Br. "&amp;Data[[#This Row],[Branch]]&amp;" ("&amp;Data[[#This Row],[City]]&amp;")"</f>
        <v>Br. A (Yangon)</v>
      </c>
      <c r="E520" t="s">
        <v>26</v>
      </c>
      <c r="F520" t="s">
        <v>30</v>
      </c>
      <c r="G520" t="s">
        <v>31</v>
      </c>
      <c r="H520">
        <v>34.729999999999997</v>
      </c>
      <c r="I520">
        <v>2</v>
      </c>
      <c r="J520">
        <v>3.4729999999999999</v>
      </c>
      <c r="K520">
        <v>69.459999999999994</v>
      </c>
      <c r="L520" s="1">
        <v>44276</v>
      </c>
      <c r="M520" s="7">
        <f>DAY(Data[[#This Row],[Date]])</f>
        <v>21</v>
      </c>
      <c r="N520" s="7">
        <f>MONTH(Data[[#This Row],[Date]])</f>
        <v>3</v>
      </c>
      <c r="O520" s="7">
        <f>YEAR(Data[[#This Row],[Date]])</f>
        <v>2021</v>
      </c>
      <c r="P520" s="2">
        <v>0.75972222222222219</v>
      </c>
      <c r="Q520" t="s">
        <v>22</v>
      </c>
      <c r="R520">
        <v>48.622</v>
      </c>
      <c r="S520">
        <v>17.364999999999998</v>
      </c>
      <c r="T520">
        <v>9.6999999999999993</v>
      </c>
    </row>
    <row r="521" spans="1:20" x14ac:dyDescent="0.55000000000000004">
      <c r="A521" t="s">
        <v>554</v>
      </c>
      <c r="B521" t="s">
        <v>24</v>
      </c>
      <c r="C521" t="s">
        <v>25</v>
      </c>
      <c r="D521" t="str">
        <f>"Br. "&amp;Data[[#This Row],[Branch]]&amp;" ("&amp;Data[[#This Row],[City]]&amp;")"</f>
        <v>Br. C (Naypyitaw)</v>
      </c>
      <c r="E521" t="s">
        <v>19</v>
      </c>
      <c r="F521" t="s">
        <v>30</v>
      </c>
      <c r="G521" t="s">
        <v>35</v>
      </c>
      <c r="H521">
        <v>71.92</v>
      </c>
      <c r="I521">
        <v>5</v>
      </c>
      <c r="J521">
        <v>17.98</v>
      </c>
      <c r="K521">
        <v>359.6</v>
      </c>
      <c r="L521" s="1">
        <v>44276</v>
      </c>
      <c r="M521" s="7">
        <f>DAY(Data[[#This Row],[Date]])</f>
        <v>21</v>
      </c>
      <c r="N521" s="7">
        <f>MONTH(Data[[#This Row],[Date]])</f>
        <v>3</v>
      </c>
      <c r="O521" s="7">
        <f>YEAR(Data[[#This Row],[Date]])</f>
        <v>2021</v>
      </c>
      <c r="P521" s="2">
        <v>0.62847222222222221</v>
      </c>
      <c r="Q521" t="s">
        <v>32</v>
      </c>
      <c r="R521">
        <v>251.72</v>
      </c>
      <c r="S521">
        <v>89.9</v>
      </c>
      <c r="T521">
        <v>4.3</v>
      </c>
    </row>
    <row r="522" spans="1:20" x14ac:dyDescent="0.55000000000000004">
      <c r="A522" t="s">
        <v>555</v>
      </c>
      <c r="B522" t="s">
        <v>41</v>
      </c>
      <c r="C522" t="s">
        <v>42</v>
      </c>
      <c r="D522" t="str">
        <f>"Br. "&amp;Data[[#This Row],[Branch]]&amp;" ("&amp;Data[[#This Row],[City]]&amp;")"</f>
        <v>Br. B (Mandalay)</v>
      </c>
      <c r="E522" t="s">
        <v>26</v>
      </c>
      <c r="F522" t="s">
        <v>20</v>
      </c>
      <c r="G522" t="s">
        <v>27</v>
      </c>
      <c r="H522">
        <v>45.71</v>
      </c>
      <c r="I522">
        <v>3</v>
      </c>
      <c r="J522">
        <v>6.8564999999999996</v>
      </c>
      <c r="K522">
        <v>137.13</v>
      </c>
      <c r="L522" s="1">
        <v>44276</v>
      </c>
      <c r="M522" s="7">
        <f>DAY(Data[[#This Row],[Date]])</f>
        <v>21</v>
      </c>
      <c r="N522" s="7">
        <f>MONTH(Data[[#This Row],[Date]])</f>
        <v>3</v>
      </c>
      <c r="O522" s="7">
        <f>YEAR(Data[[#This Row],[Date]])</f>
        <v>2021</v>
      </c>
      <c r="P522" s="2">
        <v>0.44027777777777777</v>
      </c>
      <c r="Q522" t="s">
        <v>32</v>
      </c>
      <c r="R522">
        <v>95.991</v>
      </c>
      <c r="S522">
        <v>34.282499999999999</v>
      </c>
      <c r="T522">
        <v>7.7</v>
      </c>
    </row>
    <row r="523" spans="1:20" x14ac:dyDescent="0.55000000000000004">
      <c r="A523" t="s">
        <v>556</v>
      </c>
      <c r="B523" t="s">
        <v>24</v>
      </c>
      <c r="C523" t="s">
        <v>25</v>
      </c>
      <c r="D523" t="str">
        <f>"Br. "&amp;Data[[#This Row],[Branch]]&amp;" ("&amp;Data[[#This Row],[City]]&amp;")"</f>
        <v>Br. C (Naypyitaw)</v>
      </c>
      <c r="E523" t="s">
        <v>19</v>
      </c>
      <c r="F523" t="s">
        <v>20</v>
      </c>
      <c r="G523" t="s">
        <v>31</v>
      </c>
      <c r="H523">
        <v>83.17</v>
      </c>
      <c r="I523">
        <v>6</v>
      </c>
      <c r="J523">
        <v>24.951000000000001</v>
      </c>
      <c r="K523">
        <v>499.02</v>
      </c>
      <c r="L523" s="1">
        <v>44276</v>
      </c>
      <c r="M523" s="7">
        <f>DAY(Data[[#This Row],[Date]])</f>
        <v>21</v>
      </c>
      <c r="N523" s="7">
        <f>MONTH(Data[[#This Row],[Date]])</f>
        <v>3</v>
      </c>
      <c r="O523" s="7">
        <f>YEAR(Data[[#This Row],[Date]])</f>
        <v>2021</v>
      </c>
      <c r="P523" s="2">
        <v>0.47430555555555554</v>
      </c>
      <c r="Q523" t="s">
        <v>28</v>
      </c>
      <c r="R523">
        <v>349.31400000000002</v>
      </c>
      <c r="S523">
        <v>124.755</v>
      </c>
      <c r="T523">
        <v>7.3</v>
      </c>
    </row>
    <row r="524" spans="1:20" x14ac:dyDescent="0.55000000000000004">
      <c r="A524" t="s">
        <v>557</v>
      </c>
      <c r="B524" t="s">
        <v>17</v>
      </c>
      <c r="C524" t="s">
        <v>18</v>
      </c>
      <c r="D524" t="str">
        <f>"Br. "&amp;Data[[#This Row],[Branch]]&amp;" ("&amp;Data[[#This Row],[City]]&amp;")"</f>
        <v>Br. A (Yangon)</v>
      </c>
      <c r="E524" t="s">
        <v>19</v>
      </c>
      <c r="F524" t="s">
        <v>20</v>
      </c>
      <c r="G524" t="s">
        <v>31</v>
      </c>
      <c r="H524">
        <v>37.44</v>
      </c>
      <c r="I524">
        <v>6</v>
      </c>
      <c r="J524">
        <v>11.231999999999999</v>
      </c>
      <c r="K524">
        <v>224.64</v>
      </c>
      <c r="L524" s="1">
        <v>44276</v>
      </c>
      <c r="M524" s="7">
        <f>DAY(Data[[#This Row],[Date]])</f>
        <v>21</v>
      </c>
      <c r="N524" s="7">
        <f>MONTH(Data[[#This Row],[Date]])</f>
        <v>3</v>
      </c>
      <c r="O524" s="7">
        <f>YEAR(Data[[#This Row],[Date]])</f>
        <v>2021</v>
      </c>
      <c r="P524" s="2">
        <v>0.57986111111111116</v>
      </c>
      <c r="Q524" t="s">
        <v>32</v>
      </c>
      <c r="R524">
        <v>157.24799999999999</v>
      </c>
      <c r="S524">
        <v>56.16</v>
      </c>
      <c r="T524">
        <v>5.9</v>
      </c>
    </row>
    <row r="525" spans="1:20" x14ac:dyDescent="0.55000000000000004">
      <c r="A525" t="s">
        <v>558</v>
      </c>
      <c r="B525" t="s">
        <v>24</v>
      </c>
      <c r="C525" t="s">
        <v>25</v>
      </c>
      <c r="D525" t="str">
        <f>"Br. "&amp;Data[[#This Row],[Branch]]&amp;" ("&amp;Data[[#This Row],[City]]&amp;")"</f>
        <v>Br. C (Naypyitaw)</v>
      </c>
      <c r="E525" t="s">
        <v>26</v>
      </c>
      <c r="F525" t="s">
        <v>30</v>
      </c>
      <c r="G525" t="s">
        <v>21</v>
      </c>
      <c r="H525">
        <v>62.87</v>
      </c>
      <c r="I525">
        <v>2</v>
      </c>
      <c r="J525">
        <v>6.2869999999999999</v>
      </c>
      <c r="K525">
        <v>125.74</v>
      </c>
      <c r="L525" s="1">
        <v>44276</v>
      </c>
      <c r="M525" s="7">
        <f>DAY(Data[[#This Row],[Date]])</f>
        <v>21</v>
      </c>
      <c r="N525" s="7">
        <f>MONTH(Data[[#This Row],[Date]])</f>
        <v>3</v>
      </c>
      <c r="O525" s="7">
        <f>YEAR(Data[[#This Row],[Date]])</f>
        <v>2021</v>
      </c>
      <c r="P525" s="2">
        <v>0.48819444444444443</v>
      </c>
      <c r="Q525" t="s">
        <v>28</v>
      </c>
      <c r="R525">
        <v>88.018000000000001</v>
      </c>
      <c r="S525">
        <v>31.434999999999999</v>
      </c>
      <c r="T525">
        <v>5</v>
      </c>
    </row>
    <row r="526" spans="1:20" x14ac:dyDescent="0.55000000000000004">
      <c r="A526" t="s">
        <v>559</v>
      </c>
      <c r="B526" t="s">
        <v>17</v>
      </c>
      <c r="C526" t="s">
        <v>18</v>
      </c>
      <c r="D526" t="str">
        <f>"Br. "&amp;Data[[#This Row],[Branch]]&amp;" ("&amp;Data[[#This Row],[City]]&amp;")"</f>
        <v>Br. A (Yangon)</v>
      </c>
      <c r="E526" t="s">
        <v>26</v>
      </c>
      <c r="F526" t="s">
        <v>30</v>
      </c>
      <c r="G526" t="s">
        <v>43</v>
      </c>
      <c r="H526">
        <v>81.709999999999994</v>
      </c>
      <c r="I526">
        <v>6</v>
      </c>
      <c r="J526">
        <v>24.513000000000002</v>
      </c>
      <c r="K526">
        <v>490.26</v>
      </c>
      <c r="L526" s="1">
        <v>44276</v>
      </c>
      <c r="M526" s="7">
        <f>DAY(Data[[#This Row],[Date]])</f>
        <v>21</v>
      </c>
      <c r="N526" s="7">
        <f>MONTH(Data[[#This Row],[Date]])</f>
        <v>3</v>
      </c>
      <c r="O526" s="7">
        <f>YEAR(Data[[#This Row],[Date]])</f>
        <v>2021</v>
      </c>
      <c r="P526" s="2">
        <v>0.60833333333333328</v>
      </c>
      <c r="Q526" t="s">
        <v>32</v>
      </c>
      <c r="R526">
        <v>343.18200000000002</v>
      </c>
      <c r="S526">
        <v>122.565</v>
      </c>
      <c r="T526">
        <v>8</v>
      </c>
    </row>
    <row r="527" spans="1:20" x14ac:dyDescent="0.55000000000000004">
      <c r="A527" t="s">
        <v>560</v>
      </c>
      <c r="B527" t="s">
        <v>17</v>
      </c>
      <c r="C527" t="s">
        <v>18</v>
      </c>
      <c r="D527" t="str">
        <f>"Br. "&amp;Data[[#This Row],[Branch]]&amp;" ("&amp;Data[[#This Row],[City]]&amp;")"</f>
        <v>Br. A (Yangon)</v>
      </c>
      <c r="E527" t="s">
        <v>19</v>
      </c>
      <c r="F527" t="s">
        <v>20</v>
      </c>
      <c r="G527" t="s">
        <v>35</v>
      </c>
      <c r="H527">
        <v>91.41</v>
      </c>
      <c r="I527">
        <v>5</v>
      </c>
      <c r="J527">
        <v>22.852499999999999</v>
      </c>
      <c r="K527">
        <v>457.05</v>
      </c>
      <c r="L527" s="1">
        <v>44276</v>
      </c>
      <c r="M527" s="7">
        <f>DAY(Data[[#This Row],[Date]])</f>
        <v>21</v>
      </c>
      <c r="N527" s="7">
        <f>MONTH(Data[[#This Row],[Date]])</f>
        <v>3</v>
      </c>
      <c r="O527" s="7">
        <f>YEAR(Data[[#This Row],[Date]])</f>
        <v>2021</v>
      </c>
      <c r="P527" s="2">
        <v>0.66874999999999996</v>
      </c>
      <c r="Q527" t="s">
        <v>22</v>
      </c>
      <c r="R527">
        <v>319.935</v>
      </c>
      <c r="S527">
        <v>114.2625</v>
      </c>
      <c r="T527">
        <v>7.1</v>
      </c>
    </row>
    <row r="528" spans="1:20" x14ac:dyDescent="0.55000000000000004">
      <c r="A528" t="s">
        <v>561</v>
      </c>
      <c r="B528" t="s">
        <v>41</v>
      </c>
      <c r="C528" t="s">
        <v>42</v>
      </c>
      <c r="D528" t="str">
        <f>"Br. "&amp;Data[[#This Row],[Branch]]&amp;" ("&amp;Data[[#This Row],[City]]&amp;")"</f>
        <v>Br. B (Mandalay)</v>
      </c>
      <c r="E528" t="s">
        <v>26</v>
      </c>
      <c r="F528" t="s">
        <v>30</v>
      </c>
      <c r="G528" t="s">
        <v>45</v>
      </c>
      <c r="H528">
        <v>39.21</v>
      </c>
      <c r="I528">
        <v>4</v>
      </c>
      <c r="J528">
        <v>7.8419999999999996</v>
      </c>
      <c r="K528">
        <v>156.84</v>
      </c>
      <c r="L528" s="1">
        <v>44276</v>
      </c>
      <c r="M528" s="7">
        <f>DAY(Data[[#This Row],[Date]])</f>
        <v>21</v>
      </c>
      <c r="N528" s="7">
        <f>MONTH(Data[[#This Row],[Date]])</f>
        <v>3</v>
      </c>
      <c r="O528" s="7">
        <f>YEAR(Data[[#This Row],[Date]])</f>
        <v>2021</v>
      </c>
      <c r="P528" s="2">
        <v>0.8354166666666667</v>
      </c>
      <c r="Q528" t="s">
        <v>32</v>
      </c>
      <c r="R528">
        <v>109.788</v>
      </c>
      <c r="S528">
        <v>39.21</v>
      </c>
      <c r="T528">
        <v>9</v>
      </c>
    </row>
    <row r="529" spans="1:20" x14ac:dyDescent="0.55000000000000004">
      <c r="A529" t="s">
        <v>562</v>
      </c>
      <c r="B529" t="s">
        <v>41</v>
      </c>
      <c r="C529" t="s">
        <v>42</v>
      </c>
      <c r="D529" t="str">
        <f>"Br. "&amp;Data[[#This Row],[Branch]]&amp;" ("&amp;Data[[#This Row],[City]]&amp;")"</f>
        <v>Br. B (Mandalay)</v>
      </c>
      <c r="E529" t="s">
        <v>19</v>
      </c>
      <c r="F529" t="s">
        <v>30</v>
      </c>
      <c r="G529" t="s">
        <v>45</v>
      </c>
      <c r="H529">
        <v>59.86</v>
      </c>
      <c r="I529">
        <v>2</v>
      </c>
      <c r="J529">
        <v>5.9859999999999998</v>
      </c>
      <c r="K529">
        <v>119.72</v>
      </c>
      <c r="L529" s="1">
        <v>44276</v>
      </c>
      <c r="M529" s="7">
        <f>DAY(Data[[#This Row],[Date]])</f>
        <v>21</v>
      </c>
      <c r="N529" s="7">
        <f>MONTH(Data[[#This Row],[Date]])</f>
        <v>3</v>
      </c>
      <c r="O529" s="7">
        <f>YEAR(Data[[#This Row],[Date]])</f>
        <v>2021</v>
      </c>
      <c r="P529" s="2">
        <v>0.62152777777777779</v>
      </c>
      <c r="Q529" t="s">
        <v>22</v>
      </c>
      <c r="R529">
        <v>83.804000000000002</v>
      </c>
      <c r="S529">
        <v>29.93</v>
      </c>
      <c r="T529">
        <v>6.7</v>
      </c>
    </row>
    <row r="530" spans="1:20" x14ac:dyDescent="0.55000000000000004">
      <c r="A530" t="s">
        <v>563</v>
      </c>
      <c r="B530" t="s">
        <v>41</v>
      </c>
      <c r="C530" t="s">
        <v>42</v>
      </c>
      <c r="D530" t="str">
        <f>"Br. "&amp;Data[[#This Row],[Branch]]&amp;" ("&amp;Data[[#This Row],[City]]&amp;")"</f>
        <v>Br. B (Mandalay)</v>
      </c>
      <c r="E530" t="s">
        <v>19</v>
      </c>
      <c r="F530" t="s">
        <v>20</v>
      </c>
      <c r="G530" t="s">
        <v>43</v>
      </c>
      <c r="H530">
        <v>54.36</v>
      </c>
      <c r="I530">
        <v>10</v>
      </c>
      <c r="J530">
        <v>27.18</v>
      </c>
      <c r="K530">
        <v>543.6</v>
      </c>
      <c r="L530" s="1">
        <v>44276</v>
      </c>
      <c r="M530" s="7">
        <f>DAY(Data[[#This Row],[Date]])</f>
        <v>21</v>
      </c>
      <c r="N530" s="7">
        <f>MONTH(Data[[#This Row],[Date]])</f>
        <v>3</v>
      </c>
      <c r="O530" s="7">
        <f>YEAR(Data[[#This Row],[Date]])</f>
        <v>2021</v>
      </c>
      <c r="P530" s="2">
        <v>0.4777777777777778</v>
      </c>
      <c r="Q530" t="s">
        <v>32</v>
      </c>
      <c r="R530">
        <v>380.52</v>
      </c>
      <c r="S530">
        <v>135.9</v>
      </c>
      <c r="T530">
        <v>6.1</v>
      </c>
    </row>
    <row r="531" spans="1:20" x14ac:dyDescent="0.55000000000000004">
      <c r="A531" t="s">
        <v>564</v>
      </c>
      <c r="B531" t="s">
        <v>17</v>
      </c>
      <c r="C531" t="s">
        <v>18</v>
      </c>
      <c r="D531" t="str">
        <f>"Br. "&amp;Data[[#This Row],[Branch]]&amp;" ("&amp;Data[[#This Row],[City]]&amp;")"</f>
        <v>Br. A (Yangon)</v>
      </c>
      <c r="E531" t="s">
        <v>26</v>
      </c>
      <c r="F531" t="s">
        <v>30</v>
      </c>
      <c r="G531" t="s">
        <v>35</v>
      </c>
      <c r="H531">
        <v>98.09</v>
      </c>
      <c r="I531">
        <v>9</v>
      </c>
      <c r="J531">
        <v>44.140500000000003</v>
      </c>
      <c r="K531">
        <v>882.81</v>
      </c>
      <c r="L531" s="1">
        <v>44276</v>
      </c>
      <c r="M531" s="7">
        <f>DAY(Data[[#This Row],[Date]])</f>
        <v>21</v>
      </c>
      <c r="N531" s="7">
        <f>MONTH(Data[[#This Row],[Date]])</f>
        <v>3</v>
      </c>
      <c r="O531" s="7">
        <f>YEAR(Data[[#This Row],[Date]])</f>
        <v>2021</v>
      </c>
      <c r="P531" s="2">
        <v>0.82013888888888886</v>
      </c>
      <c r="Q531" t="s">
        <v>28</v>
      </c>
      <c r="R531">
        <v>617.96699999999998</v>
      </c>
      <c r="S531">
        <v>220.70249999999999</v>
      </c>
      <c r="T531">
        <v>9.3000000000000007</v>
      </c>
    </row>
    <row r="532" spans="1:20" x14ac:dyDescent="0.55000000000000004">
      <c r="A532" t="s">
        <v>565</v>
      </c>
      <c r="B532" t="s">
        <v>17</v>
      </c>
      <c r="C532" t="s">
        <v>18</v>
      </c>
      <c r="D532" t="str">
        <f>"Br. "&amp;Data[[#This Row],[Branch]]&amp;" ("&amp;Data[[#This Row],[City]]&amp;")"</f>
        <v>Br. A (Yangon)</v>
      </c>
      <c r="E532" t="s">
        <v>26</v>
      </c>
      <c r="F532" t="s">
        <v>30</v>
      </c>
      <c r="G532" t="s">
        <v>21</v>
      </c>
      <c r="H532">
        <v>25.43</v>
      </c>
      <c r="I532">
        <v>6</v>
      </c>
      <c r="J532">
        <v>7.6289999999999996</v>
      </c>
      <c r="K532">
        <v>152.58000000000001</v>
      </c>
      <c r="L532" s="1">
        <v>44276</v>
      </c>
      <c r="M532" s="7">
        <f>DAY(Data[[#This Row],[Date]])</f>
        <v>21</v>
      </c>
      <c r="N532" s="7">
        <f>MONTH(Data[[#This Row],[Date]])</f>
        <v>3</v>
      </c>
      <c r="O532" s="7">
        <f>YEAR(Data[[#This Row],[Date]])</f>
        <v>2021</v>
      </c>
      <c r="P532" s="2">
        <v>0.79236111111111107</v>
      </c>
      <c r="Q532" t="s">
        <v>22</v>
      </c>
      <c r="R532">
        <v>106.806</v>
      </c>
      <c r="S532">
        <v>38.145000000000003</v>
      </c>
      <c r="T532">
        <v>7</v>
      </c>
    </row>
    <row r="533" spans="1:20" x14ac:dyDescent="0.55000000000000004">
      <c r="A533" t="s">
        <v>566</v>
      </c>
      <c r="B533" t="s">
        <v>17</v>
      </c>
      <c r="C533" t="s">
        <v>18</v>
      </c>
      <c r="D533" t="str">
        <f>"Br. "&amp;Data[[#This Row],[Branch]]&amp;" ("&amp;Data[[#This Row],[City]]&amp;")"</f>
        <v>Br. A (Yangon)</v>
      </c>
      <c r="E533" t="s">
        <v>19</v>
      </c>
      <c r="F533" t="s">
        <v>30</v>
      </c>
      <c r="G533" t="s">
        <v>45</v>
      </c>
      <c r="H533">
        <v>86.68</v>
      </c>
      <c r="I533">
        <v>8</v>
      </c>
      <c r="J533">
        <v>34.671999999999997</v>
      </c>
      <c r="K533">
        <v>693.44</v>
      </c>
      <c r="L533" s="1">
        <v>44276</v>
      </c>
      <c r="M533" s="7">
        <f>DAY(Data[[#This Row],[Date]])</f>
        <v>21</v>
      </c>
      <c r="N533" s="7">
        <f>MONTH(Data[[#This Row],[Date]])</f>
        <v>3</v>
      </c>
      <c r="O533" s="7">
        <f>YEAR(Data[[#This Row],[Date]])</f>
        <v>2021</v>
      </c>
      <c r="P533" s="2">
        <v>0.75277777777777777</v>
      </c>
      <c r="Q533" t="s">
        <v>32</v>
      </c>
      <c r="R533">
        <v>485.40800000000002</v>
      </c>
      <c r="S533">
        <v>173.36</v>
      </c>
      <c r="T533">
        <v>7.2</v>
      </c>
    </row>
    <row r="534" spans="1:20" x14ac:dyDescent="0.55000000000000004">
      <c r="A534" t="s">
        <v>567</v>
      </c>
      <c r="B534" t="s">
        <v>41</v>
      </c>
      <c r="C534" t="s">
        <v>42</v>
      </c>
      <c r="D534" t="str">
        <f>"Br. "&amp;Data[[#This Row],[Branch]]&amp;" ("&amp;Data[[#This Row],[City]]&amp;")"</f>
        <v>Br. B (Mandalay)</v>
      </c>
      <c r="E534" t="s">
        <v>26</v>
      </c>
      <c r="F534" t="s">
        <v>30</v>
      </c>
      <c r="G534" t="s">
        <v>27</v>
      </c>
      <c r="H534">
        <v>22.95</v>
      </c>
      <c r="I534">
        <v>10</v>
      </c>
      <c r="J534">
        <v>11.475</v>
      </c>
      <c r="K534">
        <v>229.5</v>
      </c>
      <c r="L534" s="1">
        <v>44276</v>
      </c>
      <c r="M534" s="7">
        <f>DAY(Data[[#This Row],[Date]])</f>
        <v>21</v>
      </c>
      <c r="N534" s="7">
        <f>MONTH(Data[[#This Row],[Date]])</f>
        <v>3</v>
      </c>
      <c r="O534" s="7">
        <f>YEAR(Data[[#This Row],[Date]])</f>
        <v>2021</v>
      </c>
      <c r="P534" s="2">
        <v>0.80555555555555558</v>
      </c>
      <c r="Q534" t="s">
        <v>22</v>
      </c>
      <c r="R534">
        <v>160.65</v>
      </c>
      <c r="S534">
        <v>57.375</v>
      </c>
      <c r="T534">
        <v>8.1999999999999993</v>
      </c>
    </row>
    <row r="535" spans="1:20" x14ac:dyDescent="0.55000000000000004">
      <c r="A535" t="s">
        <v>568</v>
      </c>
      <c r="B535" t="s">
        <v>24</v>
      </c>
      <c r="C535" t="s">
        <v>25</v>
      </c>
      <c r="D535" t="str">
        <f>"Br. "&amp;Data[[#This Row],[Branch]]&amp;" ("&amp;Data[[#This Row],[City]]&amp;")"</f>
        <v>Br. C (Naypyitaw)</v>
      </c>
      <c r="E535" t="s">
        <v>26</v>
      </c>
      <c r="F535" t="s">
        <v>20</v>
      </c>
      <c r="G535" t="s">
        <v>43</v>
      </c>
      <c r="H535">
        <v>16.309999999999999</v>
      </c>
      <c r="I535">
        <v>9</v>
      </c>
      <c r="J535">
        <v>7.3395000000000001</v>
      </c>
      <c r="K535">
        <v>146.79</v>
      </c>
      <c r="L535" s="1">
        <v>44276</v>
      </c>
      <c r="M535" s="7">
        <f>DAY(Data[[#This Row],[Date]])</f>
        <v>21</v>
      </c>
      <c r="N535" s="7">
        <f>MONTH(Data[[#This Row],[Date]])</f>
        <v>3</v>
      </c>
      <c r="O535" s="7">
        <f>YEAR(Data[[#This Row],[Date]])</f>
        <v>2021</v>
      </c>
      <c r="P535" s="2">
        <v>0.43819444444444444</v>
      </c>
      <c r="Q535" t="s">
        <v>22</v>
      </c>
      <c r="R535">
        <v>102.753</v>
      </c>
      <c r="S535">
        <v>36.697499999999998</v>
      </c>
      <c r="T535">
        <v>8.4</v>
      </c>
    </row>
    <row r="536" spans="1:20" x14ac:dyDescent="0.55000000000000004">
      <c r="A536" t="s">
        <v>569</v>
      </c>
      <c r="B536" t="s">
        <v>17</v>
      </c>
      <c r="C536" t="s">
        <v>18</v>
      </c>
      <c r="D536" t="str">
        <f>"Br. "&amp;Data[[#This Row],[Branch]]&amp;" ("&amp;Data[[#This Row],[City]]&amp;")"</f>
        <v>Br. A (Yangon)</v>
      </c>
      <c r="E536" t="s">
        <v>26</v>
      </c>
      <c r="F536" t="s">
        <v>20</v>
      </c>
      <c r="G536" t="s">
        <v>31</v>
      </c>
      <c r="H536">
        <v>28.32</v>
      </c>
      <c r="I536">
        <v>5</v>
      </c>
      <c r="J536">
        <v>7.08</v>
      </c>
      <c r="K536">
        <v>141.6</v>
      </c>
      <c r="L536" s="1">
        <v>44276</v>
      </c>
      <c r="M536" s="7">
        <f>DAY(Data[[#This Row],[Date]])</f>
        <v>21</v>
      </c>
      <c r="N536" s="7">
        <f>MONTH(Data[[#This Row],[Date]])</f>
        <v>3</v>
      </c>
      <c r="O536" s="7">
        <f>YEAR(Data[[#This Row],[Date]])</f>
        <v>2021</v>
      </c>
      <c r="P536" s="2">
        <v>0.56111111111111112</v>
      </c>
      <c r="Q536" t="s">
        <v>22</v>
      </c>
      <c r="R536">
        <v>99.12</v>
      </c>
      <c r="S536">
        <v>35.4</v>
      </c>
      <c r="T536">
        <v>6.2</v>
      </c>
    </row>
    <row r="537" spans="1:20" x14ac:dyDescent="0.55000000000000004">
      <c r="A537" t="s">
        <v>570</v>
      </c>
      <c r="B537" t="s">
        <v>24</v>
      </c>
      <c r="C537" t="s">
        <v>25</v>
      </c>
      <c r="D537" t="str">
        <f>"Br. "&amp;Data[[#This Row],[Branch]]&amp;" ("&amp;Data[[#This Row],[City]]&amp;")"</f>
        <v>Br. C (Naypyitaw)</v>
      </c>
      <c r="E537" t="s">
        <v>26</v>
      </c>
      <c r="F537" t="s">
        <v>30</v>
      </c>
      <c r="G537" t="s">
        <v>31</v>
      </c>
      <c r="H537">
        <v>16.670000000000002</v>
      </c>
      <c r="I537">
        <v>7</v>
      </c>
      <c r="J537">
        <v>5.8345000000000002</v>
      </c>
      <c r="K537">
        <v>116.69</v>
      </c>
      <c r="L537" s="1">
        <v>44276</v>
      </c>
      <c r="M537" s="7">
        <f>DAY(Data[[#This Row],[Date]])</f>
        <v>21</v>
      </c>
      <c r="N537" s="7">
        <f>MONTH(Data[[#This Row],[Date]])</f>
        <v>3</v>
      </c>
      <c r="O537" s="7">
        <f>YEAR(Data[[#This Row],[Date]])</f>
        <v>2021</v>
      </c>
      <c r="P537" s="2">
        <v>0.48333333333333334</v>
      </c>
      <c r="Q537" t="s">
        <v>22</v>
      </c>
      <c r="R537">
        <v>81.683000000000007</v>
      </c>
      <c r="S537">
        <v>29.172499999999999</v>
      </c>
      <c r="T537">
        <v>7.4</v>
      </c>
    </row>
    <row r="538" spans="1:20" x14ac:dyDescent="0.55000000000000004">
      <c r="A538" t="s">
        <v>571</v>
      </c>
      <c r="B538" t="s">
        <v>41</v>
      </c>
      <c r="C538" t="s">
        <v>42</v>
      </c>
      <c r="D538" t="str">
        <f>"Br. "&amp;Data[[#This Row],[Branch]]&amp;" ("&amp;Data[[#This Row],[City]]&amp;")"</f>
        <v>Br. B (Mandalay)</v>
      </c>
      <c r="E538" t="s">
        <v>19</v>
      </c>
      <c r="F538" t="s">
        <v>20</v>
      </c>
      <c r="G538" t="s">
        <v>45</v>
      </c>
      <c r="H538">
        <v>73.959999999999994</v>
      </c>
      <c r="I538">
        <v>1</v>
      </c>
      <c r="J538">
        <v>3.698</v>
      </c>
      <c r="K538">
        <v>73.959999999999994</v>
      </c>
      <c r="L538" s="1">
        <v>44276</v>
      </c>
      <c r="M538" s="7">
        <f>DAY(Data[[#This Row],[Date]])</f>
        <v>21</v>
      </c>
      <c r="N538" s="7">
        <f>MONTH(Data[[#This Row],[Date]])</f>
        <v>3</v>
      </c>
      <c r="O538" s="7">
        <f>YEAR(Data[[#This Row],[Date]])</f>
        <v>2021</v>
      </c>
      <c r="P538" s="2">
        <v>0.48055555555555557</v>
      </c>
      <c r="Q538" t="s">
        <v>32</v>
      </c>
      <c r="R538">
        <v>51.771999999999998</v>
      </c>
      <c r="S538">
        <v>18.489999999999998</v>
      </c>
      <c r="T538">
        <v>5</v>
      </c>
    </row>
    <row r="539" spans="1:20" x14ac:dyDescent="0.55000000000000004">
      <c r="A539" t="s">
        <v>572</v>
      </c>
      <c r="B539" t="s">
        <v>17</v>
      </c>
      <c r="C539" t="s">
        <v>18</v>
      </c>
      <c r="D539" t="str">
        <f>"Br. "&amp;Data[[#This Row],[Branch]]&amp;" ("&amp;Data[[#This Row],[City]]&amp;")"</f>
        <v>Br. A (Yangon)</v>
      </c>
      <c r="E539" t="s">
        <v>26</v>
      </c>
      <c r="F539" t="s">
        <v>30</v>
      </c>
      <c r="G539" t="s">
        <v>31</v>
      </c>
      <c r="H539">
        <v>97.94</v>
      </c>
      <c r="I539">
        <v>1</v>
      </c>
      <c r="J539">
        <v>4.8970000000000002</v>
      </c>
      <c r="K539">
        <v>97.94</v>
      </c>
      <c r="L539" s="1">
        <v>44276</v>
      </c>
      <c r="M539" s="7">
        <f>DAY(Data[[#This Row],[Date]])</f>
        <v>21</v>
      </c>
      <c r="N539" s="7">
        <f>MONTH(Data[[#This Row],[Date]])</f>
        <v>3</v>
      </c>
      <c r="O539" s="7">
        <f>YEAR(Data[[#This Row],[Date]])</f>
        <v>2021</v>
      </c>
      <c r="P539" s="2">
        <v>0.48888888888888887</v>
      </c>
      <c r="Q539" t="s">
        <v>22</v>
      </c>
      <c r="R539">
        <v>68.558000000000007</v>
      </c>
      <c r="S539">
        <v>24.484999999999999</v>
      </c>
      <c r="T539">
        <v>6.9</v>
      </c>
    </row>
    <row r="540" spans="1:20" x14ac:dyDescent="0.55000000000000004">
      <c r="A540" t="s">
        <v>573</v>
      </c>
      <c r="B540" t="s">
        <v>17</v>
      </c>
      <c r="C540" t="s">
        <v>18</v>
      </c>
      <c r="D540" t="str">
        <f>"Br. "&amp;Data[[#This Row],[Branch]]&amp;" ("&amp;Data[[#This Row],[City]]&amp;")"</f>
        <v>Br. A (Yangon)</v>
      </c>
      <c r="E540" t="s">
        <v>26</v>
      </c>
      <c r="F540" t="s">
        <v>20</v>
      </c>
      <c r="G540" t="s">
        <v>45</v>
      </c>
      <c r="H540">
        <v>73.05</v>
      </c>
      <c r="I540">
        <v>4</v>
      </c>
      <c r="J540">
        <v>14.61</v>
      </c>
      <c r="K540">
        <v>292.2</v>
      </c>
      <c r="L540" s="1">
        <v>44276</v>
      </c>
      <c r="M540" s="7">
        <f>DAY(Data[[#This Row],[Date]])</f>
        <v>21</v>
      </c>
      <c r="N540" s="7">
        <f>MONTH(Data[[#This Row],[Date]])</f>
        <v>3</v>
      </c>
      <c r="O540" s="7">
        <f>YEAR(Data[[#This Row],[Date]])</f>
        <v>2021</v>
      </c>
      <c r="P540" s="2">
        <v>0.71944444444444444</v>
      </c>
      <c r="Q540" t="s">
        <v>32</v>
      </c>
      <c r="R540">
        <v>204.54</v>
      </c>
      <c r="S540">
        <v>73.05</v>
      </c>
      <c r="T540">
        <v>4.9000000000000004</v>
      </c>
    </row>
    <row r="541" spans="1:20" x14ac:dyDescent="0.55000000000000004">
      <c r="A541" t="s">
        <v>574</v>
      </c>
      <c r="B541" t="s">
        <v>24</v>
      </c>
      <c r="C541" t="s">
        <v>25</v>
      </c>
      <c r="D541" t="str">
        <f>"Br. "&amp;Data[[#This Row],[Branch]]&amp;" ("&amp;Data[[#This Row],[City]]&amp;")"</f>
        <v>Br. C (Naypyitaw)</v>
      </c>
      <c r="E541" t="s">
        <v>19</v>
      </c>
      <c r="F541" t="s">
        <v>20</v>
      </c>
      <c r="G541" t="s">
        <v>43</v>
      </c>
      <c r="H541">
        <v>87.48</v>
      </c>
      <c r="I541">
        <v>6</v>
      </c>
      <c r="J541">
        <v>26.244</v>
      </c>
      <c r="K541">
        <v>524.88</v>
      </c>
      <c r="L541" s="1">
        <v>44276</v>
      </c>
      <c r="M541" s="7">
        <f>DAY(Data[[#This Row],[Date]])</f>
        <v>21</v>
      </c>
      <c r="N541" s="7">
        <f>MONTH(Data[[#This Row],[Date]])</f>
        <v>3</v>
      </c>
      <c r="O541" s="7">
        <f>YEAR(Data[[#This Row],[Date]])</f>
        <v>2021</v>
      </c>
      <c r="P541" s="2">
        <v>0.77986111111111112</v>
      </c>
      <c r="Q541" t="s">
        <v>22</v>
      </c>
      <c r="R541">
        <v>367.416</v>
      </c>
      <c r="S541">
        <v>131.22</v>
      </c>
      <c r="T541">
        <v>5.0999999999999996</v>
      </c>
    </row>
    <row r="542" spans="1:20" x14ac:dyDescent="0.55000000000000004">
      <c r="A542" t="s">
        <v>575</v>
      </c>
      <c r="B542" t="s">
        <v>17</v>
      </c>
      <c r="C542" t="s">
        <v>18</v>
      </c>
      <c r="D542" t="str">
        <f>"Br. "&amp;Data[[#This Row],[Branch]]&amp;" ("&amp;Data[[#This Row],[City]]&amp;")"</f>
        <v>Br. A (Yangon)</v>
      </c>
      <c r="E542" t="s">
        <v>26</v>
      </c>
      <c r="F542" t="s">
        <v>30</v>
      </c>
      <c r="G542" t="s">
        <v>31</v>
      </c>
      <c r="H542">
        <v>30.68</v>
      </c>
      <c r="I542">
        <v>3</v>
      </c>
      <c r="J542">
        <v>4.6020000000000003</v>
      </c>
      <c r="K542">
        <v>92.04</v>
      </c>
      <c r="L542" s="1">
        <v>44276</v>
      </c>
      <c r="M542" s="7">
        <f>DAY(Data[[#This Row],[Date]])</f>
        <v>21</v>
      </c>
      <c r="N542" s="7">
        <f>MONTH(Data[[#This Row],[Date]])</f>
        <v>3</v>
      </c>
      <c r="O542" s="7">
        <f>YEAR(Data[[#This Row],[Date]])</f>
        <v>2021</v>
      </c>
      <c r="P542" s="2">
        <v>0.45833333333333331</v>
      </c>
      <c r="Q542" t="s">
        <v>22</v>
      </c>
      <c r="R542">
        <v>64.427999999999997</v>
      </c>
      <c r="S542">
        <v>23.01</v>
      </c>
      <c r="T542">
        <v>9.1</v>
      </c>
    </row>
    <row r="543" spans="1:20" x14ac:dyDescent="0.55000000000000004">
      <c r="A543" t="s">
        <v>576</v>
      </c>
      <c r="B543" t="s">
        <v>24</v>
      </c>
      <c r="C543" t="s">
        <v>25</v>
      </c>
      <c r="D543" t="str">
        <f>"Br. "&amp;Data[[#This Row],[Branch]]&amp;" ("&amp;Data[[#This Row],[City]]&amp;")"</f>
        <v>Br. C (Naypyitaw)</v>
      </c>
      <c r="E543" t="s">
        <v>19</v>
      </c>
      <c r="F543" t="s">
        <v>30</v>
      </c>
      <c r="G543" t="s">
        <v>21</v>
      </c>
      <c r="H543">
        <v>75.88</v>
      </c>
      <c r="I543">
        <v>1</v>
      </c>
      <c r="J543">
        <v>3.794</v>
      </c>
      <c r="K543">
        <v>75.88</v>
      </c>
      <c r="L543" s="1">
        <v>44276</v>
      </c>
      <c r="M543" s="7">
        <f>DAY(Data[[#This Row],[Date]])</f>
        <v>21</v>
      </c>
      <c r="N543" s="7">
        <f>MONTH(Data[[#This Row],[Date]])</f>
        <v>3</v>
      </c>
      <c r="O543" s="7">
        <f>YEAR(Data[[#This Row],[Date]])</f>
        <v>2021</v>
      </c>
      <c r="P543" s="2">
        <v>0.4375</v>
      </c>
      <c r="Q543" t="s">
        <v>32</v>
      </c>
      <c r="R543">
        <v>53.116</v>
      </c>
      <c r="S543">
        <v>18.97</v>
      </c>
      <c r="T543">
        <v>7.1</v>
      </c>
    </row>
    <row r="544" spans="1:20" x14ac:dyDescent="0.55000000000000004">
      <c r="A544" t="s">
        <v>577</v>
      </c>
      <c r="B544" t="s">
        <v>41</v>
      </c>
      <c r="C544" t="s">
        <v>42</v>
      </c>
      <c r="D544" t="str">
        <f>"Br. "&amp;Data[[#This Row],[Branch]]&amp;" ("&amp;Data[[#This Row],[City]]&amp;")"</f>
        <v>Br. B (Mandalay)</v>
      </c>
      <c r="E544" t="s">
        <v>19</v>
      </c>
      <c r="F544" t="s">
        <v>20</v>
      </c>
      <c r="G544" t="s">
        <v>35</v>
      </c>
      <c r="H544">
        <v>20.18</v>
      </c>
      <c r="I544">
        <v>4</v>
      </c>
      <c r="J544">
        <v>4.0359999999999996</v>
      </c>
      <c r="K544">
        <v>80.72</v>
      </c>
      <c r="L544" s="1">
        <v>44276</v>
      </c>
      <c r="M544" s="7">
        <f>DAY(Data[[#This Row],[Date]])</f>
        <v>21</v>
      </c>
      <c r="N544" s="7">
        <f>MONTH(Data[[#This Row],[Date]])</f>
        <v>3</v>
      </c>
      <c r="O544" s="7">
        <f>YEAR(Data[[#This Row],[Date]])</f>
        <v>2021</v>
      </c>
      <c r="P544" s="2">
        <v>0.50972222222222219</v>
      </c>
      <c r="Q544" t="s">
        <v>32</v>
      </c>
      <c r="R544">
        <v>56.503999999999998</v>
      </c>
      <c r="S544">
        <v>20.18</v>
      </c>
      <c r="T544">
        <v>5</v>
      </c>
    </row>
    <row r="545" spans="1:20" x14ac:dyDescent="0.55000000000000004">
      <c r="A545" t="s">
        <v>578</v>
      </c>
      <c r="B545" t="s">
        <v>24</v>
      </c>
      <c r="C545" t="s">
        <v>25</v>
      </c>
      <c r="D545" t="str">
        <f>"Br. "&amp;Data[[#This Row],[Branch]]&amp;" ("&amp;Data[[#This Row],[City]]&amp;")"</f>
        <v>Br. C (Naypyitaw)</v>
      </c>
      <c r="E545" t="s">
        <v>19</v>
      </c>
      <c r="F545" t="s">
        <v>30</v>
      </c>
      <c r="G545" t="s">
        <v>27</v>
      </c>
      <c r="H545">
        <v>18.77</v>
      </c>
      <c r="I545">
        <v>6</v>
      </c>
      <c r="J545">
        <v>5.6310000000000002</v>
      </c>
      <c r="K545">
        <v>112.62</v>
      </c>
      <c r="L545" s="1">
        <v>44276</v>
      </c>
      <c r="M545" s="7">
        <f>DAY(Data[[#This Row],[Date]])</f>
        <v>21</v>
      </c>
      <c r="N545" s="7">
        <f>MONTH(Data[[#This Row],[Date]])</f>
        <v>3</v>
      </c>
      <c r="O545" s="7">
        <f>YEAR(Data[[#This Row],[Date]])</f>
        <v>2021</v>
      </c>
      <c r="P545" s="2">
        <v>0.69652777777777775</v>
      </c>
      <c r="Q545" t="s">
        <v>32</v>
      </c>
      <c r="R545">
        <v>78.834000000000003</v>
      </c>
      <c r="S545">
        <v>28.155000000000001</v>
      </c>
      <c r="T545">
        <v>5.5</v>
      </c>
    </row>
    <row r="546" spans="1:20" x14ac:dyDescent="0.55000000000000004">
      <c r="A546" t="s">
        <v>579</v>
      </c>
      <c r="B546" t="s">
        <v>41</v>
      </c>
      <c r="C546" t="s">
        <v>42</v>
      </c>
      <c r="D546" t="str">
        <f>"Br. "&amp;Data[[#This Row],[Branch]]&amp;" ("&amp;Data[[#This Row],[City]]&amp;")"</f>
        <v>Br. B (Mandalay)</v>
      </c>
      <c r="E546" t="s">
        <v>26</v>
      </c>
      <c r="F546" t="s">
        <v>20</v>
      </c>
      <c r="G546" t="s">
        <v>43</v>
      </c>
      <c r="H546">
        <v>71.2</v>
      </c>
      <c r="I546">
        <v>1</v>
      </c>
      <c r="J546">
        <v>3.56</v>
      </c>
      <c r="K546">
        <v>71.2</v>
      </c>
      <c r="L546" s="1">
        <v>44276</v>
      </c>
      <c r="M546" s="7">
        <f>DAY(Data[[#This Row],[Date]])</f>
        <v>21</v>
      </c>
      <c r="N546" s="7">
        <f>MONTH(Data[[#This Row],[Date]])</f>
        <v>3</v>
      </c>
      <c r="O546" s="7">
        <f>YEAR(Data[[#This Row],[Date]])</f>
        <v>2021</v>
      </c>
      <c r="P546" s="2">
        <v>0.86111111111111116</v>
      </c>
      <c r="Q546" t="s">
        <v>32</v>
      </c>
      <c r="R546">
        <v>49.84</v>
      </c>
      <c r="S546">
        <v>17.8</v>
      </c>
      <c r="T546">
        <v>9.1999999999999993</v>
      </c>
    </row>
    <row r="547" spans="1:20" x14ac:dyDescent="0.55000000000000004">
      <c r="A547" t="s">
        <v>580</v>
      </c>
      <c r="B547" t="s">
        <v>41</v>
      </c>
      <c r="C547" t="s">
        <v>42</v>
      </c>
      <c r="D547" t="str">
        <f>"Br. "&amp;Data[[#This Row],[Branch]]&amp;" ("&amp;Data[[#This Row],[City]]&amp;")"</f>
        <v>Br. B (Mandalay)</v>
      </c>
      <c r="E547" t="s">
        <v>19</v>
      </c>
      <c r="F547" t="s">
        <v>30</v>
      </c>
      <c r="G547" t="s">
        <v>31</v>
      </c>
      <c r="H547">
        <v>38.81</v>
      </c>
      <c r="I547">
        <v>4</v>
      </c>
      <c r="J547">
        <v>7.7619999999999996</v>
      </c>
      <c r="K547">
        <v>155.24</v>
      </c>
      <c r="L547" s="1">
        <v>44276</v>
      </c>
      <c r="M547" s="7">
        <f>DAY(Data[[#This Row],[Date]])</f>
        <v>21</v>
      </c>
      <c r="N547" s="7">
        <f>MONTH(Data[[#This Row],[Date]])</f>
        <v>3</v>
      </c>
      <c r="O547" s="7">
        <f>YEAR(Data[[#This Row],[Date]])</f>
        <v>2021</v>
      </c>
      <c r="P547" s="2">
        <v>0.56944444444444442</v>
      </c>
      <c r="Q547" t="s">
        <v>22</v>
      </c>
      <c r="R547">
        <v>108.66800000000001</v>
      </c>
      <c r="S547">
        <v>38.81</v>
      </c>
      <c r="T547">
        <v>4.9000000000000004</v>
      </c>
    </row>
    <row r="548" spans="1:20" x14ac:dyDescent="0.55000000000000004">
      <c r="A548" t="s">
        <v>581</v>
      </c>
      <c r="B548" t="s">
        <v>17</v>
      </c>
      <c r="C548" t="s">
        <v>18</v>
      </c>
      <c r="D548" t="str">
        <f>"Br. "&amp;Data[[#This Row],[Branch]]&amp;" ("&amp;Data[[#This Row],[City]]&amp;")"</f>
        <v>Br. A (Yangon)</v>
      </c>
      <c r="E548" t="s">
        <v>26</v>
      </c>
      <c r="F548" t="s">
        <v>20</v>
      </c>
      <c r="G548" t="s">
        <v>45</v>
      </c>
      <c r="H548">
        <v>29.42</v>
      </c>
      <c r="I548">
        <v>10</v>
      </c>
      <c r="J548">
        <v>14.71</v>
      </c>
      <c r="K548">
        <v>294.2</v>
      </c>
      <c r="L548" s="1">
        <v>44276</v>
      </c>
      <c r="M548" s="7">
        <f>DAY(Data[[#This Row],[Date]])</f>
        <v>21</v>
      </c>
      <c r="N548" s="7">
        <f>MONTH(Data[[#This Row],[Date]])</f>
        <v>3</v>
      </c>
      <c r="O548" s="7">
        <f>YEAR(Data[[#This Row],[Date]])</f>
        <v>2021</v>
      </c>
      <c r="P548" s="2">
        <v>0.68263888888888891</v>
      </c>
      <c r="Q548" t="s">
        <v>22</v>
      </c>
      <c r="R548">
        <v>205.94</v>
      </c>
      <c r="S548">
        <v>73.55</v>
      </c>
      <c r="T548">
        <v>8.9</v>
      </c>
    </row>
    <row r="549" spans="1:20" x14ac:dyDescent="0.55000000000000004">
      <c r="A549" t="s">
        <v>582</v>
      </c>
      <c r="B549" t="s">
        <v>17</v>
      </c>
      <c r="C549" t="s">
        <v>18</v>
      </c>
      <c r="D549" t="str">
        <f>"Br. "&amp;Data[[#This Row],[Branch]]&amp;" ("&amp;Data[[#This Row],[City]]&amp;")"</f>
        <v>Br. A (Yangon)</v>
      </c>
      <c r="E549" t="s">
        <v>26</v>
      </c>
      <c r="F549" t="s">
        <v>30</v>
      </c>
      <c r="G549" t="s">
        <v>35</v>
      </c>
      <c r="H549">
        <v>60.95</v>
      </c>
      <c r="I549">
        <v>9</v>
      </c>
      <c r="J549">
        <v>27.427499999999998</v>
      </c>
      <c r="K549">
        <v>548.54999999999995</v>
      </c>
      <c r="L549" s="1">
        <v>44276</v>
      </c>
      <c r="M549" s="7">
        <f>DAY(Data[[#This Row],[Date]])</f>
        <v>21</v>
      </c>
      <c r="N549" s="7">
        <f>MONTH(Data[[#This Row],[Date]])</f>
        <v>3</v>
      </c>
      <c r="O549" s="7">
        <f>YEAR(Data[[#This Row],[Date]])</f>
        <v>2021</v>
      </c>
      <c r="P549" s="2">
        <v>0.50555555555555554</v>
      </c>
      <c r="Q549" t="s">
        <v>32</v>
      </c>
      <c r="R549">
        <v>383.98500000000001</v>
      </c>
      <c r="S549">
        <v>137.13749999999999</v>
      </c>
      <c r="T549">
        <v>6</v>
      </c>
    </row>
    <row r="550" spans="1:20" x14ac:dyDescent="0.55000000000000004">
      <c r="A550" t="s">
        <v>583</v>
      </c>
      <c r="B550" t="s">
        <v>41</v>
      </c>
      <c r="C550" t="s">
        <v>42</v>
      </c>
      <c r="D550" t="str">
        <f>"Br. "&amp;Data[[#This Row],[Branch]]&amp;" ("&amp;Data[[#This Row],[City]]&amp;")"</f>
        <v>Br. B (Mandalay)</v>
      </c>
      <c r="E550" t="s">
        <v>26</v>
      </c>
      <c r="F550" t="s">
        <v>20</v>
      </c>
      <c r="G550" t="s">
        <v>35</v>
      </c>
      <c r="H550">
        <v>51.54</v>
      </c>
      <c r="I550">
        <v>5</v>
      </c>
      <c r="J550">
        <v>12.885</v>
      </c>
      <c r="K550">
        <v>257.7</v>
      </c>
      <c r="L550" s="1">
        <v>44276</v>
      </c>
      <c r="M550" s="7">
        <f>DAY(Data[[#This Row],[Date]])</f>
        <v>21</v>
      </c>
      <c r="N550" s="7">
        <f>MONTH(Data[[#This Row],[Date]])</f>
        <v>3</v>
      </c>
      <c r="O550" s="7">
        <f>YEAR(Data[[#This Row],[Date]])</f>
        <v>2021</v>
      </c>
      <c r="P550" s="2">
        <v>0.73958333333333337</v>
      </c>
      <c r="Q550" t="s">
        <v>28</v>
      </c>
      <c r="R550">
        <v>180.39</v>
      </c>
      <c r="S550">
        <v>64.424999999999997</v>
      </c>
      <c r="T550">
        <v>4.2</v>
      </c>
    </row>
    <row r="551" spans="1:20" x14ac:dyDescent="0.55000000000000004">
      <c r="A551" t="s">
        <v>584</v>
      </c>
      <c r="B551" t="s">
        <v>17</v>
      </c>
      <c r="C551" t="s">
        <v>18</v>
      </c>
      <c r="D551" t="str">
        <f>"Br. "&amp;Data[[#This Row],[Branch]]&amp;" ("&amp;Data[[#This Row],[City]]&amp;")"</f>
        <v>Br. A (Yangon)</v>
      </c>
      <c r="E551" t="s">
        <v>26</v>
      </c>
      <c r="F551" t="s">
        <v>20</v>
      </c>
      <c r="G551" t="s">
        <v>27</v>
      </c>
      <c r="H551">
        <v>66.06</v>
      </c>
      <c r="I551">
        <v>6</v>
      </c>
      <c r="J551">
        <v>19.818000000000001</v>
      </c>
      <c r="K551">
        <v>396.36</v>
      </c>
      <c r="L551" s="1">
        <v>44276</v>
      </c>
      <c r="M551" s="7">
        <f>DAY(Data[[#This Row],[Date]])</f>
        <v>21</v>
      </c>
      <c r="N551" s="7">
        <f>MONTH(Data[[#This Row],[Date]])</f>
        <v>3</v>
      </c>
      <c r="O551" s="7">
        <f>YEAR(Data[[#This Row],[Date]])</f>
        <v>2021</v>
      </c>
      <c r="P551" s="2">
        <v>0.43611111111111112</v>
      </c>
      <c r="Q551" t="s">
        <v>28</v>
      </c>
      <c r="R551">
        <v>277.452</v>
      </c>
      <c r="S551">
        <v>99.09</v>
      </c>
      <c r="T551">
        <v>7.3</v>
      </c>
    </row>
    <row r="552" spans="1:20" x14ac:dyDescent="0.55000000000000004">
      <c r="A552" t="s">
        <v>585</v>
      </c>
      <c r="B552" t="s">
        <v>41</v>
      </c>
      <c r="C552" t="s">
        <v>42</v>
      </c>
      <c r="D552" t="str">
        <f>"Br. "&amp;Data[[#This Row],[Branch]]&amp;" ("&amp;Data[[#This Row],[City]]&amp;")"</f>
        <v>Br. B (Mandalay)</v>
      </c>
      <c r="E552" t="s">
        <v>26</v>
      </c>
      <c r="F552" t="s">
        <v>30</v>
      </c>
      <c r="G552" t="s">
        <v>45</v>
      </c>
      <c r="H552">
        <v>57.27</v>
      </c>
      <c r="I552">
        <v>3</v>
      </c>
      <c r="J552">
        <v>8.5905000000000005</v>
      </c>
      <c r="K552">
        <v>171.81</v>
      </c>
      <c r="L552" s="1">
        <v>44276</v>
      </c>
      <c r="M552" s="7">
        <f>DAY(Data[[#This Row],[Date]])</f>
        <v>21</v>
      </c>
      <c r="N552" s="7">
        <f>MONTH(Data[[#This Row],[Date]])</f>
        <v>3</v>
      </c>
      <c r="O552" s="7">
        <f>YEAR(Data[[#This Row],[Date]])</f>
        <v>2021</v>
      </c>
      <c r="P552" s="2">
        <v>0.85486111111111107</v>
      </c>
      <c r="Q552" t="s">
        <v>22</v>
      </c>
      <c r="R552">
        <v>120.267</v>
      </c>
      <c r="S552">
        <v>42.952500000000001</v>
      </c>
      <c r="T552">
        <v>6.5</v>
      </c>
    </row>
    <row r="553" spans="1:20" x14ac:dyDescent="0.55000000000000004">
      <c r="A553" t="s">
        <v>586</v>
      </c>
      <c r="B553" t="s">
        <v>41</v>
      </c>
      <c r="C553" t="s">
        <v>42</v>
      </c>
      <c r="D553" t="str">
        <f>"Br. "&amp;Data[[#This Row],[Branch]]&amp;" ("&amp;Data[[#This Row],[City]]&amp;")"</f>
        <v>Br. B (Mandalay)</v>
      </c>
      <c r="E553" t="s">
        <v>26</v>
      </c>
      <c r="F553" t="s">
        <v>20</v>
      </c>
      <c r="G553" t="s">
        <v>45</v>
      </c>
      <c r="H553">
        <v>54.31</v>
      </c>
      <c r="I553">
        <v>9</v>
      </c>
      <c r="J553">
        <v>24.439499999999999</v>
      </c>
      <c r="K553">
        <v>488.79</v>
      </c>
      <c r="L553" s="1">
        <v>44276</v>
      </c>
      <c r="M553" s="7">
        <f>DAY(Data[[#This Row],[Date]])</f>
        <v>21</v>
      </c>
      <c r="N553" s="7">
        <f>MONTH(Data[[#This Row],[Date]])</f>
        <v>3</v>
      </c>
      <c r="O553" s="7">
        <f>YEAR(Data[[#This Row],[Date]])</f>
        <v>2021</v>
      </c>
      <c r="P553" s="2">
        <v>0.45069444444444445</v>
      </c>
      <c r="Q553" t="s">
        <v>28</v>
      </c>
      <c r="R553">
        <v>342.15300000000002</v>
      </c>
      <c r="S553">
        <v>122.19750000000001</v>
      </c>
      <c r="T553">
        <v>8.9</v>
      </c>
    </row>
    <row r="554" spans="1:20" x14ac:dyDescent="0.55000000000000004">
      <c r="A554" t="s">
        <v>587</v>
      </c>
      <c r="B554" t="s">
        <v>41</v>
      </c>
      <c r="C554" t="s">
        <v>42</v>
      </c>
      <c r="D554" t="str">
        <f>"Br. "&amp;Data[[#This Row],[Branch]]&amp;" ("&amp;Data[[#This Row],[City]]&amp;")"</f>
        <v>Br. B (Mandalay)</v>
      </c>
      <c r="E554" t="s">
        <v>26</v>
      </c>
      <c r="F554" t="s">
        <v>20</v>
      </c>
      <c r="G554" t="s">
        <v>21</v>
      </c>
      <c r="H554">
        <v>58.24</v>
      </c>
      <c r="I554">
        <v>9</v>
      </c>
      <c r="J554">
        <v>26.207999999999998</v>
      </c>
      <c r="K554">
        <v>524.16</v>
      </c>
      <c r="L554" s="1">
        <v>44276</v>
      </c>
      <c r="M554" s="7">
        <f>DAY(Data[[#This Row],[Date]])</f>
        <v>21</v>
      </c>
      <c r="N554" s="7">
        <f>MONTH(Data[[#This Row],[Date]])</f>
        <v>3</v>
      </c>
      <c r="O554" s="7">
        <f>YEAR(Data[[#This Row],[Date]])</f>
        <v>2021</v>
      </c>
      <c r="P554" s="2">
        <v>0.52361111111111114</v>
      </c>
      <c r="Q554" t="s">
        <v>28</v>
      </c>
      <c r="R554">
        <v>366.91199999999998</v>
      </c>
      <c r="S554">
        <v>131.04</v>
      </c>
      <c r="T554">
        <v>9.6999999999999993</v>
      </c>
    </row>
    <row r="555" spans="1:20" x14ac:dyDescent="0.55000000000000004">
      <c r="A555" t="s">
        <v>588</v>
      </c>
      <c r="B555" t="s">
        <v>24</v>
      </c>
      <c r="C555" t="s">
        <v>25</v>
      </c>
      <c r="D555" t="str">
        <f>"Br. "&amp;Data[[#This Row],[Branch]]&amp;" ("&amp;Data[[#This Row],[City]]&amp;")"</f>
        <v>Br. C (Naypyitaw)</v>
      </c>
      <c r="E555" t="s">
        <v>26</v>
      </c>
      <c r="F555" t="s">
        <v>30</v>
      </c>
      <c r="G555" t="s">
        <v>27</v>
      </c>
      <c r="H555">
        <v>22.21</v>
      </c>
      <c r="I555">
        <v>6</v>
      </c>
      <c r="J555">
        <v>6.6630000000000003</v>
      </c>
      <c r="K555">
        <v>133.26</v>
      </c>
      <c r="L555" s="1">
        <v>44276</v>
      </c>
      <c r="M555" s="7">
        <f>DAY(Data[[#This Row],[Date]])</f>
        <v>21</v>
      </c>
      <c r="N555" s="7">
        <f>MONTH(Data[[#This Row],[Date]])</f>
        <v>3</v>
      </c>
      <c r="O555" s="7">
        <f>YEAR(Data[[#This Row],[Date]])</f>
        <v>2021</v>
      </c>
      <c r="P555" s="2">
        <v>0.43263888888888891</v>
      </c>
      <c r="Q555" t="s">
        <v>32</v>
      </c>
      <c r="R555">
        <v>93.281999999999996</v>
      </c>
      <c r="S555">
        <v>33.314999999999998</v>
      </c>
      <c r="T555">
        <v>8.6</v>
      </c>
    </row>
    <row r="556" spans="1:20" x14ac:dyDescent="0.55000000000000004">
      <c r="A556" t="s">
        <v>589</v>
      </c>
      <c r="B556" t="s">
        <v>17</v>
      </c>
      <c r="C556" t="s">
        <v>18</v>
      </c>
      <c r="D556" t="str">
        <f>"Br. "&amp;Data[[#This Row],[Branch]]&amp;" ("&amp;Data[[#This Row],[City]]&amp;")"</f>
        <v>Br. A (Yangon)</v>
      </c>
      <c r="E556" t="s">
        <v>19</v>
      </c>
      <c r="F556" t="s">
        <v>30</v>
      </c>
      <c r="G556" t="s">
        <v>27</v>
      </c>
      <c r="H556">
        <v>19.32</v>
      </c>
      <c r="I556">
        <v>7</v>
      </c>
      <c r="J556">
        <v>6.7619999999999996</v>
      </c>
      <c r="K556">
        <v>135.24</v>
      </c>
      <c r="L556" s="1">
        <v>44276</v>
      </c>
      <c r="M556" s="7">
        <f>DAY(Data[[#This Row],[Date]])</f>
        <v>21</v>
      </c>
      <c r="N556" s="7">
        <f>MONTH(Data[[#This Row],[Date]])</f>
        <v>3</v>
      </c>
      <c r="O556" s="7">
        <f>YEAR(Data[[#This Row],[Date]])</f>
        <v>2021</v>
      </c>
      <c r="P556" s="2">
        <v>0.78541666666666665</v>
      </c>
      <c r="Q556" t="s">
        <v>28</v>
      </c>
      <c r="R556">
        <v>94.668000000000006</v>
      </c>
      <c r="S556">
        <v>33.81</v>
      </c>
      <c r="T556">
        <v>6.9</v>
      </c>
    </row>
    <row r="557" spans="1:20" x14ac:dyDescent="0.55000000000000004">
      <c r="A557" t="s">
        <v>590</v>
      </c>
      <c r="B557" t="s">
        <v>41</v>
      </c>
      <c r="C557" t="s">
        <v>42</v>
      </c>
      <c r="D557" t="str">
        <f>"Br. "&amp;Data[[#This Row],[Branch]]&amp;" ("&amp;Data[[#This Row],[City]]&amp;")"</f>
        <v>Br. B (Mandalay)</v>
      </c>
      <c r="E557" t="s">
        <v>26</v>
      </c>
      <c r="F557" t="s">
        <v>30</v>
      </c>
      <c r="G557" t="s">
        <v>31</v>
      </c>
      <c r="H557">
        <v>37.479999999999997</v>
      </c>
      <c r="I557">
        <v>3</v>
      </c>
      <c r="J557">
        <v>5.6219999999999999</v>
      </c>
      <c r="K557">
        <v>112.44</v>
      </c>
      <c r="L557" s="1">
        <v>44276</v>
      </c>
      <c r="M557" s="7">
        <f>DAY(Data[[#This Row],[Date]])</f>
        <v>21</v>
      </c>
      <c r="N557" s="7">
        <f>MONTH(Data[[#This Row],[Date]])</f>
        <v>3</v>
      </c>
      <c r="O557" s="7">
        <f>YEAR(Data[[#This Row],[Date]])</f>
        <v>2021</v>
      </c>
      <c r="P557" s="2">
        <v>0.57291666666666663</v>
      </c>
      <c r="Q557" t="s">
        <v>32</v>
      </c>
      <c r="R557">
        <v>78.707999999999998</v>
      </c>
      <c r="S557">
        <v>28.11</v>
      </c>
      <c r="T557">
        <v>7.7</v>
      </c>
    </row>
    <row r="558" spans="1:20" x14ac:dyDescent="0.55000000000000004">
      <c r="A558" t="s">
        <v>591</v>
      </c>
      <c r="B558" t="s">
        <v>41</v>
      </c>
      <c r="C558" t="s">
        <v>42</v>
      </c>
      <c r="D558" t="str">
        <f>"Br. "&amp;Data[[#This Row],[Branch]]&amp;" ("&amp;Data[[#This Row],[City]]&amp;")"</f>
        <v>Br. B (Mandalay)</v>
      </c>
      <c r="E558" t="s">
        <v>19</v>
      </c>
      <c r="F558" t="s">
        <v>20</v>
      </c>
      <c r="G558" t="s">
        <v>45</v>
      </c>
      <c r="H558">
        <v>72.040000000000006</v>
      </c>
      <c r="I558">
        <v>2</v>
      </c>
      <c r="J558">
        <v>7.2039999999999997</v>
      </c>
      <c r="K558">
        <v>144.08000000000001</v>
      </c>
      <c r="L558" s="1">
        <v>44276</v>
      </c>
      <c r="M558" s="7">
        <f>DAY(Data[[#This Row],[Date]])</f>
        <v>21</v>
      </c>
      <c r="N558" s="7">
        <f>MONTH(Data[[#This Row],[Date]])</f>
        <v>3</v>
      </c>
      <c r="O558" s="7">
        <f>YEAR(Data[[#This Row],[Date]])</f>
        <v>2021</v>
      </c>
      <c r="P558" s="2">
        <v>0.81805555555555554</v>
      </c>
      <c r="Q558" t="s">
        <v>28</v>
      </c>
      <c r="R558">
        <v>100.85599999999999</v>
      </c>
      <c r="S558">
        <v>36.020000000000003</v>
      </c>
      <c r="T558">
        <v>9.5</v>
      </c>
    </row>
    <row r="559" spans="1:20" x14ac:dyDescent="0.55000000000000004">
      <c r="A559" t="s">
        <v>592</v>
      </c>
      <c r="B559" t="s">
        <v>24</v>
      </c>
      <c r="C559" t="s">
        <v>25</v>
      </c>
      <c r="D559" t="str">
        <f>"Br. "&amp;Data[[#This Row],[Branch]]&amp;" ("&amp;Data[[#This Row],[City]]&amp;")"</f>
        <v>Br. C (Naypyitaw)</v>
      </c>
      <c r="E559" t="s">
        <v>19</v>
      </c>
      <c r="F559" t="s">
        <v>20</v>
      </c>
      <c r="G559" t="s">
        <v>43</v>
      </c>
      <c r="H559">
        <v>98.52</v>
      </c>
      <c r="I559">
        <v>10</v>
      </c>
      <c r="J559">
        <v>49.26</v>
      </c>
      <c r="K559">
        <v>985.2</v>
      </c>
      <c r="L559" s="1">
        <v>44276</v>
      </c>
      <c r="M559" s="7">
        <f>DAY(Data[[#This Row],[Date]])</f>
        <v>21</v>
      </c>
      <c r="N559" s="7">
        <f>MONTH(Data[[#This Row],[Date]])</f>
        <v>3</v>
      </c>
      <c r="O559" s="7">
        <f>YEAR(Data[[#This Row],[Date]])</f>
        <v>2021</v>
      </c>
      <c r="P559" s="2">
        <v>0.84930555555555554</v>
      </c>
      <c r="Q559" t="s">
        <v>22</v>
      </c>
      <c r="R559">
        <v>689.64</v>
      </c>
      <c r="S559">
        <v>246.3</v>
      </c>
      <c r="T559">
        <v>4.5</v>
      </c>
    </row>
    <row r="560" spans="1:20" x14ac:dyDescent="0.55000000000000004">
      <c r="A560" t="s">
        <v>593</v>
      </c>
      <c r="B560" t="s">
        <v>17</v>
      </c>
      <c r="C560" t="s">
        <v>18</v>
      </c>
      <c r="D560" t="str">
        <f>"Br. "&amp;Data[[#This Row],[Branch]]&amp;" ("&amp;Data[[#This Row],[City]]&amp;")"</f>
        <v>Br. A (Yangon)</v>
      </c>
      <c r="E560" t="s">
        <v>19</v>
      </c>
      <c r="F560" t="s">
        <v>30</v>
      </c>
      <c r="G560" t="s">
        <v>43</v>
      </c>
      <c r="H560">
        <v>41.66</v>
      </c>
      <c r="I560">
        <v>6</v>
      </c>
      <c r="J560">
        <v>12.497999999999999</v>
      </c>
      <c r="K560">
        <v>249.96</v>
      </c>
      <c r="L560" s="1">
        <v>44276</v>
      </c>
      <c r="M560" s="7">
        <f>DAY(Data[[#This Row],[Date]])</f>
        <v>21</v>
      </c>
      <c r="N560" s="7">
        <f>MONTH(Data[[#This Row],[Date]])</f>
        <v>3</v>
      </c>
      <c r="O560" s="7">
        <f>YEAR(Data[[#This Row],[Date]])</f>
        <v>2021</v>
      </c>
      <c r="P560" s="2">
        <v>0.64166666666666672</v>
      </c>
      <c r="Q560" t="s">
        <v>22</v>
      </c>
      <c r="R560">
        <v>174.97200000000001</v>
      </c>
      <c r="S560">
        <v>62.49</v>
      </c>
      <c r="T560">
        <v>5.6</v>
      </c>
    </row>
    <row r="561" spans="1:20" x14ac:dyDescent="0.55000000000000004">
      <c r="A561" t="s">
        <v>594</v>
      </c>
      <c r="B561" t="s">
        <v>17</v>
      </c>
      <c r="C561" t="s">
        <v>18</v>
      </c>
      <c r="D561" t="str">
        <f>"Br. "&amp;Data[[#This Row],[Branch]]&amp;" ("&amp;Data[[#This Row],[City]]&amp;")"</f>
        <v>Br. A (Yangon)</v>
      </c>
      <c r="E561" t="s">
        <v>19</v>
      </c>
      <c r="F561" t="s">
        <v>20</v>
      </c>
      <c r="G561" t="s">
        <v>31</v>
      </c>
      <c r="H561">
        <v>72.42</v>
      </c>
      <c r="I561">
        <v>3</v>
      </c>
      <c r="J561">
        <v>10.863</v>
      </c>
      <c r="K561">
        <v>217.26</v>
      </c>
      <c r="L561" s="1">
        <v>44276</v>
      </c>
      <c r="M561" s="7">
        <f>DAY(Data[[#This Row],[Date]])</f>
        <v>21</v>
      </c>
      <c r="N561" s="7">
        <f>MONTH(Data[[#This Row],[Date]])</f>
        <v>3</v>
      </c>
      <c r="O561" s="7">
        <f>YEAR(Data[[#This Row],[Date]])</f>
        <v>2021</v>
      </c>
      <c r="P561" s="2">
        <v>0.70416666666666672</v>
      </c>
      <c r="Q561" t="s">
        <v>22</v>
      </c>
      <c r="R561">
        <v>152.08199999999999</v>
      </c>
      <c r="S561">
        <v>54.314999999999998</v>
      </c>
      <c r="T561">
        <v>8.1999999999999993</v>
      </c>
    </row>
    <row r="562" spans="1:20" x14ac:dyDescent="0.55000000000000004">
      <c r="A562" t="s">
        <v>595</v>
      </c>
      <c r="B562" t="s">
        <v>41</v>
      </c>
      <c r="C562" t="s">
        <v>42</v>
      </c>
      <c r="D562" t="str">
        <f>"Br. "&amp;Data[[#This Row],[Branch]]&amp;" ("&amp;Data[[#This Row],[City]]&amp;")"</f>
        <v>Br. B (Mandalay)</v>
      </c>
      <c r="E562" t="s">
        <v>26</v>
      </c>
      <c r="F562" t="s">
        <v>30</v>
      </c>
      <c r="G562" t="s">
        <v>27</v>
      </c>
      <c r="H562">
        <v>21.58</v>
      </c>
      <c r="I562">
        <v>9</v>
      </c>
      <c r="J562">
        <v>9.7110000000000003</v>
      </c>
      <c r="K562">
        <v>194.22</v>
      </c>
      <c r="L562" s="1">
        <v>44276</v>
      </c>
      <c r="M562" s="7">
        <f>DAY(Data[[#This Row],[Date]])</f>
        <v>21</v>
      </c>
      <c r="N562" s="7">
        <f>MONTH(Data[[#This Row],[Date]])</f>
        <v>3</v>
      </c>
      <c r="O562" s="7">
        <f>YEAR(Data[[#This Row],[Date]])</f>
        <v>2021</v>
      </c>
      <c r="P562" s="2">
        <v>0.52222222222222225</v>
      </c>
      <c r="Q562" t="s">
        <v>28</v>
      </c>
      <c r="R562">
        <v>135.95400000000001</v>
      </c>
      <c r="S562">
        <v>48.555</v>
      </c>
      <c r="T562">
        <v>7.3</v>
      </c>
    </row>
    <row r="563" spans="1:20" x14ac:dyDescent="0.55000000000000004">
      <c r="A563" t="s">
        <v>596</v>
      </c>
      <c r="B563" t="s">
        <v>24</v>
      </c>
      <c r="C563" t="s">
        <v>25</v>
      </c>
      <c r="D563" t="str">
        <f>"Br. "&amp;Data[[#This Row],[Branch]]&amp;" ("&amp;Data[[#This Row],[City]]&amp;")"</f>
        <v>Br. C (Naypyitaw)</v>
      </c>
      <c r="E563" t="s">
        <v>26</v>
      </c>
      <c r="F563" t="s">
        <v>30</v>
      </c>
      <c r="G563" t="s">
        <v>43</v>
      </c>
      <c r="H563">
        <v>89.2</v>
      </c>
      <c r="I563">
        <v>10</v>
      </c>
      <c r="J563">
        <v>44.6</v>
      </c>
      <c r="K563">
        <v>892</v>
      </c>
      <c r="L563" s="1">
        <v>44276</v>
      </c>
      <c r="M563" s="7">
        <f>DAY(Data[[#This Row],[Date]])</f>
        <v>21</v>
      </c>
      <c r="N563" s="7">
        <f>MONTH(Data[[#This Row],[Date]])</f>
        <v>3</v>
      </c>
      <c r="O563" s="7">
        <f>YEAR(Data[[#This Row],[Date]])</f>
        <v>2021</v>
      </c>
      <c r="P563" s="2">
        <v>0.65416666666666667</v>
      </c>
      <c r="Q563" t="s">
        <v>32</v>
      </c>
      <c r="R563">
        <v>624.4</v>
      </c>
      <c r="S563">
        <v>223</v>
      </c>
      <c r="T563">
        <v>4.4000000000000004</v>
      </c>
    </row>
    <row r="564" spans="1:20" x14ac:dyDescent="0.55000000000000004">
      <c r="A564" t="s">
        <v>597</v>
      </c>
      <c r="B564" t="s">
        <v>41</v>
      </c>
      <c r="C564" t="s">
        <v>42</v>
      </c>
      <c r="D564" t="str">
        <f>"Br. "&amp;Data[[#This Row],[Branch]]&amp;" ("&amp;Data[[#This Row],[City]]&amp;")"</f>
        <v>Br. B (Mandalay)</v>
      </c>
      <c r="E564" t="s">
        <v>26</v>
      </c>
      <c r="F564" t="s">
        <v>20</v>
      </c>
      <c r="G564" t="s">
        <v>27</v>
      </c>
      <c r="H564">
        <v>42.42</v>
      </c>
      <c r="I564">
        <v>8</v>
      </c>
      <c r="J564">
        <v>16.968</v>
      </c>
      <c r="K564">
        <v>339.36</v>
      </c>
      <c r="L564" s="1">
        <v>44276</v>
      </c>
      <c r="M564" s="7">
        <f>DAY(Data[[#This Row],[Date]])</f>
        <v>21</v>
      </c>
      <c r="N564" s="7">
        <f>MONTH(Data[[#This Row],[Date]])</f>
        <v>3</v>
      </c>
      <c r="O564" s="7">
        <f>YEAR(Data[[#This Row],[Date]])</f>
        <v>2021</v>
      </c>
      <c r="P564" s="2">
        <v>0.58194444444444449</v>
      </c>
      <c r="Q564" t="s">
        <v>22</v>
      </c>
      <c r="R564">
        <v>237.55199999999999</v>
      </c>
      <c r="S564">
        <v>84.84</v>
      </c>
      <c r="T564">
        <v>5.7</v>
      </c>
    </row>
    <row r="565" spans="1:20" x14ac:dyDescent="0.55000000000000004">
      <c r="A565" t="s">
        <v>598</v>
      </c>
      <c r="B565" t="s">
        <v>17</v>
      </c>
      <c r="C565" t="s">
        <v>18</v>
      </c>
      <c r="D565" t="str">
        <f>"Br. "&amp;Data[[#This Row],[Branch]]&amp;" ("&amp;Data[[#This Row],[City]]&amp;")"</f>
        <v>Br. A (Yangon)</v>
      </c>
      <c r="E565" t="s">
        <v>19</v>
      </c>
      <c r="F565" t="s">
        <v>30</v>
      </c>
      <c r="G565" t="s">
        <v>27</v>
      </c>
      <c r="H565">
        <v>74.510000000000005</v>
      </c>
      <c r="I565">
        <v>6</v>
      </c>
      <c r="J565">
        <v>22.353000000000002</v>
      </c>
      <c r="K565">
        <v>447.06</v>
      </c>
      <c r="L565" s="1">
        <v>44276</v>
      </c>
      <c r="M565" s="7">
        <f>DAY(Data[[#This Row],[Date]])</f>
        <v>21</v>
      </c>
      <c r="N565" s="7">
        <f>MONTH(Data[[#This Row],[Date]])</f>
        <v>3</v>
      </c>
      <c r="O565" s="7">
        <f>YEAR(Data[[#This Row],[Date]])</f>
        <v>2021</v>
      </c>
      <c r="P565" s="2">
        <v>0.63055555555555554</v>
      </c>
      <c r="Q565" t="s">
        <v>22</v>
      </c>
      <c r="R565">
        <v>312.94200000000001</v>
      </c>
      <c r="S565">
        <v>111.765</v>
      </c>
      <c r="T565">
        <v>5</v>
      </c>
    </row>
    <row r="566" spans="1:20" x14ac:dyDescent="0.55000000000000004">
      <c r="A566" t="s">
        <v>599</v>
      </c>
      <c r="B566" t="s">
        <v>41</v>
      </c>
      <c r="C566" t="s">
        <v>42</v>
      </c>
      <c r="D566" t="str">
        <f>"Br. "&amp;Data[[#This Row],[Branch]]&amp;" ("&amp;Data[[#This Row],[City]]&amp;")"</f>
        <v>Br. B (Mandalay)</v>
      </c>
      <c r="E566" t="s">
        <v>26</v>
      </c>
      <c r="F566" t="s">
        <v>30</v>
      </c>
      <c r="G566" t="s">
        <v>45</v>
      </c>
      <c r="H566">
        <v>99.25</v>
      </c>
      <c r="I566">
        <v>2</v>
      </c>
      <c r="J566">
        <v>9.9250000000000007</v>
      </c>
      <c r="K566">
        <v>198.5</v>
      </c>
      <c r="L566" s="1">
        <v>44276</v>
      </c>
      <c r="M566" s="7">
        <f>DAY(Data[[#This Row],[Date]])</f>
        <v>21</v>
      </c>
      <c r="N566" s="7">
        <f>MONTH(Data[[#This Row],[Date]])</f>
        <v>3</v>
      </c>
      <c r="O566" s="7">
        <f>YEAR(Data[[#This Row],[Date]])</f>
        <v>2021</v>
      </c>
      <c r="P566" s="2">
        <v>0.54305555555555551</v>
      </c>
      <c r="Q566" t="s">
        <v>28</v>
      </c>
      <c r="R566">
        <v>138.94999999999999</v>
      </c>
      <c r="S566">
        <v>49.625</v>
      </c>
      <c r="T566">
        <v>9</v>
      </c>
    </row>
    <row r="567" spans="1:20" x14ac:dyDescent="0.55000000000000004">
      <c r="A567" t="s">
        <v>600</v>
      </c>
      <c r="B567" t="s">
        <v>17</v>
      </c>
      <c r="C567" t="s">
        <v>18</v>
      </c>
      <c r="D567" t="str">
        <f>"Br. "&amp;Data[[#This Row],[Branch]]&amp;" ("&amp;Data[[#This Row],[City]]&amp;")"</f>
        <v>Br. A (Yangon)</v>
      </c>
      <c r="E567" t="s">
        <v>26</v>
      </c>
      <c r="F567" t="s">
        <v>20</v>
      </c>
      <c r="G567" t="s">
        <v>43</v>
      </c>
      <c r="H567">
        <v>81.209999999999994</v>
      </c>
      <c r="I567">
        <v>10</v>
      </c>
      <c r="J567">
        <v>40.604999999999997</v>
      </c>
      <c r="K567">
        <v>812.1</v>
      </c>
      <c r="L567" s="1">
        <v>44276</v>
      </c>
      <c r="M567" s="7">
        <f>DAY(Data[[#This Row],[Date]])</f>
        <v>21</v>
      </c>
      <c r="N567" s="7">
        <f>MONTH(Data[[#This Row],[Date]])</f>
        <v>3</v>
      </c>
      <c r="O567" s="7">
        <f>YEAR(Data[[#This Row],[Date]])</f>
        <v>2021</v>
      </c>
      <c r="P567" s="2">
        <v>0.54236111111111107</v>
      </c>
      <c r="Q567" t="s">
        <v>32</v>
      </c>
      <c r="R567">
        <v>568.47</v>
      </c>
      <c r="S567">
        <v>203.02500000000001</v>
      </c>
      <c r="T567">
        <v>6.3</v>
      </c>
    </row>
    <row r="568" spans="1:20" x14ac:dyDescent="0.55000000000000004">
      <c r="A568" t="s">
        <v>601</v>
      </c>
      <c r="B568" t="s">
        <v>24</v>
      </c>
      <c r="C568" t="s">
        <v>25</v>
      </c>
      <c r="D568" t="str">
        <f>"Br. "&amp;Data[[#This Row],[Branch]]&amp;" ("&amp;Data[[#This Row],[City]]&amp;")"</f>
        <v>Br. C (Naypyitaw)</v>
      </c>
      <c r="E568" t="s">
        <v>26</v>
      </c>
      <c r="F568" t="s">
        <v>20</v>
      </c>
      <c r="G568" t="s">
        <v>35</v>
      </c>
      <c r="H568">
        <v>49.33</v>
      </c>
      <c r="I568">
        <v>10</v>
      </c>
      <c r="J568">
        <v>24.664999999999999</v>
      </c>
      <c r="K568">
        <v>493.3</v>
      </c>
      <c r="L568" s="1">
        <v>44276</v>
      </c>
      <c r="M568" s="7">
        <f>DAY(Data[[#This Row],[Date]])</f>
        <v>21</v>
      </c>
      <c r="N568" s="7">
        <f>MONTH(Data[[#This Row],[Date]])</f>
        <v>3</v>
      </c>
      <c r="O568" s="7">
        <f>YEAR(Data[[#This Row],[Date]])</f>
        <v>2021</v>
      </c>
      <c r="P568" s="2">
        <v>0.69444444444444442</v>
      </c>
      <c r="Q568" t="s">
        <v>32</v>
      </c>
      <c r="R568">
        <v>345.31</v>
      </c>
      <c r="S568">
        <v>123.325</v>
      </c>
      <c r="T568">
        <v>9.4</v>
      </c>
    </row>
    <row r="569" spans="1:20" x14ac:dyDescent="0.55000000000000004">
      <c r="A569" t="s">
        <v>602</v>
      </c>
      <c r="B569" t="s">
        <v>17</v>
      </c>
      <c r="C569" t="s">
        <v>18</v>
      </c>
      <c r="D569" t="str">
        <f>"Br. "&amp;Data[[#This Row],[Branch]]&amp;" ("&amp;Data[[#This Row],[City]]&amp;")"</f>
        <v>Br. A (Yangon)</v>
      </c>
      <c r="E569" t="s">
        <v>26</v>
      </c>
      <c r="F569" t="s">
        <v>20</v>
      </c>
      <c r="G569" t="s">
        <v>45</v>
      </c>
      <c r="H569">
        <v>65.739999999999995</v>
      </c>
      <c r="I569">
        <v>9</v>
      </c>
      <c r="J569">
        <v>29.582999999999998</v>
      </c>
      <c r="K569">
        <v>591.66</v>
      </c>
      <c r="L569" s="1">
        <v>44276</v>
      </c>
      <c r="M569" s="7">
        <f>DAY(Data[[#This Row],[Date]])</f>
        <v>21</v>
      </c>
      <c r="N569" s="7">
        <f>MONTH(Data[[#This Row],[Date]])</f>
        <v>3</v>
      </c>
      <c r="O569" s="7">
        <f>YEAR(Data[[#This Row],[Date]])</f>
        <v>2021</v>
      </c>
      <c r="P569" s="2">
        <v>0.57986111111111116</v>
      </c>
      <c r="Q569" t="s">
        <v>28</v>
      </c>
      <c r="R569">
        <v>414.16199999999998</v>
      </c>
      <c r="S569">
        <v>147.91499999999999</v>
      </c>
      <c r="T569">
        <v>7.7</v>
      </c>
    </row>
    <row r="570" spans="1:20" x14ac:dyDescent="0.55000000000000004">
      <c r="A570" t="s">
        <v>603</v>
      </c>
      <c r="B570" t="s">
        <v>41</v>
      </c>
      <c r="C570" t="s">
        <v>42</v>
      </c>
      <c r="D570" t="str">
        <f>"Br. "&amp;Data[[#This Row],[Branch]]&amp;" ("&amp;Data[[#This Row],[City]]&amp;")"</f>
        <v>Br. B (Mandalay)</v>
      </c>
      <c r="E570" t="s">
        <v>26</v>
      </c>
      <c r="F570" t="s">
        <v>20</v>
      </c>
      <c r="G570" t="s">
        <v>45</v>
      </c>
      <c r="H570">
        <v>79.86</v>
      </c>
      <c r="I570">
        <v>7</v>
      </c>
      <c r="J570">
        <v>27.951000000000001</v>
      </c>
      <c r="K570">
        <v>559.02</v>
      </c>
      <c r="L570" s="1">
        <v>44276</v>
      </c>
      <c r="M570" s="7">
        <f>DAY(Data[[#This Row],[Date]])</f>
        <v>21</v>
      </c>
      <c r="N570" s="7">
        <f>MONTH(Data[[#This Row],[Date]])</f>
        <v>3</v>
      </c>
      <c r="O570" s="7">
        <f>YEAR(Data[[#This Row],[Date]])</f>
        <v>2021</v>
      </c>
      <c r="P570" s="2">
        <v>0.43958333333333333</v>
      </c>
      <c r="Q570" t="s">
        <v>32</v>
      </c>
      <c r="R570">
        <v>391.31400000000002</v>
      </c>
      <c r="S570">
        <v>139.755</v>
      </c>
      <c r="T570">
        <v>5.5</v>
      </c>
    </row>
    <row r="571" spans="1:20" x14ac:dyDescent="0.55000000000000004">
      <c r="A571" t="s">
        <v>604</v>
      </c>
      <c r="B571" t="s">
        <v>24</v>
      </c>
      <c r="C571" t="s">
        <v>25</v>
      </c>
      <c r="D571" t="str">
        <f>"Br. "&amp;Data[[#This Row],[Branch]]&amp;" ("&amp;Data[[#This Row],[City]]&amp;")"</f>
        <v>Br. C (Naypyitaw)</v>
      </c>
      <c r="E571" t="s">
        <v>26</v>
      </c>
      <c r="F571" t="s">
        <v>20</v>
      </c>
      <c r="G571" t="s">
        <v>35</v>
      </c>
      <c r="H571">
        <v>73.98</v>
      </c>
      <c r="I571">
        <v>7</v>
      </c>
      <c r="J571">
        <v>25.893000000000001</v>
      </c>
      <c r="K571">
        <v>517.86</v>
      </c>
      <c r="L571" s="1">
        <v>44276</v>
      </c>
      <c r="M571" s="7">
        <f>DAY(Data[[#This Row],[Date]])</f>
        <v>21</v>
      </c>
      <c r="N571" s="7">
        <f>MONTH(Data[[#This Row],[Date]])</f>
        <v>3</v>
      </c>
      <c r="O571" s="7">
        <f>YEAR(Data[[#This Row],[Date]])</f>
        <v>2021</v>
      </c>
      <c r="P571" s="2">
        <v>0.6958333333333333</v>
      </c>
      <c r="Q571" t="s">
        <v>22</v>
      </c>
      <c r="R571">
        <v>362.50200000000001</v>
      </c>
      <c r="S571">
        <v>129.465</v>
      </c>
      <c r="T571">
        <v>4.0999999999999996</v>
      </c>
    </row>
    <row r="572" spans="1:20" x14ac:dyDescent="0.55000000000000004">
      <c r="A572" t="s">
        <v>605</v>
      </c>
      <c r="B572" t="s">
        <v>41</v>
      </c>
      <c r="C572" t="s">
        <v>42</v>
      </c>
      <c r="D572" t="str">
        <f>"Br. "&amp;Data[[#This Row],[Branch]]&amp;" ("&amp;Data[[#This Row],[City]]&amp;")"</f>
        <v>Br. B (Mandalay)</v>
      </c>
      <c r="E572" t="s">
        <v>19</v>
      </c>
      <c r="F572" t="s">
        <v>20</v>
      </c>
      <c r="G572" t="s">
        <v>31</v>
      </c>
      <c r="H572">
        <v>82.04</v>
      </c>
      <c r="I572">
        <v>5</v>
      </c>
      <c r="J572">
        <v>20.51</v>
      </c>
      <c r="K572">
        <v>410.2</v>
      </c>
      <c r="L572" s="1">
        <v>44276</v>
      </c>
      <c r="M572" s="7">
        <f>DAY(Data[[#This Row],[Date]])</f>
        <v>21</v>
      </c>
      <c r="N572" s="7">
        <f>MONTH(Data[[#This Row],[Date]])</f>
        <v>3</v>
      </c>
      <c r="O572" s="7">
        <f>YEAR(Data[[#This Row],[Date]])</f>
        <v>2021</v>
      </c>
      <c r="P572" s="2">
        <v>0.71944444444444444</v>
      </c>
      <c r="Q572" t="s">
        <v>32</v>
      </c>
      <c r="R572">
        <v>287.14</v>
      </c>
      <c r="S572">
        <v>102.55</v>
      </c>
      <c r="T572">
        <v>7.6</v>
      </c>
    </row>
    <row r="573" spans="1:20" x14ac:dyDescent="0.55000000000000004">
      <c r="A573" t="s">
        <v>606</v>
      </c>
      <c r="B573" t="s">
        <v>41</v>
      </c>
      <c r="C573" t="s">
        <v>42</v>
      </c>
      <c r="D573" t="str">
        <f>"Br. "&amp;Data[[#This Row],[Branch]]&amp;" ("&amp;Data[[#This Row],[City]]&amp;")"</f>
        <v>Br. B (Mandalay)</v>
      </c>
      <c r="E573" t="s">
        <v>19</v>
      </c>
      <c r="F573" t="s">
        <v>30</v>
      </c>
      <c r="G573" t="s">
        <v>35</v>
      </c>
      <c r="H573">
        <v>26.67</v>
      </c>
      <c r="I573">
        <v>10</v>
      </c>
      <c r="J573">
        <v>13.335000000000001</v>
      </c>
      <c r="K573">
        <v>266.7</v>
      </c>
      <c r="L573" s="1">
        <v>44276</v>
      </c>
      <c r="M573" s="7">
        <f>DAY(Data[[#This Row],[Date]])</f>
        <v>21</v>
      </c>
      <c r="N573" s="7">
        <f>MONTH(Data[[#This Row],[Date]])</f>
        <v>3</v>
      </c>
      <c r="O573" s="7">
        <f>YEAR(Data[[#This Row],[Date]])</f>
        <v>2021</v>
      </c>
      <c r="P573" s="2">
        <v>0.49166666666666664</v>
      </c>
      <c r="Q573" t="s">
        <v>28</v>
      </c>
      <c r="R573">
        <v>186.69</v>
      </c>
      <c r="S573">
        <v>66.674999999999997</v>
      </c>
      <c r="T573">
        <v>8.6</v>
      </c>
    </row>
    <row r="574" spans="1:20" x14ac:dyDescent="0.55000000000000004">
      <c r="A574" t="s">
        <v>607</v>
      </c>
      <c r="B574" t="s">
        <v>17</v>
      </c>
      <c r="C574" t="s">
        <v>18</v>
      </c>
      <c r="D574" t="str">
        <f>"Br. "&amp;Data[[#This Row],[Branch]]&amp;" ("&amp;Data[[#This Row],[City]]&amp;")"</f>
        <v>Br. A (Yangon)</v>
      </c>
      <c r="E574" t="s">
        <v>19</v>
      </c>
      <c r="F574" t="s">
        <v>30</v>
      </c>
      <c r="G574" t="s">
        <v>43</v>
      </c>
      <c r="H574">
        <v>10.130000000000001</v>
      </c>
      <c r="I574">
        <v>7</v>
      </c>
      <c r="J574">
        <v>3.5455000000000001</v>
      </c>
      <c r="K574">
        <v>70.91</v>
      </c>
      <c r="L574" s="1">
        <v>44276</v>
      </c>
      <c r="M574" s="7">
        <f>DAY(Data[[#This Row],[Date]])</f>
        <v>21</v>
      </c>
      <c r="N574" s="7">
        <f>MONTH(Data[[#This Row],[Date]])</f>
        <v>3</v>
      </c>
      <c r="O574" s="7">
        <f>YEAR(Data[[#This Row],[Date]])</f>
        <v>2021</v>
      </c>
      <c r="P574" s="2">
        <v>0.81597222222222221</v>
      </c>
      <c r="Q574" t="s">
        <v>22</v>
      </c>
      <c r="R574">
        <v>49.637</v>
      </c>
      <c r="S574">
        <v>17.727499999999999</v>
      </c>
      <c r="T574">
        <v>8.3000000000000007</v>
      </c>
    </row>
    <row r="575" spans="1:20" x14ac:dyDescent="0.55000000000000004">
      <c r="A575" t="s">
        <v>608</v>
      </c>
      <c r="B575" t="s">
        <v>41</v>
      </c>
      <c r="C575" t="s">
        <v>42</v>
      </c>
      <c r="D575" t="str">
        <f>"Br. "&amp;Data[[#This Row],[Branch]]&amp;" ("&amp;Data[[#This Row],[City]]&amp;")"</f>
        <v>Br. B (Mandalay)</v>
      </c>
      <c r="E575" t="s">
        <v>26</v>
      </c>
      <c r="F575" t="s">
        <v>30</v>
      </c>
      <c r="G575" t="s">
        <v>43</v>
      </c>
      <c r="H575">
        <v>72.39</v>
      </c>
      <c r="I575">
        <v>2</v>
      </c>
      <c r="J575">
        <v>7.2389999999999999</v>
      </c>
      <c r="K575">
        <v>144.78</v>
      </c>
      <c r="L575" s="1">
        <v>44276</v>
      </c>
      <c r="M575" s="7">
        <f>DAY(Data[[#This Row],[Date]])</f>
        <v>21</v>
      </c>
      <c r="N575" s="7">
        <f>MONTH(Data[[#This Row],[Date]])</f>
        <v>3</v>
      </c>
      <c r="O575" s="7">
        <f>YEAR(Data[[#This Row],[Date]])</f>
        <v>2021</v>
      </c>
      <c r="P575" s="2">
        <v>0.82986111111111116</v>
      </c>
      <c r="Q575" t="s">
        <v>32</v>
      </c>
      <c r="R575">
        <v>101.346</v>
      </c>
      <c r="S575">
        <v>36.195</v>
      </c>
      <c r="T575">
        <v>8.1</v>
      </c>
    </row>
    <row r="576" spans="1:20" x14ac:dyDescent="0.55000000000000004">
      <c r="A576" t="s">
        <v>609</v>
      </c>
      <c r="B576" t="s">
        <v>17</v>
      </c>
      <c r="C576" t="s">
        <v>18</v>
      </c>
      <c r="D576" t="str">
        <f>"Br. "&amp;Data[[#This Row],[Branch]]&amp;" ("&amp;Data[[#This Row],[City]]&amp;")"</f>
        <v>Br. A (Yangon)</v>
      </c>
      <c r="E576" t="s">
        <v>26</v>
      </c>
      <c r="F576" t="s">
        <v>30</v>
      </c>
      <c r="G576" t="s">
        <v>35</v>
      </c>
      <c r="H576">
        <v>85.91</v>
      </c>
      <c r="I576">
        <v>5</v>
      </c>
      <c r="J576">
        <v>21.477499999999999</v>
      </c>
      <c r="K576">
        <v>429.55</v>
      </c>
      <c r="L576" s="1">
        <v>44276</v>
      </c>
      <c r="M576" s="7">
        <f>DAY(Data[[#This Row],[Date]])</f>
        <v>21</v>
      </c>
      <c r="N576" s="7">
        <f>MONTH(Data[[#This Row],[Date]])</f>
        <v>3</v>
      </c>
      <c r="O576" s="7">
        <f>YEAR(Data[[#This Row],[Date]])</f>
        <v>2021</v>
      </c>
      <c r="P576" s="2">
        <v>0.60624999999999996</v>
      </c>
      <c r="Q576" t="s">
        <v>32</v>
      </c>
      <c r="R576">
        <v>300.685</v>
      </c>
      <c r="S576">
        <v>107.3875</v>
      </c>
      <c r="T576">
        <v>8.6</v>
      </c>
    </row>
    <row r="577" spans="1:20" x14ac:dyDescent="0.55000000000000004">
      <c r="A577" t="s">
        <v>610</v>
      </c>
      <c r="B577" t="s">
        <v>41</v>
      </c>
      <c r="C577" t="s">
        <v>42</v>
      </c>
      <c r="D577" t="str">
        <f>"Br. "&amp;Data[[#This Row],[Branch]]&amp;" ("&amp;Data[[#This Row],[City]]&amp;")"</f>
        <v>Br. B (Mandalay)</v>
      </c>
      <c r="E577" t="s">
        <v>19</v>
      </c>
      <c r="F577" t="s">
        <v>30</v>
      </c>
      <c r="G577" t="s">
        <v>45</v>
      </c>
      <c r="H577">
        <v>81.31</v>
      </c>
      <c r="I577">
        <v>7</v>
      </c>
      <c r="J577">
        <v>28.458500000000001</v>
      </c>
      <c r="K577">
        <v>569.16999999999996</v>
      </c>
      <c r="L577" s="1">
        <v>44276</v>
      </c>
      <c r="M577" s="7">
        <f>DAY(Data[[#This Row],[Date]])</f>
        <v>21</v>
      </c>
      <c r="N577" s="7">
        <f>MONTH(Data[[#This Row],[Date]])</f>
        <v>3</v>
      </c>
      <c r="O577" s="7">
        <f>YEAR(Data[[#This Row],[Date]])</f>
        <v>2021</v>
      </c>
      <c r="P577" s="2">
        <v>0.8256944444444444</v>
      </c>
      <c r="Q577" t="s">
        <v>22</v>
      </c>
      <c r="R577">
        <v>398.41899999999998</v>
      </c>
      <c r="S577">
        <v>142.29249999999999</v>
      </c>
      <c r="T577">
        <v>6.3</v>
      </c>
    </row>
    <row r="578" spans="1:20" x14ac:dyDescent="0.55000000000000004">
      <c r="A578" t="s">
        <v>611</v>
      </c>
      <c r="B578" t="s">
        <v>41</v>
      </c>
      <c r="C578" t="s">
        <v>42</v>
      </c>
      <c r="D578" t="str">
        <f>"Br. "&amp;Data[[#This Row],[Branch]]&amp;" ("&amp;Data[[#This Row],[City]]&amp;")"</f>
        <v>Br. B (Mandalay)</v>
      </c>
      <c r="E578" t="s">
        <v>26</v>
      </c>
      <c r="F578" t="s">
        <v>30</v>
      </c>
      <c r="G578" t="s">
        <v>43</v>
      </c>
      <c r="H578">
        <v>60.3</v>
      </c>
      <c r="I578">
        <v>4</v>
      </c>
      <c r="J578">
        <v>12.06</v>
      </c>
      <c r="K578">
        <v>241.2</v>
      </c>
      <c r="L578" s="1">
        <v>44276</v>
      </c>
      <c r="M578" s="7">
        <f>DAY(Data[[#This Row],[Date]])</f>
        <v>21</v>
      </c>
      <c r="N578" s="7">
        <f>MONTH(Data[[#This Row],[Date]])</f>
        <v>3</v>
      </c>
      <c r="O578" s="7">
        <f>YEAR(Data[[#This Row],[Date]])</f>
        <v>2021</v>
      </c>
      <c r="P578" s="2">
        <v>0.77986111111111112</v>
      </c>
      <c r="Q578" t="s">
        <v>28</v>
      </c>
      <c r="R578">
        <v>168.84</v>
      </c>
      <c r="S578">
        <v>60.3</v>
      </c>
      <c r="T578">
        <v>5.8</v>
      </c>
    </row>
    <row r="579" spans="1:20" x14ac:dyDescent="0.55000000000000004">
      <c r="A579" t="s">
        <v>612</v>
      </c>
      <c r="B579" t="s">
        <v>24</v>
      </c>
      <c r="C579" t="s">
        <v>25</v>
      </c>
      <c r="D579" t="str">
        <f>"Br. "&amp;Data[[#This Row],[Branch]]&amp;" ("&amp;Data[[#This Row],[City]]&amp;")"</f>
        <v>Br. C (Naypyitaw)</v>
      </c>
      <c r="E579" t="s">
        <v>26</v>
      </c>
      <c r="F579" t="s">
        <v>30</v>
      </c>
      <c r="G579" t="s">
        <v>43</v>
      </c>
      <c r="H579">
        <v>31.77</v>
      </c>
      <c r="I579">
        <v>4</v>
      </c>
      <c r="J579">
        <v>6.3540000000000001</v>
      </c>
      <c r="K579">
        <v>127.08</v>
      </c>
      <c r="L579" s="1">
        <v>44276</v>
      </c>
      <c r="M579" s="7">
        <f>DAY(Data[[#This Row],[Date]])</f>
        <v>21</v>
      </c>
      <c r="N579" s="7">
        <f>MONTH(Data[[#This Row],[Date]])</f>
        <v>3</v>
      </c>
      <c r="O579" s="7">
        <f>YEAR(Data[[#This Row],[Date]])</f>
        <v>2021</v>
      </c>
      <c r="P579" s="2">
        <v>0.61319444444444449</v>
      </c>
      <c r="Q579" t="s">
        <v>22</v>
      </c>
      <c r="R579">
        <v>88.956000000000003</v>
      </c>
      <c r="S579">
        <v>31.77</v>
      </c>
      <c r="T579">
        <v>6.2</v>
      </c>
    </row>
    <row r="580" spans="1:20" x14ac:dyDescent="0.55000000000000004">
      <c r="A580" t="s">
        <v>613</v>
      </c>
      <c r="B580" t="s">
        <v>17</v>
      </c>
      <c r="C580" t="s">
        <v>18</v>
      </c>
      <c r="D580" t="str">
        <f>"Br. "&amp;Data[[#This Row],[Branch]]&amp;" ("&amp;Data[[#This Row],[City]]&amp;")"</f>
        <v>Br. A (Yangon)</v>
      </c>
      <c r="E580" t="s">
        <v>26</v>
      </c>
      <c r="F580" t="s">
        <v>20</v>
      </c>
      <c r="G580" t="s">
        <v>21</v>
      </c>
      <c r="H580">
        <v>64.27</v>
      </c>
      <c r="I580">
        <v>4</v>
      </c>
      <c r="J580">
        <v>12.853999999999999</v>
      </c>
      <c r="K580">
        <v>257.08</v>
      </c>
      <c r="L580" s="1">
        <v>44276</v>
      </c>
      <c r="M580" s="7">
        <f>DAY(Data[[#This Row],[Date]])</f>
        <v>21</v>
      </c>
      <c r="N580" s="7">
        <f>MONTH(Data[[#This Row],[Date]])</f>
        <v>3</v>
      </c>
      <c r="O580" s="7">
        <f>YEAR(Data[[#This Row],[Date]])</f>
        <v>2021</v>
      </c>
      <c r="P580" s="2">
        <v>0.57916666666666672</v>
      </c>
      <c r="Q580" t="s">
        <v>28</v>
      </c>
      <c r="R580">
        <v>179.95599999999999</v>
      </c>
      <c r="S580">
        <v>64.27</v>
      </c>
      <c r="T580">
        <v>7.7</v>
      </c>
    </row>
    <row r="581" spans="1:20" x14ac:dyDescent="0.55000000000000004">
      <c r="A581" t="s">
        <v>614</v>
      </c>
      <c r="B581" t="s">
        <v>41</v>
      </c>
      <c r="C581" t="s">
        <v>42</v>
      </c>
      <c r="D581" t="str">
        <f>"Br. "&amp;Data[[#This Row],[Branch]]&amp;" ("&amp;Data[[#This Row],[City]]&amp;")"</f>
        <v>Br. B (Mandalay)</v>
      </c>
      <c r="E581" t="s">
        <v>26</v>
      </c>
      <c r="F581" t="s">
        <v>30</v>
      </c>
      <c r="G581" t="s">
        <v>21</v>
      </c>
      <c r="H581">
        <v>69.510000000000005</v>
      </c>
      <c r="I581">
        <v>2</v>
      </c>
      <c r="J581">
        <v>6.9509999999999996</v>
      </c>
      <c r="K581">
        <v>139.02000000000001</v>
      </c>
      <c r="L581" s="1">
        <v>44276</v>
      </c>
      <c r="M581" s="7">
        <f>DAY(Data[[#This Row],[Date]])</f>
        <v>21</v>
      </c>
      <c r="N581" s="7">
        <f>MONTH(Data[[#This Row],[Date]])</f>
        <v>3</v>
      </c>
      <c r="O581" s="7">
        <f>YEAR(Data[[#This Row],[Date]])</f>
        <v>2021</v>
      </c>
      <c r="P581" s="2">
        <v>0.51041666666666663</v>
      </c>
      <c r="Q581" t="s">
        <v>22</v>
      </c>
      <c r="R581">
        <v>97.313999999999993</v>
      </c>
      <c r="S581">
        <v>34.755000000000003</v>
      </c>
      <c r="T581">
        <v>8.1</v>
      </c>
    </row>
    <row r="582" spans="1:20" x14ac:dyDescent="0.55000000000000004">
      <c r="A582" t="s">
        <v>615</v>
      </c>
      <c r="B582" t="s">
        <v>24</v>
      </c>
      <c r="C582" t="s">
        <v>25</v>
      </c>
      <c r="D582" t="str">
        <f>"Br. "&amp;Data[[#This Row],[Branch]]&amp;" ("&amp;Data[[#This Row],[City]]&amp;")"</f>
        <v>Br. C (Naypyitaw)</v>
      </c>
      <c r="E582" t="s">
        <v>26</v>
      </c>
      <c r="F582" t="s">
        <v>30</v>
      </c>
      <c r="G582" t="s">
        <v>43</v>
      </c>
      <c r="H582">
        <v>27.22</v>
      </c>
      <c r="I582">
        <v>3</v>
      </c>
      <c r="J582">
        <v>4.0830000000000002</v>
      </c>
      <c r="K582">
        <v>81.66</v>
      </c>
      <c r="L582" s="1">
        <v>44276</v>
      </c>
      <c r="M582" s="7">
        <f>DAY(Data[[#This Row],[Date]])</f>
        <v>21</v>
      </c>
      <c r="N582" s="7">
        <f>MONTH(Data[[#This Row],[Date]])</f>
        <v>3</v>
      </c>
      <c r="O582" s="7">
        <f>YEAR(Data[[#This Row],[Date]])</f>
        <v>2021</v>
      </c>
      <c r="P582" s="2">
        <v>0.52569444444444446</v>
      </c>
      <c r="Q582" t="s">
        <v>28</v>
      </c>
      <c r="R582">
        <v>57.161999999999999</v>
      </c>
      <c r="S582">
        <v>20.414999999999999</v>
      </c>
      <c r="T582">
        <v>7.3</v>
      </c>
    </row>
    <row r="583" spans="1:20" x14ac:dyDescent="0.55000000000000004">
      <c r="A583" t="s">
        <v>616</v>
      </c>
      <c r="B583" t="s">
        <v>17</v>
      </c>
      <c r="C583" t="s">
        <v>18</v>
      </c>
      <c r="D583" t="str">
        <f>"Br. "&amp;Data[[#This Row],[Branch]]&amp;" ("&amp;Data[[#This Row],[City]]&amp;")"</f>
        <v>Br. A (Yangon)</v>
      </c>
      <c r="E583" t="s">
        <v>19</v>
      </c>
      <c r="F583" t="s">
        <v>20</v>
      </c>
      <c r="G583" t="s">
        <v>21</v>
      </c>
      <c r="H583">
        <v>77.680000000000007</v>
      </c>
      <c r="I583">
        <v>4</v>
      </c>
      <c r="J583">
        <v>15.536</v>
      </c>
      <c r="K583">
        <v>310.72000000000003</v>
      </c>
      <c r="L583" s="1">
        <v>44276</v>
      </c>
      <c r="M583" s="7">
        <f>DAY(Data[[#This Row],[Date]])</f>
        <v>21</v>
      </c>
      <c r="N583" s="7">
        <f>MONTH(Data[[#This Row],[Date]])</f>
        <v>3</v>
      </c>
      <c r="O583" s="7">
        <f>YEAR(Data[[#This Row],[Date]])</f>
        <v>2021</v>
      </c>
      <c r="P583" s="2">
        <v>0.82916666666666672</v>
      </c>
      <c r="Q583" t="s">
        <v>28</v>
      </c>
      <c r="R583">
        <v>217.50399999999999</v>
      </c>
      <c r="S583">
        <v>77.680000000000007</v>
      </c>
      <c r="T583">
        <v>8.4</v>
      </c>
    </row>
    <row r="584" spans="1:20" x14ac:dyDescent="0.55000000000000004">
      <c r="A584" t="s">
        <v>617</v>
      </c>
      <c r="B584" t="s">
        <v>24</v>
      </c>
      <c r="C584" t="s">
        <v>25</v>
      </c>
      <c r="D584" t="str">
        <f>"Br. "&amp;Data[[#This Row],[Branch]]&amp;" ("&amp;Data[[#This Row],[City]]&amp;")"</f>
        <v>Br. C (Naypyitaw)</v>
      </c>
      <c r="E584" t="s">
        <v>19</v>
      </c>
      <c r="F584" t="s">
        <v>20</v>
      </c>
      <c r="G584" t="s">
        <v>45</v>
      </c>
      <c r="H584">
        <v>92.98</v>
      </c>
      <c r="I584">
        <v>2</v>
      </c>
      <c r="J584">
        <v>9.298</v>
      </c>
      <c r="K584">
        <v>185.96</v>
      </c>
      <c r="L584" s="1">
        <v>44276</v>
      </c>
      <c r="M584" s="7">
        <f>DAY(Data[[#This Row],[Date]])</f>
        <v>21</v>
      </c>
      <c r="N584" s="7">
        <f>MONTH(Data[[#This Row],[Date]])</f>
        <v>3</v>
      </c>
      <c r="O584" s="7">
        <f>YEAR(Data[[#This Row],[Date]])</f>
        <v>2021</v>
      </c>
      <c r="P584" s="2">
        <v>0.62916666666666665</v>
      </c>
      <c r="Q584" t="s">
        <v>32</v>
      </c>
      <c r="R584">
        <v>130.172</v>
      </c>
      <c r="S584">
        <v>46.49</v>
      </c>
      <c r="T584">
        <v>8</v>
      </c>
    </row>
    <row r="585" spans="1:20" x14ac:dyDescent="0.55000000000000004">
      <c r="A585" t="s">
        <v>618</v>
      </c>
      <c r="B585" t="s">
        <v>41</v>
      </c>
      <c r="C585" t="s">
        <v>42</v>
      </c>
      <c r="D585" t="str">
        <f>"Br. "&amp;Data[[#This Row],[Branch]]&amp;" ("&amp;Data[[#This Row],[City]]&amp;")"</f>
        <v>Br. B (Mandalay)</v>
      </c>
      <c r="E585" t="s">
        <v>19</v>
      </c>
      <c r="F585" t="s">
        <v>20</v>
      </c>
      <c r="G585" t="s">
        <v>45</v>
      </c>
      <c r="H585">
        <v>18.079999999999998</v>
      </c>
      <c r="I585">
        <v>4</v>
      </c>
      <c r="J585">
        <v>3.6160000000000001</v>
      </c>
      <c r="K585">
        <v>72.319999999999993</v>
      </c>
      <c r="L585" s="1">
        <v>44276</v>
      </c>
      <c r="M585" s="7">
        <f>DAY(Data[[#This Row],[Date]])</f>
        <v>21</v>
      </c>
      <c r="N585" s="7">
        <f>MONTH(Data[[#This Row],[Date]])</f>
        <v>3</v>
      </c>
      <c r="O585" s="7">
        <f>YEAR(Data[[#This Row],[Date]])</f>
        <v>2021</v>
      </c>
      <c r="P585" s="2">
        <v>0.75208333333333333</v>
      </c>
      <c r="Q585" t="s">
        <v>32</v>
      </c>
      <c r="R585">
        <v>50.624000000000002</v>
      </c>
      <c r="S585">
        <v>18.079999999999998</v>
      </c>
      <c r="T585">
        <v>9.5</v>
      </c>
    </row>
    <row r="586" spans="1:20" x14ac:dyDescent="0.55000000000000004">
      <c r="A586" t="s">
        <v>619</v>
      </c>
      <c r="B586" t="s">
        <v>41</v>
      </c>
      <c r="C586" t="s">
        <v>42</v>
      </c>
      <c r="D586" t="str">
        <f>"Br. "&amp;Data[[#This Row],[Branch]]&amp;" ("&amp;Data[[#This Row],[City]]&amp;")"</f>
        <v>Br. B (Mandalay)</v>
      </c>
      <c r="E586" t="s">
        <v>26</v>
      </c>
      <c r="F586" t="s">
        <v>30</v>
      </c>
      <c r="G586" t="s">
        <v>35</v>
      </c>
      <c r="H586">
        <v>63.06</v>
      </c>
      <c r="I586">
        <v>3</v>
      </c>
      <c r="J586">
        <v>9.4589999999999996</v>
      </c>
      <c r="K586">
        <v>189.18</v>
      </c>
      <c r="L586" s="1">
        <v>44276</v>
      </c>
      <c r="M586" s="7">
        <f>DAY(Data[[#This Row],[Date]])</f>
        <v>21</v>
      </c>
      <c r="N586" s="7">
        <f>MONTH(Data[[#This Row],[Date]])</f>
        <v>3</v>
      </c>
      <c r="O586" s="7">
        <f>YEAR(Data[[#This Row],[Date]])</f>
        <v>2021</v>
      </c>
      <c r="P586" s="2">
        <v>0.66527777777777775</v>
      </c>
      <c r="Q586" t="s">
        <v>22</v>
      </c>
      <c r="R586">
        <v>132.42599999999999</v>
      </c>
      <c r="S586">
        <v>47.295000000000002</v>
      </c>
      <c r="T586">
        <v>7</v>
      </c>
    </row>
    <row r="587" spans="1:20" x14ac:dyDescent="0.55000000000000004">
      <c r="A587" t="s">
        <v>620</v>
      </c>
      <c r="B587" t="s">
        <v>17</v>
      </c>
      <c r="C587" t="s">
        <v>18</v>
      </c>
      <c r="D587" t="str">
        <f>"Br. "&amp;Data[[#This Row],[Branch]]&amp;" ("&amp;Data[[#This Row],[City]]&amp;")"</f>
        <v>Br. A (Yangon)</v>
      </c>
      <c r="E587" t="s">
        <v>26</v>
      </c>
      <c r="F587" t="s">
        <v>30</v>
      </c>
      <c r="G587" t="s">
        <v>21</v>
      </c>
      <c r="H587">
        <v>51.71</v>
      </c>
      <c r="I587">
        <v>4</v>
      </c>
      <c r="J587">
        <v>10.342000000000001</v>
      </c>
      <c r="K587">
        <v>206.84</v>
      </c>
      <c r="L587" s="1">
        <v>44276</v>
      </c>
      <c r="M587" s="7">
        <f>DAY(Data[[#This Row],[Date]])</f>
        <v>21</v>
      </c>
      <c r="N587" s="7">
        <f>MONTH(Data[[#This Row],[Date]])</f>
        <v>3</v>
      </c>
      <c r="O587" s="7">
        <f>YEAR(Data[[#This Row],[Date]])</f>
        <v>2021</v>
      </c>
      <c r="P587" s="2">
        <v>0.57847222222222228</v>
      </c>
      <c r="Q587" t="s">
        <v>32</v>
      </c>
      <c r="R587">
        <v>144.78800000000001</v>
      </c>
      <c r="S587">
        <v>51.71</v>
      </c>
      <c r="T587">
        <v>9.8000000000000007</v>
      </c>
    </row>
    <row r="588" spans="1:20" x14ac:dyDescent="0.55000000000000004">
      <c r="A588" t="s">
        <v>621</v>
      </c>
      <c r="B588" t="s">
        <v>17</v>
      </c>
      <c r="C588" t="s">
        <v>18</v>
      </c>
      <c r="D588" t="str">
        <f>"Br. "&amp;Data[[#This Row],[Branch]]&amp;" ("&amp;Data[[#This Row],[City]]&amp;")"</f>
        <v>Br. A (Yangon)</v>
      </c>
      <c r="E588" t="s">
        <v>26</v>
      </c>
      <c r="F588" t="s">
        <v>20</v>
      </c>
      <c r="G588" t="s">
        <v>43</v>
      </c>
      <c r="H588">
        <v>52.34</v>
      </c>
      <c r="I588">
        <v>3</v>
      </c>
      <c r="J588">
        <v>7.851</v>
      </c>
      <c r="K588">
        <v>157.02000000000001</v>
      </c>
      <c r="L588" s="1">
        <v>44276</v>
      </c>
      <c r="M588" s="7">
        <f>DAY(Data[[#This Row],[Date]])</f>
        <v>21</v>
      </c>
      <c r="N588" s="7">
        <f>MONTH(Data[[#This Row],[Date]])</f>
        <v>3</v>
      </c>
      <c r="O588" s="7">
        <f>YEAR(Data[[#This Row],[Date]])</f>
        <v>2021</v>
      </c>
      <c r="P588" s="2">
        <v>0.5854166666666667</v>
      </c>
      <c r="Q588" t="s">
        <v>28</v>
      </c>
      <c r="R588">
        <v>109.914</v>
      </c>
      <c r="S588">
        <v>39.255000000000003</v>
      </c>
      <c r="T588">
        <v>9.1999999999999993</v>
      </c>
    </row>
    <row r="589" spans="1:20" x14ac:dyDescent="0.55000000000000004">
      <c r="A589" t="s">
        <v>622</v>
      </c>
      <c r="B589" t="s">
        <v>17</v>
      </c>
      <c r="C589" t="s">
        <v>18</v>
      </c>
      <c r="D589" t="str">
        <f>"Br. "&amp;Data[[#This Row],[Branch]]&amp;" ("&amp;Data[[#This Row],[City]]&amp;")"</f>
        <v>Br. A (Yangon)</v>
      </c>
      <c r="E589" t="s">
        <v>26</v>
      </c>
      <c r="F589" t="s">
        <v>20</v>
      </c>
      <c r="G589" t="s">
        <v>35</v>
      </c>
      <c r="H589">
        <v>43.06</v>
      </c>
      <c r="I589">
        <v>5</v>
      </c>
      <c r="J589">
        <v>10.765000000000001</v>
      </c>
      <c r="K589">
        <v>215.3</v>
      </c>
      <c r="L589" s="1">
        <v>44276</v>
      </c>
      <c r="M589" s="7">
        <f>DAY(Data[[#This Row],[Date]])</f>
        <v>21</v>
      </c>
      <c r="N589" s="7">
        <f>MONTH(Data[[#This Row],[Date]])</f>
        <v>3</v>
      </c>
      <c r="O589" s="7">
        <f>YEAR(Data[[#This Row],[Date]])</f>
        <v>2021</v>
      </c>
      <c r="P589" s="2">
        <v>0.69305555555555554</v>
      </c>
      <c r="Q589" t="s">
        <v>22</v>
      </c>
      <c r="R589">
        <v>150.71</v>
      </c>
      <c r="S589">
        <v>53.825000000000003</v>
      </c>
      <c r="T589">
        <v>7.7</v>
      </c>
    </row>
    <row r="590" spans="1:20" x14ac:dyDescent="0.55000000000000004">
      <c r="A590" t="s">
        <v>623</v>
      </c>
      <c r="B590" t="s">
        <v>24</v>
      </c>
      <c r="C590" t="s">
        <v>25</v>
      </c>
      <c r="D590" t="str">
        <f>"Br. "&amp;Data[[#This Row],[Branch]]&amp;" ("&amp;Data[[#This Row],[City]]&amp;")"</f>
        <v>Br. C (Naypyitaw)</v>
      </c>
      <c r="E590" t="s">
        <v>26</v>
      </c>
      <c r="F590" t="s">
        <v>30</v>
      </c>
      <c r="G590" t="s">
        <v>45</v>
      </c>
      <c r="H590">
        <v>59.61</v>
      </c>
      <c r="I590">
        <v>10</v>
      </c>
      <c r="J590">
        <v>29.805</v>
      </c>
      <c r="K590">
        <v>596.1</v>
      </c>
      <c r="L590" s="1">
        <v>44276</v>
      </c>
      <c r="M590" s="7">
        <f>DAY(Data[[#This Row],[Date]])</f>
        <v>21</v>
      </c>
      <c r="N590" s="7">
        <f>MONTH(Data[[#This Row],[Date]])</f>
        <v>3</v>
      </c>
      <c r="O590" s="7">
        <f>YEAR(Data[[#This Row],[Date]])</f>
        <v>2021</v>
      </c>
      <c r="P590" s="2">
        <v>0.46319444444444446</v>
      </c>
      <c r="Q590" t="s">
        <v>28</v>
      </c>
      <c r="R590">
        <v>417.27</v>
      </c>
      <c r="S590">
        <v>149.02500000000001</v>
      </c>
      <c r="T590">
        <v>5.3</v>
      </c>
    </row>
    <row r="591" spans="1:20" x14ac:dyDescent="0.55000000000000004">
      <c r="A591" t="s">
        <v>624</v>
      </c>
      <c r="B591" t="s">
        <v>17</v>
      </c>
      <c r="C591" t="s">
        <v>18</v>
      </c>
      <c r="D591" t="str">
        <f>"Br. "&amp;Data[[#This Row],[Branch]]&amp;" ("&amp;Data[[#This Row],[City]]&amp;")"</f>
        <v>Br. A (Yangon)</v>
      </c>
      <c r="E591" t="s">
        <v>26</v>
      </c>
      <c r="F591" t="s">
        <v>30</v>
      </c>
      <c r="G591" t="s">
        <v>21</v>
      </c>
      <c r="H591">
        <v>14.62</v>
      </c>
      <c r="I591">
        <v>5</v>
      </c>
      <c r="J591">
        <v>3.6549999999999998</v>
      </c>
      <c r="K591">
        <v>73.099999999999994</v>
      </c>
      <c r="L591" s="1">
        <v>44276</v>
      </c>
      <c r="M591" s="7">
        <f>DAY(Data[[#This Row],[Date]])</f>
        <v>21</v>
      </c>
      <c r="N591" s="7">
        <f>MONTH(Data[[#This Row],[Date]])</f>
        <v>3</v>
      </c>
      <c r="O591" s="7">
        <f>YEAR(Data[[#This Row],[Date]])</f>
        <v>2021</v>
      </c>
      <c r="P591" s="2">
        <v>0.51597222222222228</v>
      </c>
      <c r="Q591" t="s">
        <v>28</v>
      </c>
      <c r="R591">
        <v>51.17</v>
      </c>
      <c r="S591">
        <v>18.274999999999999</v>
      </c>
      <c r="T591">
        <v>4.4000000000000004</v>
      </c>
    </row>
    <row r="592" spans="1:20" x14ac:dyDescent="0.55000000000000004">
      <c r="A592" t="s">
        <v>625</v>
      </c>
      <c r="B592" t="s">
        <v>24</v>
      </c>
      <c r="C592" t="s">
        <v>25</v>
      </c>
      <c r="D592" t="str">
        <f>"Br. "&amp;Data[[#This Row],[Branch]]&amp;" ("&amp;Data[[#This Row],[City]]&amp;")"</f>
        <v>Br. C (Naypyitaw)</v>
      </c>
      <c r="E592" t="s">
        <v>19</v>
      </c>
      <c r="F592" t="s">
        <v>30</v>
      </c>
      <c r="G592" t="s">
        <v>21</v>
      </c>
      <c r="H592">
        <v>46.53</v>
      </c>
      <c r="I592">
        <v>6</v>
      </c>
      <c r="J592">
        <v>13.959</v>
      </c>
      <c r="K592">
        <v>279.18</v>
      </c>
      <c r="L592" s="1">
        <v>44276</v>
      </c>
      <c r="M592" s="7">
        <f>DAY(Data[[#This Row],[Date]])</f>
        <v>21</v>
      </c>
      <c r="N592" s="7">
        <f>MONTH(Data[[#This Row],[Date]])</f>
        <v>3</v>
      </c>
      <c r="O592" s="7">
        <f>YEAR(Data[[#This Row],[Date]])</f>
        <v>2021</v>
      </c>
      <c r="P592" s="2">
        <v>0.45416666666666666</v>
      </c>
      <c r="Q592" t="s">
        <v>32</v>
      </c>
      <c r="R592">
        <v>195.42599999999999</v>
      </c>
      <c r="S592">
        <v>69.795000000000002</v>
      </c>
      <c r="T592">
        <v>4.3</v>
      </c>
    </row>
    <row r="593" spans="1:20" x14ac:dyDescent="0.55000000000000004">
      <c r="A593" t="s">
        <v>626</v>
      </c>
      <c r="B593" t="s">
        <v>24</v>
      </c>
      <c r="C593" t="s">
        <v>25</v>
      </c>
      <c r="D593" t="str">
        <f>"Br. "&amp;Data[[#This Row],[Branch]]&amp;" ("&amp;Data[[#This Row],[City]]&amp;")"</f>
        <v>Br. C (Naypyitaw)</v>
      </c>
      <c r="E593" t="s">
        <v>19</v>
      </c>
      <c r="F593" t="s">
        <v>20</v>
      </c>
      <c r="G593" t="s">
        <v>31</v>
      </c>
      <c r="H593">
        <v>24.24</v>
      </c>
      <c r="I593">
        <v>7</v>
      </c>
      <c r="J593">
        <v>8.484</v>
      </c>
      <c r="K593">
        <v>169.68</v>
      </c>
      <c r="L593" s="1">
        <v>44276</v>
      </c>
      <c r="M593" s="7">
        <f>DAY(Data[[#This Row],[Date]])</f>
        <v>21</v>
      </c>
      <c r="N593" s="7">
        <f>MONTH(Data[[#This Row],[Date]])</f>
        <v>3</v>
      </c>
      <c r="O593" s="7">
        <f>YEAR(Data[[#This Row],[Date]])</f>
        <v>2021</v>
      </c>
      <c r="P593" s="2">
        <v>0.73472222222222228</v>
      </c>
      <c r="Q593" t="s">
        <v>22</v>
      </c>
      <c r="R593">
        <v>118.776</v>
      </c>
      <c r="S593">
        <v>42.42</v>
      </c>
      <c r="T593">
        <v>9.4</v>
      </c>
    </row>
    <row r="594" spans="1:20" x14ac:dyDescent="0.55000000000000004">
      <c r="A594" t="s">
        <v>627</v>
      </c>
      <c r="B594" t="s">
        <v>17</v>
      </c>
      <c r="C594" t="s">
        <v>18</v>
      </c>
      <c r="D594" t="str">
        <f>"Br. "&amp;Data[[#This Row],[Branch]]&amp;" ("&amp;Data[[#This Row],[City]]&amp;")"</f>
        <v>Br. A (Yangon)</v>
      </c>
      <c r="E594" t="s">
        <v>19</v>
      </c>
      <c r="F594" t="s">
        <v>20</v>
      </c>
      <c r="G594" t="s">
        <v>35</v>
      </c>
      <c r="H594">
        <v>45.58</v>
      </c>
      <c r="I594">
        <v>1</v>
      </c>
      <c r="J594">
        <v>2.2789999999999999</v>
      </c>
      <c r="K594">
        <v>45.58</v>
      </c>
      <c r="L594" s="1">
        <v>44276</v>
      </c>
      <c r="M594" s="7">
        <f>DAY(Data[[#This Row],[Date]])</f>
        <v>21</v>
      </c>
      <c r="N594" s="7">
        <f>MONTH(Data[[#This Row],[Date]])</f>
        <v>3</v>
      </c>
      <c r="O594" s="7">
        <f>YEAR(Data[[#This Row],[Date]])</f>
        <v>2021</v>
      </c>
      <c r="P594" s="2">
        <v>0.59236111111111112</v>
      </c>
      <c r="Q594" t="s">
        <v>28</v>
      </c>
      <c r="R594">
        <v>31.905999999999999</v>
      </c>
      <c r="S594">
        <v>11.395</v>
      </c>
      <c r="T594">
        <v>9.8000000000000007</v>
      </c>
    </row>
    <row r="595" spans="1:20" x14ac:dyDescent="0.55000000000000004">
      <c r="A595" t="s">
        <v>628</v>
      </c>
      <c r="B595" t="s">
        <v>17</v>
      </c>
      <c r="C595" t="s">
        <v>18</v>
      </c>
      <c r="D595" t="str">
        <f>"Br. "&amp;Data[[#This Row],[Branch]]&amp;" ("&amp;Data[[#This Row],[City]]&amp;")"</f>
        <v>Br. A (Yangon)</v>
      </c>
      <c r="E595" t="s">
        <v>19</v>
      </c>
      <c r="F595" t="s">
        <v>20</v>
      </c>
      <c r="G595" t="s">
        <v>35</v>
      </c>
      <c r="H595">
        <v>75.2</v>
      </c>
      <c r="I595">
        <v>3</v>
      </c>
      <c r="J595">
        <v>11.28</v>
      </c>
      <c r="K595">
        <v>225.6</v>
      </c>
      <c r="L595" s="1">
        <v>44276</v>
      </c>
      <c r="M595" s="7">
        <f>DAY(Data[[#This Row],[Date]])</f>
        <v>21</v>
      </c>
      <c r="N595" s="7">
        <f>MONTH(Data[[#This Row],[Date]])</f>
        <v>3</v>
      </c>
      <c r="O595" s="7">
        <f>YEAR(Data[[#This Row],[Date]])</f>
        <v>2021</v>
      </c>
      <c r="P595" s="2">
        <v>0.49375000000000002</v>
      </c>
      <c r="Q595" t="s">
        <v>22</v>
      </c>
      <c r="R595">
        <v>157.91999999999999</v>
      </c>
      <c r="S595">
        <v>56.4</v>
      </c>
      <c r="T595">
        <v>4.8</v>
      </c>
    </row>
    <row r="596" spans="1:20" x14ac:dyDescent="0.55000000000000004">
      <c r="A596" t="s">
        <v>629</v>
      </c>
      <c r="B596" t="s">
        <v>41</v>
      </c>
      <c r="C596" t="s">
        <v>42</v>
      </c>
      <c r="D596" t="str">
        <f>"Br. "&amp;Data[[#This Row],[Branch]]&amp;" ("&amp;Data[[#This Row],[City]]&amp;")"</f>
        <v>Br. B (Mandalay)</v>
      </c>
      <c r="E596" t="s">
        <v>19</v>
      </c>
      <c r="F596" t="s">
        <v>30</v>
      </c>
      <c r="G596" t="s">
        <v>35</v>
      </c>
      <c r="H596">
        <v>96.8</v>
      </c>
      <c r="I596">
        <v>3</v>
      </c>
      <c r="J596">
        <v>14.52</v>
      </c>
      <c r="K596">
        <v>290.39999999999998</v>
      </c>
      <c r="L596" s="1">
        <v>44276</v>
      </c>
      <c r="M596" s="7">
        <f>DAY(Data[[#This Row],[Date]])</f>
        <v>21</v>
      </c>
      <c r="N596" s="7">
        <f>MONTH(Data[[#This Row],[Date]])</f>
        <v>3</v>
      </c>
      <c r="O596" s="7">
        <f>YEAR(Data[[#This Row],[Date]])</f>
        <v>2021</v>
      </c>
      <c r="P596" s="2">
        <v>0.54513888888888884</v>
      </c>
      <c r="Q596" t="s">
        <v>28</v>
      </c>
      <c r="R596">
        <v>203.28</v>
      </c>
      <c r="S596">
        <v>72.599999999999994</v>
      </c>
      <c r="T596">
        <v>5.3</v>
      </c>
    </row>
    <row r="597" spans="1:20" x14ac:dyDescent="0.55000000000000004">
      <c r="A597" t="s">
        <v>630</v>
      </c>
      <c r="B597" t="s">
        <v>41</v>
      </c>
      <c r="C597" t="s">
        <v>42</v>
      </c>
      <c r="D597" t="str">
        <f>"Br. "&amp;Data[[#This Row],[Branch]]&amp;" ("&amp;Data[[#This Row],[City]]&amp;")"</f>
        <v>Br. B (Mandalay)</v>
      </c>
      <c r="E597" t="s">
        <v>26</v>
      </c>
      <c r="F597" t="s">
        <v>30</v>
      </c>
      <c r="G597" t="s">
        <v>21</v>
      </c>
      <c r="H597">
        <v>14.82</v>
      </c>
      <c r="I597">
        <v>3</v>
      </c>
      <c r="J597">
        <v>2.2229999999999999</v>
      </c>
      <c r="K597">
        <v>44.46</v>
      </c>
      <c r="L597" s="1">
        <v>44276</v>
      </c>
      <c r="M597" s="7">
        <f>DAY(Data[[#This Row],[Date]])</f>
        <v>21</v>
      </c>
      <c r="N597" s="7">
        <f>MONTH(Data[[#This Row],[Date]])</f>
        <v>3</v>
      </c>
      <c r="O597" s="7">
        <f>YEAR(Data[[#This Row],[Date]])</f>
        <v>2021</v>
      </c>
      <c r="P597" s="2">
        <v>0.47916666666666669</v>
      </c>
      <c r="Q597" t="s">
        <v>32</v>
      </c>
      <c r="R597">
        <v>31.122</v>
      </c>
      <c r="S597">
        <v>11.115</v>
      </c>
      <c r="T597">
        <v>8.6999999999999993</v>
      </c>
    </row>
    <row r="598" spans="1:20" x14ac:dyDescent="0.55000000000000004">
      <c r="A598" t="s">
        <v>631</v>
      </c>
      <c r="B598" t="s">
        <v>17</v>
      </c>
      <c r="C598" t="s">
        <v>18</v>
      </c>
      <c r="D598" t="str">
        <f>"Br. "&amp;Data[[#This Row],[Branch]]&amp;" ("&amp;Data[[#This Row],[City]]&amp;")"</f>
        <v>Br. A (Yangon)</v>
      </c>
      <c r="E598" t="s">
        <v>26</v>
      </c>
      <c r="F598" t="s">
        <v>30</v>
      </c>
      <c r="G598" t="s">
        <v>43</v>
      </c>
      <c r="H598">
        <v>52.2</v>
      </c>
      <c r="I598">
        <v>3</v>
      </c>
      <c r="J598">
        <v>7.83</v>
      </c>
      <c r="K598">
        <v>156.6</v>
      </c>
      <c r="L598" s="1">
        <v>44276</v>
      </c>
      <c r="M598" s="7">
        <f>DAY(Data[[#This Row],[Date]])</f>
        <v>21</v>
      </c>
      <c r="N598" s="7">
        <f>MONTH(Data[[#This Row],[Date]])</f>
        <v>3</v>
      </c>
      <c r="O598" s="7">
        <f>YEAR(Data[[#This Row],[Date]])</f>
        <v>2021</v>
      </c>
      <c r="P598" s="2">
        <v>0.5625</v>
      </c>
      <c r="Q598" t="s">
        <v>32</v>
      </c>
      <c r="R598">
        <v>109.62</v>
      </c>
      <c r="S598">
        <v>39.15</v>
      </c>
      <c r="T598">
        <v>9.5</v>
      </c>
    </row>
    <row r="599" spans="1:20" x14ac:dyDescent="0.55000000000000004">
      <c r="A599" t="s">
        <v>632</v>
      </c>
      <c r="B599" t="s">
        <v>24</v>
      </c>
      <c r="C599" t="s">
        <v>25</v>
      </c>
      <c r="D599" t="str">
        <f>"Br. "&amp;Data[[#This Row],[Branch]]&amp;" ("&amp;Data[[#This Row],[City]]&amp;")"</f>
        <v>Br. C (Naypyitaw)</v>
      </c>
      <c r="E599" t="s">
        <v>26</v>
      </c>
      <c r="F599" t="s">
        <v>20</v>
      </c>
      <c r="G599" t="s">
        <v>35</v>
      </c>
      <c r="H599">
        <v>46.66</v>
      </c>
      <c r="I599">
        <v>9</v>
      </c>
      <c r="J599">
        <v>20.997</v>
      </c>
      <c r="K599">
        <v>419.94</v>
      </c>
      <c r="L599" s="1">
        <v>44276</v>
      </c>
      <c r="M599" s="7">
        <f>DAY(Data[[#This Row],[Date]])</f>
        <v>21</v>
      </c>
      <c r="N599" s="7">
        <f>MONTH(Data[[#This Row],[Date]])</f>
        <v>3</v>
      </c>
      <c r="O599" s="7">
        <f>YEAR(Data[[#This Row],[Date]])</f>
        <v>2021</v>
      </c>
      <c r="P599" s="2">
        <v>0.7993055555555556</v>
      </c>
      <c r="Q599" t="s">
        <v>22</v>
      </c>
      <c r="R599">
        <v>293.95800000000003</v>
      </c>
      <c r="S599">
        <v>104.985</v>
      </c>
      <c r="T599">
        <v>5.3</v>
      </c>
    </row>
    <row r="600" spans="1:20" x14ac:dyDescent="0.55000000000000004">
      <c r="A600" t="s">
        <v>633</v>
      </c>
      <c r="B600" t="s">
        <v>24</v>
      </c>
      <c r="C600" t="s">
        <v>25</v>
      </c>
      <c r="D600" t="str">
        <f>"Br. "&amp;Data[[#This Row],[Branch]]&amp;" ("&amp;Data[[#This Row],[City]]&amp;")"</f>
        <v>Br. C (Naypyitaw)</v>
      </c>
      <c r="E600" t="s">
        <v>26</v>
      </c>
      <c r="F600" t="s">
        <v>20</v>
      </c>
      <c r="G600" t="s">
        <v>45</v>
      </c>
      <c r="H600">
        <v>36.85</v>
      </c>
      <c r="I600">
        <v>5</v>
      </c>
      <c r="J600">
        <v>9.2125000000000004</v>
      </c>
      <c r="K600">
        <v>184.25</v>
      </c>
      <c r="L600" s="1">
        <v>44276</v>
      </c>
      <c r="M600" s="7">
        <f>DAY(Data[[#This Row],[Date]])</f>
        <v>21</v>
      </c>
      <c r="N600" s="7">
        <f>MONTH(Data[[#This Row],[Date]])</f>
        <v>3</v>
      </c>
      <c r="O600" s="7">
        <f>YEAR(Data[[#This Row],[Date]])</f>
        <v>2021</v>
      </c>
      <c r="P600" s="2">
        <v>0.78680555555555554</v>
      </c>
      <c r="Q600" t="s">
        <v>28</v>
      </c>
      <c r="R600">
        <v>128.97499999999999</v>
      </c>
      <c r="S600">
        <v>46.0625</v>
      </c>
      <c r="T600">
        <v>9.1999999999999993</v>
      </c>
    </row>
    <row r="601" spans="1:20" x14ac:dyDescent="0.55000000000000004">
      <c r="A601" t="s">
        <v>634</v>
      </c>
      <c r="B601" t="s">
        <v>17</v>
      </c>
      <c r="C601" t="s">
        <v>18</v>
      </c>
      <c r="D601" t="str">
        <f>"Br. "&amp;Data[[#This Row],[Branch]]&amp;" ("&amp;Data[[#This Row],[City]]&amp;")"</f>
        <v>Br. A (Yangon)</v>
      </c>
      <c r="E601" t="s">
        <v>19</v>
      </c>
      <c r="F601" t="s">
        <v>20</v>
      </c>
      <c r="G601" t="s">
        <v>31</v>
      </c>
      <c r="H601">
        <v>70.319999999999993</v>
      </c>
      <c r="I601">
        <v>2</v>
      </c>
      <c r="J601">
        <v>7.032</v>
      </c>
      <c r="K601">
        <v>140.63999999999999</v>
      </c>
      <c r="L601" s="1">
        <v>44276</v>
      </c>
      <c r="M601" s="7">
        <f>DAY(Data[[#This Row],[Date]])</f>
        <v>21</v>
      </c>
      <c r="N601" s="7">
        <f>MONTH(Data[[#This Row],[Date]])</f>
        <v>3</v>
      </c>
      <c r="O601" s="7">
        <f>YEAR(Data[[#This Row],[Date]])</f>
        <v>2021</v>
      </c>
      <c r="P601" s="2">
        <v>0.59861111111111109</v>
      </c>
      <c r="Q601" t="s">
        <v>22</v>
      </c>
      <c r="R601">
        <v>98.447999999999993</v>
      </c>
      <c r="S601">
        <v>35.159999999999997</v>
      </c>
      <c r="T601">
        <v>9.6</v>
      </c>
    </row>
    <row r="602" spans="1:20" x14ac:dyDescent="0.55000000000000004">
      <c r="A602" t="s">
        <v>635</v>
      </c>
      <c r="B602" t="s">
        <v>24</v>
      </c>
      <c r="C602" t="s">
        <v>25</v>
      </c>
      <c r="D602" t="str">
        <f>"Br. "&amp;Data[[#This Row],[Branch]]&amp;" ("&amp;Data[[#This Row],[City]]&amp;")"</f>
        <v>Br. C (Naypyitaw)</v>
      </c>
      <c r="E602" t="s">
        <v>26</v>
      </c>
      <c r="F602" t="s">
        <v>30</v>
      </c>
      <c r="G602" t="s">
        <v>27</v>
      </c>
      <c r="H602">
        <v>83.08</v>
      </c>
      <c r="I602">
        <v>1</v>
      </c>
      <c r="J602">
        <v>4.1539999999999999</v>
      </c>
      <c r="K602">
        <v>83.08</v>
      </c>
      <c r="L602" s="1">
        <v>44276</v>
      </c>
      <c r="M602" s="7">
        <f>DAY(Data[[#This Row],[Date]])</f>
        <v>21</v>
      </c>
      <c r="N602" s="7">
        <f>MONTH(Data[[#This Row],[Date]])</f>
        <v>3</v>
      </c>
      <c r="O602" s="7">
        <f>YEAR(Data[[#This Row],[Date]])</f>
        <v>2021</v>
      </c>
      <c r="P602" s="2">
        <v>0.71944444444444444</v>
      </c>
      <c r="Q602" t="s">
        <v>22</v>
      </c>
      <c r="R602">
        <v>58.155999999999999</v>
      </c>
      <c r="S602">
        <v>20.77</v>
      </c>
      <c r="T602">
        <v>6.4</v>
      </c>
    </row>
    <row r="603" spans="1:20" x14ac:dyDescent="0.55000000000000004">
      <c r="A603" t="s">
        <v>636</v>
      </c>
      <c r="B603" t="s">
        <v>24</v>
      </c>
      <c r="C603" t="s">
        <v>25</v>
      </c>
      <c r="D603" t="str">
        <f>"Br. "&amp;Data[[#This Row],[Branch]]&amp;" ("&amp;Data[[#This Row],[City]]&amp;")"</f>
        <v>Br. C (Naypyitaw)</v>
      </c>
      <c r="E603" t="s">
        <v>26</v>
      </c>
      <c r="F603" t="s">
        <v>20</v>
      </c>
      <c r="G603" t="s">
        <v>45</v>
      </c>
      <c r="H603">
        <v>64.989999999999995</v>
      </c>
      <c r="I603">
        <v>1</v>
      </c>
      <c r="J603">
        <v>3.2494999999999998</v>
      </c>
      <c r="K603">
        <v>64.989999999999995</v>
      </c>
      <c r="L603" s="1">
        <v>44276</v>
      </c>
      <c r="M603" s="7">
        <f>DAY(Data[[#This Row],[Date]])</f>
        <v>21</v>
      </c>
      <c r="N603" s="7">
        <f>MONTH(Data[[#This Row],[Date]])</f>
        <v>3</v>
      </c>
      <c r="O603" s="7">
        <f>YEAR(Data[[#This Row],[Date]])</f>
        <v>2021</v>
      </c>
      <c r="P603" s="2">
        <v>0.42083333333333334</v>
      </c>
      <c r="Q603" t="s">
        <v>32</v>
      </c>
      <c r="R603">
        <v>45.493000000000002</v>
      </c>
      <c r="S603">
        <v>16.247499999999999</v>
      </c>
      <c r="T603">
        <v>4.5</v>
      </c>
    </row>
    <row r="604" spans="1:20" x14ac:dyDescent="0.55000000000000004">
      <c r="A604" t="s">
        <v>637</v>
      </c>
      <c r="B604" t="s">
        <v>24</v>
      </c>
      <c r="C604" t="s">
        <v>25</v>
      </c>
      <c r="D604" t="str">
        <f>"Br. "&amp;Data[[#This Row],[Branch]]&amp;" ("&amp;Data[[#This Row],[City]]&amp;")"</f>
        <v>Br. C (Naypyitaw)</v>
      </c>
      <c r="E604" t="s">
        <v>26</v>
      </c>
      <c r="F604" t="s">
        <v>30</v>
      </c>
      <c r="G604" t="s">
        <v>43</v>
      </c>
      <c r="H604">
        <v>77.56</v>
      </c>
      <c r="I604">
        <v>10</v>
      </c>
      <c r="J604">
        <v>38.78</v>
      </c>
      <c r="K604">
        <v>775.6</v>
      </c>
      <c r="L604" s="1">
        <v>44276</v>
      </c>
      <c r="M604" s="7">
        <f>DAY(Data[[#This Row],[Date]])</f>
        <v>21</v>
      </c>
      <c r="N604" s="7">
        <f>MONTH(Data[[#This Row],[Date]])</f>
        <v>3</v>
      </c>
      <c r="O604" s="7">
        <f>YEAR(Data[[#This Row],[Date]])</f>
        <v>2021</v>
      </c>
      <c r="P604" s="2">
        <v>0.85763888888888884</v>
      </c>
      <c r="Q604" t="s">
        <v>22</v>
      </c>
      <c r="R604">
        <v>542.91999999999996</v>
      </c>
      <c r="S604">
        <v>193.9</v>
      </c>
      <c r="T604">
        <v>6.9</v>
      </c>
    </row>
    <row r="605" spans="1:20" x14ac:dyDescent="0.55000000000000004">
      <c r="A605" t="s">
        <v>638</v>
      </c>
      <c r="B605" t="s">
        <v>41</v>
      </c>
      <c r="C605" t="s">
        <v>42</v>
      </c>
      <c r="D605" t="str">
        <f>"Br. "&amp;Data[[#This Row],[Branch]]&amp;" ("&amp;Data[[#This Row],[City]]&amp;")"</f>
        <v>Br. B (Mandalay)</v>
      </c>
      <c r="E605" t="s">
        <v>26</v>
      </c>
      <c r="F605" t="s">
        <v>20</v>
      </c>
      <c r="G605" t="s">
        <v>35</v>
      </c>
      <c r="H605">
        <v>54.51</v>
      </c>
      <c r="I605">
        <v>6</v>
      </c>
      <c r="J605">
        <v>16.353000000000002</v>
      </c>
      <c r="K605">
        <v>327.06</v>
      </c>
      <c r="L605" s="1">
        <v>44276</v>
      </c>
      <c r="M605" s="7">
        <f>DAY(Data[[#This Row],[Date]])</f>
        <v>21</v>
      </c>
      <c r="N605" s="7">
        <f>MONTH(Data[[#This Row],[Date]])</f>
        <v>3</v>
      </c>
      <c r="O605" s="7">
        <f>YEAR(Data[[#This Row],[Date]])</f>
        <v>2021</v>
      </c>
      <c r="P605" s="2">
        <v>0.57916666666666672</v>
      </c>
      <c r="Q605" t="s">
        <v>22</v>
      </c>
      <c r="R605">
        <v>228.94200000000001</v>
      </c>
      <c r="S605">
        <v>81.765000000000001</v>
      </c>
      <c r="T605">
        <v>7.8</v>
      </c>
    </row>
    <row r="606" spans="1:20" x14ac:dyDescent="0.55000000000000004">
      <c r="A606" t="s">
        <v>639</v>
      </c>
      <c r="B606" t="s">
        <v>24</v>
      </c>
      <c r="C606" t="s">
        <v>25</v>
      </c>
      <c r="D606" t="str">
        <f>"Br. "&amp;Data[[#This Row],[Branch]]&amp;" ("&amp;Data[[#This Row],[City]]&amp;")"</f>
        <v>Br. C (Naypyitaw)</v>
      </c>
      <c r="E606" t="s">
        <v>19</v>
      </c>
      <c r="F606" t="s">
        <v>20</v>
      </c>
      <c r="G606" t="s">
        <v>45</v>
      </c>
      <c r="H606">
        <v>51.89</v>
      </c>
      <c r="I606">
        <v>7</v>
      </c>
      <c r="J606">
        <v>18.1615</v>
      </c>
      <c r="K606">
        <v>363.23</v>
      </c>
      <c r="L606" s="1">
        <v>44276</v>
      </c>
      <c r="M606" s="7">
        <f>DAY(Data[[#This Row],[Date]])</f>
        <v>21</v>
      </c>
      <c r="N606" s="7">
        <f>MONTH(Data[[#This Row],[Date]])</f>
        <v>3</v>
      </c>
      <c r="O606" s="7">
        <f>YEAR(Data[[#This Row],[Date]])</f>
        <v>2021</v>
      </c>
      <c r="P606" s="2">
        <v>0.83888888888888891</v>
      </c>
      <c r="Q606" t="s">
        <v>28</v>
      </c>
      <c r="R606">
        <v>254.261</v>
      </c>
      <c r="S606">
        <v>90.807500000000005</v>
      </c>
      <c r="T606">
        <v>4.5</v>
      </c>
    </row>
    <row r="607" spans="1:20" x14ac:dyDescent="0.55000000000000004">
      <c r="A607" t="s">
        <v>640</v>
      </c>
      <c r="B607" t="s">
        <v>41</v>
      </c>
      <c r="C607" t="s">
        <v>42</v>
      </c>
      <c r="D607" t="str">
        <f>"Br. "&amp;Data[[#This Row],[Branch]]&amp;" ("&amp;Data[[#This Row],[City]]&amp;")"</f>
        <v>Br. B (Mandalay)</v>
      </c>
      <c r="E607" t="s">
        <v>26</v>
      </c>
      <c r="F607" t="s">
        <v>30</v>
      </c>
      <c r="G607" t="s">
        <v>31</v>
      </c>
      <c r="H607">
        <v>31.75</v>
      </c>
      <c r="I607">
        <v>4</v>
      </c>
      <c r="J607">
        <v>6.35</v>
      </c>
      <c r="K607">
        <v>127</v>
      </c>
      <c r="L607" s="1">
        <v>44276</v>
      </c>
      <c r="M607" s="7">
        <f>DAY(Data[[#This Row],[Date]])</f>
        <v>21</v>
      </c>
      <c r="N607" s="7">
        <f>MONTH(Data[[#This Row],[Date]])</f>
        <v>3</v>
      </c>
      <c r="O607" s="7">
        <f>YEAR(Data[[#This Row],[Date]])</f>
        <v>2021</v>
      </c>
      <c r="P607" s="2">
        <v>0.6430555555555556</v>
      </c>
      <c r="Q607" t="s">
        <v>28</v>
      </c>
      <c r="R607">
        <v>88.9</v>
      </c>
      <c r="S607">
        <v>31.75</v>
      </c>
      <c r="T607">
        <v>8.6</v>
      </c>
    </row>
    <row r="608" spans="1:20" x14ac:dyDescent="0.55000000000000004">
      <c r="A608" t="s">
        <v>641</v>
      </c>
      <c r="B608" t="s">
        <v>17</v>
      </c>
      <c r="C608" t="s">
        <v>18</v>
      </c>
      <c r="D608" t="str">
        <f>"Br. "&amp;Data[[#This Row],[Branch]]&amp;" ("&amp;Data[[#This Row],[City]]&amp;")"</f>
        <v>Br. A (Yangon)</v>
      </c>
      <c r="E608" t="s">
        <v>19</v>
      </c>
      <c r="F608" t="s">
        <v>20</v>
      </c>
      <c r="G608" t="s">
        <v>45</v>
      </c>
      <c r="H608">
        <v>53.65</v>
      </c>
      <c r="I608">
        <v>7</v>
      </c>
      <c r="J608">
        <v>18.7775</v>
      </c>
      <c r="K608">
        <v>375.55</v>
      </c>
      <c r="L608" s="1">
        <v>44276</v>
      </c>
      <c r="M608" s="7">
        <f>DAY(Data[[#This Row],[Date]])</f>
        <v>21</v>
      </c>
      <c r="N608" s="7">
        <f>MONTH(Data[[#This Row],[Date]])</f>
        <v>3</v>
      </c>
      <c r="O608" s="7">
        <f>YEAR(Data[[#This Row],[Date]])</f>
        <v>2021</v>
      </c>
      <c r="P608" s="2">
        <v>0.53888888888888886</v>
      </c>
      <c r="Q608" t="s">
        <v>22</v>
      </c>
      <c r="R608">
        <v>262.88499999999999</v>
      </c>
      <c r="S608">
        <v>93.887500000000003</v>
      </c>
      <c r="T608">
        <v>5.2</v>
      </c>
    </row>
    <row r="609" spans="1:20" x14ac:dyDescent="0.55000000000000004">
      <c r="A609" t="s">
        <v>642</v>
      </c>
      <c r="B609" t="s">
        <v>24</v>
      </c>
      <c r="C609" t="s">
        <v>25</v>
      </c>
      <c r="D609" t="str">
        <f>"Br. "&amp;Data[[#This Row],[Branch]]&amp;" ("&amp;Data[[#This Row],[City]]&amp;")"</f>
        <v>Br. C (Naypyitaw)</v>
      </c>
      <c r="E609" t="s">
        <v>19</v>
      </c>
      <c r="F609" t="s">
        <v>20</v>
      </c>
      <c r="G609" t="s">
        <v>43</v>
      </c>
      <c r="H609">
        <v>49.79</v>
      </c>
      <c r="I609">
        <v>4</v>
      </c>
      <c r="J609">
        <v>9.9580000000000002</v>
      </c>
      <c r="K609">
        <v>199.16</v>
      </c>
      <c r="L609" s="1">
        <v>44276</v>
      </c>
      <c r="M609" s="7">
        <f>DAY(Data[[#This Row],[Date]])</f>
        <v>21</v>
      </c>
      <c r="N609" s="7">
        <f>MONTH(Data[[#This Row],[Date]])</f>
        <v>3</v>
      </c>
      <c r="O609" s="7">
        <f>YEAR(Data[[#This Row],[Date]])</f>
        <v>2021</v>
      </c>
      <c r="P609" s="2">
        <v>0.80277777777777781</v>
      </c>
      <c r="Q609" t="s">
        <v>32</v>
      </c>
      <c r="R609">
        <v>139.41200000000001</v>
      </c>
      <c r="S609">
        <v>49.79</v>
      </c>
      <c r="T609">
        <v>6.4</v>
      </c>
    </row>
    <row r="610" spans="1:20" x14ac:dyDescent="0.55000000000000004">
      <c r="A610" t="s">
        <v>643</v>
      </c>
      <c r="B610" t="s">
        <v>17</v>
      </c>
      <c r="C610" t="s">
        <v>18</v>
      </c>
      <c r="D610" t="str">
        <f>"Br. "&amp;Data[[#This Row],[Branch]]&amp;" ("&amp;Data[[#This Row],[City]]&amp;")"</f>
        <v>Br. A (Yangon)</v>
      </c>
      <c r="E610" t="s">
        <v>26</v>
      </c>
      <c r="F610" t="s">
        <v>30</v>
      </c>
      <c r="G610" t="s">
        <v>45</v>
      </c>
      <c r="H610">
        <v>30.61</v>
      </c>
      <c r="I610">
        <v>1</v>
      </c>
      <c r="J610">
        <v>1.5305</v>
      </c>
      <c r="K610">
        <v>30.61</v>
      </c>
      <c r="L610" s="1">
        <v>44276</v>
      </c>
      <c r="M610" s="7">
        <f>DAY(Data[[#This Row],[Date]])</f>
        <v>21</v>
      </c>
      <c r="N610" s="7">
        <f>MONTH(Data[[#This Row],[Date]])</f>
        <v>3</v>
      </c>
      <c r="O610" s="7">
        <f>YEAR(Data[[#This Row],[Date]])</f>
        <v>2021</v>
      </c>
      <c r="P610" s="2">
        <v>0.51388888888888884</v>
      </c>
      <c r="Q610" t="s">
        <v>22</v>
      </c>
      <c r="R610">
        <v>21.427</v>
      </c>
      <c r="S610">
        <v>7.6524999999999999</v>
      </c>
      <c r="T610">
        <v>5.2</v>
      </c>
    </row>
    <row r="611" spans="1:20" x14ac:dyDescent="0.55000000000000004">
      <c r="A611" t="s">
        <v>644</v>
      </c>
      <c r="B611" t="s">
        <v>41</v>
      </c>
      <c r="C611" t="s">
        <v>42</v>
      </c>
      <c r="D611" t="str">
        <f>"Br. "&amp;Data[[#This Row],[Branch]]&amp;" ("&amp;Data[[#This Row],[City]]&amp;")"</f>
        <v>Br. B (Mandalay)</v>
      </c>
      <c r="E611" t="s">
        <v>19</v>
      </c>
      <c r="F611" t="s">
        <v>30</v>
      </c>
      <c r="G611" t="s">
        <v>43</v>
      </c>
      <c r="H611">
        <v>57.89</v>
      </c>
      <c r="I611">
        <v>2</v>
      </c>
      <c r="J611">
        <v>5.7889999999999997</v>
      </c>
      <c r="K611">
        <v>115.78</v>
      </c>
      <c r="L611" s="1">
        <v>44276</v>
      </c>
      <c r="M611" s="7">
        <f>DAY(Data[[#This Row],[Date]])</f>
        <v>21</v>
      </c>
      <c r="N611" s="7">
        <f>MONTH(Data[[#This Row],[Date]])</f>
        <v>3</v>
      </c>
      <c r="O611" s="7">
        <f>YEAR(Data[[#This Row],[Date]])</f>
        <v>2021</v>
      </c>
      <c r="P611" s="2">
        <v>0.44236111111111109</v>
      </c>
      <c r="Q611" t="s">
        <v>22</v>
      </c>
      <c r="R611">
        <v>81.046000000000006</v>
      </c>
      <c r="S611">
        <v>28.945</v>
      </c>
      <c r="T611">
        <v>8.9</v>
      </c>
    </row>
    <row r="612" spans="1:20" x14ac:dyDescent="0.55000000000000004">
      <c r="A612" t="s">
        <v>645</v>
      </c>
      <c r="B612" t="s">
        <v>17</v>
      </c>
      <c r="C612" t="s">
        <v>18</v>
      </c>
      <c r="D612" t="str">
        <f>"Br. "&amp;Data[[#This Row],[Branch]]&amp;" ("&amp;Data[[#This Row],[City]]&amp;")"</f>
        <v>Br. A (Yangon)</v>
      </c>
      <c r="E612" t="s">
        <v>26</v>
      </c>
      <c r="F612" t="s">
        <v>20</v>
      </c>
      <c r="G612" t="s">
        <v>27</v>
      </c>
      <c r="H612">
        <v>28.96</v>
      </c>
      <c r="I612">
        <v>1</v>
      </c>
      <c r="J612">
        <v>1.448</v>
      </c>
      <c r="K612">
        <v>28.96</v>
      </c>
      <c r="L612" s="1">
        <v>44276</v>
      </c>
      <c r="M612" s="7">
        <f>DAY(Data[[#This Row],[Date]])</f>
        <v>21</v>
      </c>
      <c r="N612" s="7">
        <f>MONTH(Data[[#This Row],[Date]])</f>
        <v>3</v>
      </c>
      <c r="O612" s="7">
        <f>YEAR(Data[[#This Row],[Date]])</f>
        <v>2021</v>
      </c>
      <c r="P612" s="2">
        <v>0.42916666666666664</v>
      </c>
      <c r="Q612" t="s">
        <v>32</v>
      </c>
      <c r="R612">
        <v>20.271999999999998</v>
      </c>
      <c r="S612">
        <v>7.24</v>
      </c>
      <c r="T612">
        <v>6.2</v>
      </c>
    </row>
    <row r="613" spans="1:20" x14ac:dyDescent="0.55000000000000004">
      <c r="A613" t="s">
        <v>646</v>
      </c>
      <c r="B613" t="s">
        <v>24</v>
      </c>
      <c r="C613" t="s">
        <v>25</v>
      </c>
      <c r="D613" t="str">
        <f>"Br. "&amp;Data[[#This Row],[Branch]]&amp;" ("&amp;Data[[#This Row],[City]]&amp;")"</f>
        <v>Br. C (Naypyitaw)</v>
      </c>
      <c r="E613" t="s">
        <v>19</v>
      </c>
      <c r="F613" t="s">
        <v>20</v>
      </c>
      <c r="G613" t="s">
        <v>43</v>
      </c>
      <c r="H613">
        <v>98.97</v>
      </c>
      <c r="I613">
        <v>9</v>
      </c>
      <c r="J613">
        <v>44.536499999999997</v>
      </c>
      <c r="K613">
        <v>890.73</v>
      </c>
      <c r="L613" s="1">
        <v>44276</v>
      </c>
      <c r="M613" s="7">
        <f>DAY(Data[[#This Row],[Date]])</f>
        <v>21</v>
      </c>
      <c r="N613" s="7">
        <f>MONTH(Data[[#This Row],[Date]])</f>
        <v>3</v>
      </c>
      <c r="O613" s="7">
        <f>YEAR(Data[[#This Row],[Date]])</f>
        <v>2021</v>
      </c>
      <c r="P613" s="2">
        <v>0.47430555555555554</v>
      </c>
      <c r="Q613" t="s">
        <v>28</v>
      </c>
      <c r="R613">
        <v>623.51099999999997</v>
      </c>
      <c r="S613">
        <v>222.6825</v>
      </c>
      <c r="T613">
        <v>6.7</v>
      </c>
    </row>
    <row r="614" spans="1:20" x14ac:dyDescent="0.55000000000000004">
      <c r="A614" t="s">
        <v>647</v>
      </c>
      <c r="B614" t="s">
        <v>41</v>
      </c>
      <c r="C614" t="s">
        <v>42</v>
      </c>
      <c r="D614" t="str">
        <f>"Br. "&amp;Data[[#This Row],[Branch]]&amp;" ("&amp;Data[[#This Row],[City]]&amp;")"</f>
        <v>Br. B (Mandalay)</v>
      </c>
      <c r="E614" t="s">
        <v>19</v>
      </c>
      <c r="F614" t="s">
        <v>30</v>
      </c>
      <c r="G614" t="s">
        <v>45</v>
      </c>
      <c r="H614">
        <v>93.22</v>
      </c>
      <c r="I614">
        <v>3</v>
      </c>
      <c r="J614">
        <v>13.983000000000001</v>
      </c>
      <c r="K614">
        <v>279.66000000000003</v>
      </c>
      <c r="L614" s="1">
        <v>44276</v>
      </c>
      <c r="M614" s="7">
        <f>DAY(Data[[#This Row],[Date]])</f>
        <v>21</v>
      </c>
      <c r="N614" s="7">
        <f>MONTH(Data[[#This Row],[Date]])</f>
        <v>3</v>
      </c>
      <c r="O614" s="7">
        <f>YEAR(Data[[#This Row],[Date]])</f>
        <v>2021</v>
      </c>
      <c r="P614" s="2">
        <v>0.48958333333333331</v>
      </c>
      <c r="Q614" t="s">
        <v>28</v>
      </c>
      <c r="R614">
        <v>195.762</v>
      </c>
      <c r="S614">
        <v>69.915000000000006</v>
      </c>
      <c r="T614">
        <v>7.2</v>
      </c>
    </row>
    <row r="615" spans="1:20" x14ac:dyDescent="0.55000000000000004">
      <c r="A615" t="s">
        <v>648</v>
      </c>
      <c r="B615" t="s">
        <v>24</v>
      </c>
      <c r="C615" t="s">
        <v>25</v>
      </c>
      <c r="D615" t="str">
        <f>"Br. "&amp;Data[[#This Row],[Branch]]&amp;" ("&amp;Data[[#This Row],[City]]&amp;")"</f>
        <v>Br. C (Naypyitaw)</v>
      </c>
      <c r="E615" t="s">
        <v>19</v>
      </c>
      <c r="F615" t="s">
        <v>30</v>
      </c>
      <c r="G615" t="s">
        <v>35</v>
      </c>
      <c r="H615">
        <v>80.930000000000007</v>
      </c>
      <c r="I615">
        <v>1</v>
      </c>
      <c r="J615">
        <v>4.0465</v>
      </c>
      <c r="K615">
        <v>80.930000000000007</v>
      </c>
      <c r="L615" s="1">
        <v>44276</v>
      </c>
      <c r="M615" s="7">
        <f>DAY(Data[[#This Row],[Date]])</f>
        <v>21</v>
      </c>
      <c r="N615" s="7">
        <f>MONTH(Data[[#This Row],[Date]])</f>
        <v>3</v>
      </c>
      <c r="O615" s="7">
        <f>YEAR(Data[[#This Row],[Date]])</f>
        <v>2021</v>
      </c>
      <c r="P615" s="2">
        <v>0.67222222222222228</v>
      </c>
      <c r="Q615" t="s">
        <v>32</v>
      </c>
      <c r="R615">
        <v>56.651000000000003</v>
      </c>
      <c r="S615">
        <v>20.232500000000002</v>
      </c>
      <c r="T615">
        <v>9</v>
      </c>
    </row>
    <row r="616" spans="1:20" x14ac:dyDescent="0.55000000000000004">
      <c r="A616" t="s">
        <v>649</v>
      </c>
      <c r="B616" t="s">
        <v>17</v>
      </c>
      <c r="C616" t="s">
        <v>18</v>
      </c>
      <c r="D616" t="str">
        <f>"Br. "&amp;Data[[#This Row],[Branch]]&amp;" ("&amp;Data[[#This Row],[City]]&amp;")"</f>
        <v>Br. A (Yangon)</v>
      </c>
      <c r="E616" t="s">
        <v>19</v>
      </c>
      <c r="F616" t="s">
        <v>30</v>
      </c>
      <c r="G616" t="s">
        <v>43</v>
      </c>
      <c r="H616">
        <v>67.45</v>
      </c>
      <c r="I616">
        <v>10</v>
      </c>
      <c r="J616">
        <v>33.725000000000001</v>
      </c>
      <c r="K616">
        <v>674.5</v>
      </c>
      <c r="L616" s="1">
        <v>44726</v>
      </c>
      <c r="M616" s="7">
        <f>DAY(Data[[#This Row],[Date]])</f>
        <v>14</v>
      </c>
      <c r="N616" s="7">
        <f>MONTH(Data[[#This Row],[Date]])</f>
        <v>6</v>
      </c>
      <c r="O616" s="7">
        <f>YEAR(Data[[#This Row],[Date]])</f>
        <v>2022</v>
      </c>
      <c r="P616" s="2">
        <v>0.47569444444444442</v>
      </c>
      <c r="Q616" t="s">
        <v>22</v>
      </c>
      <c r="R616">
        <v>472.15</v>
      </c>
      <c r="S616">
        <v>168.625</v>
      </c>
      <c r="T616">
        <v>4.2</v>
      </c>
    </row>
    <row r="617" spans="1:20" x14ac:dyDescent="0.55000000000000004">
      <c r="A617" t="s">
        <v>650</v>
      </c>
      <c r="B617" t="s">
        <v>17</v>
      </c>
      <c r="C617" t="s">
        <v>18</v>
      </c>
      <c r="D617" t="str">
        <f>"Br. "&amp;Data[[#This Row],[Branch]]&amp;" ("&amp;Data[[#This Row],[City]]&amp;")"</f>
        <v>Br. A (Yangon)</v>
      </c>
      <c r="E617" t="s">
        <v>19</v>
      </c>
      <c r="F617" t="s">
        <v>20</v>
      </c>
      <c r="G617" t="s">
        <v>35</v>
      </c>
      <c r="H617">
        <v>38.72</v>
      </c>
      <c r="I617">
        <v>9</v>
      </c>
      <c r="J617">
        <v>17.423999999999999</v>
      </c>
      <c r="K617">
        <v>348.48</v>
      </c>
      <c r="L617" s="1">
        <v>44726</v>
      </c>
      <c r="M617" s="7">
        <f>DAY(Data[[#This Row],[Date]])</f>
        <v>14</v>
      </c>
      <c r="N617" s="7">
        <f>MONTH(Data[[#This Row],[Date]])</f>
        <v>6</v>
      </c>
      <c r="O617" s="7">
        <f>YEAR(Data[[#This Row],[Date]])</f>
        <v>2022</v>
      </c>
      <c r="P617" s="2">
        <v>0.51666666666666672</v>
      </c>
      <c r="Q617" t="s">
        <v>22</v>
      </c>
      <c r="R617">
        <v>243.93600000000001</v>
      </c>
      <c r="S617">
        <v>87.12</v>
      </c>
      <c r="T617">
        <v>4.2</v>
      </c>
    </row>
    <row r="618" spans="1:20" x14ac:dyDescent="0.55000000000000004">
      <c r="A618" t="s">
        <v>651</v>
      </c>
      <c r="B618" t="s">
        <v>41</v>
      </c>
      <c r="C618" t="s">
        <v>42</v>
      </c>
      <c r="D618" t="str">
        <f>"Br. "&amp;Data[[#This Row],[Branch]]&amp;" ("&amp;Data[[#This Row],[City]]&amp;")"</f>
        <v>Br. B (Mandalay)</v>
      </c>
      <c r="E618" t="s">
        <v>19</v>
      </c>
      <c r="F618" t="s">
        <v>30</v>
      </c>
      <c r="G618" t="s">
        <v>35</v>
      </c>
      <c r="H618">
        <v>72.599999999999994</v>
      </c>
      <c r="I618">
        <v>6</v>
      </c>
      <c r="J618">
        <v>21.78</v>
      </c>
      <c r="K618">
        <v>435.6</v>
      </c>
      <c r="L618" s="1">
        <v>44726</v>
      </c>
      <c r="M618" s="7">
        <f>DAY(Data[[#This Row],[Date]])</f>
        <v>14</v>
      </c>
      <c r="N618" s="7">
        <f>MONTH(Data[[#This Row],[Date]])</f>
        <v>6</v>
      </c>
      <c r="O618" s="7">
        <f>YEAR(Data[[#This Row],[Date]])</f>
        <v>2022</v>
      </c>
      <c r="P618" s="2">
        <v>0.82708333333333328</v>
      </c>
      <c r="Q618" t="s">
        <v>28</v>
      </c>
      <c r="R618">
        <v>304.92</v>
      </c>
      <c r="S618">
        <v>108.9</v>
      </c>
      <c r="T618">
        <v>6.9</v>
      </c>
    </row>
    <row r="619" spans="1:20" x14ac:dyDescent="0.55000000000000004">
      <c r="A619" t="s">
        <v>652</v>
      </c>
      <c r="B619" t="s">
        <v>24</v>
      </c>
      <c r="C619" t="s">
        <v>25</v>
      </c>
      <c r="D619" t="str">
        <f>"Br. "&amp;Data[[#This Row],[Branch]]&amp;" ("&amp;Data[[#This Row],[City]]&amp;")"</f>
        <v>Br. C (Naypyitaw)</v>
      </c>
      <c r="E619" t="s">
        <v>19</v>
      </c>
      <c r="F619" t="s">
        <v>30</v>
      </c>
      <c r="G619" t="s">
        <v>27</v>
      </c>
      <c r="H619">
        <v>87.91</v>
      </c>
      <c r="I619">
        <v>5</v>
      </c>
      <c r="J619">
        <v>21.977499999999999</v>
      </c>
      <c r="K619">
        <v>439.55</v>
      </c>
      <c r="L619" s="1">
        <v>44726</v>
      </c>
      <c r="M619" s="7">
        <f>DAY(Data[[#This Row],[Date]])</f>
        <v>14</v>
      </c>
      <c r="N619" s="7">
        <f>MONTH(Data[[#This Row],[Date]])</f>
        <v>6</v>
      </c>
      <c r="O619" s="7">
        <f>YEAR(Data[[#This Row],[Date]])</f>
        <v>2022</v>
      </c>
      <c r="P619" s="2">
        <v>0.75694444444444442</v>
      </c>
      <c r="Q619" t="s">
        <v>22</v>
      </c>
      <c r="R619">
        <v>307.685</v>
      </c>
      <c r="S619">
        <v>109.8875</v>
      </c>
      <c r="T619">
        <v>4.4000000000000004</v>
      </c>
    </row>
    <row r="620" spans="1:20" x14ac:dyDescent="0.55000000000000004">
      <c r="A620" t="s">
        <v>653</v>
      </c>
      <c r="B620" t="s">
        <v>17</v>
      </c>
      <c r="C620" t="s">
        <v>18</v>
      </c>
      <c r="D620" t="str">
        <f>"Br. "&amp;Data[[#This Row],[Branch]]&amp;" ("&amp;Data[[#This Row],[City]]&amp;")"</f>
        <v>Br. A (Yangon)</v>
      </c>
      <c r="E620" t="s">
        <v>19</v>
      </c>
      <c r="F620" t="s">
        <v>30</v>
      </c>
      <c r="G620" t="s">
        <v>43</v>
      </c>
      <c r="H620">
        <v>98.53</v>
      </c>
      <c r="I620">
        <v>6</v>
      </c>
      <c r="J620">
        <v>29.559000000000001</v>
      </c>
      <c r="K620">
        <v>591.17999999999995</v>
      </c>
      <c r="L620" s="1">
        <v>44726</v>
      </c>
      <c r="M620" s="7">
        <f>DAY(Data[[#This Row],[Date]])</f>
        <v>14</v>
      </c>
      <c r="N620" s="7">
        <f>MONTH(Data[[#This Row],[Date]])</f>
        <v>6</v>
      </c>
      <c r="O620" s="7">
        <f>YEAR(Data[[#This Row],[Date]])</f>
        <v>2022</v>
      </c>
      <c r="P620" s="2">
        <v>0.47361111111111109</v>
      </c>
      <c r="Q620" t="s">
        <v>32</v>
      </c>
      <c r="R620">
        <v>413.82600000000002</v>
      </c>
      <c r="S620">
        <v>147.79499999999999</v>
      </c>
      <c r="T620">
        <v>4</v>
      </c>
    </row>
    <row r="621" spans="1:20" x14ac:dyDescent="0.55000000000000004">
      <c r="A621" t="s">
        <v>654</v>
      </c>
      <c r="B621" t="s">
        <v>24</v>
      </c>
      <c r="C621" t="s">
        <v>25</v>
      </c>
      <c r="D621" t="str">
        <f>"Br. "&amp;Data[[#This Row],[Branch]]&amp;" ("&amp;Data[[#This Row],[City]]&amp;")"</f>
        <v>Br. C (Naypyitaw)</v>
      </c>
      <c r="E621" t="s">
        <v>19</v>
      </c>
      <c r="F621" t="s">
        <v>20</v>
      </c>
      <c r="G621" t="s">
        <v>45</v>
      </c>
      <c r="H621">
        <v>43.46</v>
      </c>
      <c r="I621">
        <v>6</v>
      </c>
      <c r="J621">
        <v>13.038</v>
      </c>
      <c r="K621">
        <v>260.76</v>
      </c>
      <c r="L621" s="1">
        <v>44726</v>
      </c>
      <c r="M621" s="7">
        <f>DAY(Data[[#This Row],[Date]])</f>
        <v>14</v>
      </c>
      <c r="N621" s="7">
        <f>MONTH(Data[[#This Row],[Date]])</f>
        <v>6</v>
      </c>
      <c r="O621" s="7">
        <f>YEAR(Data[[#This Row],[Date]])</f>
        <v>2022</v>
      </c>
      <c r="P621" s="2">
        <v>0.74652777777777779</v>
      </c>
      <c r="Q621" t="s">
        <v>22</v>
      </c>
      <c r="R621">
        <v>182.53200000000001</v>
      </c>
      <c r="S621">
        <v>65.19</v>
      </c>
      <c r="T621">
        <v>8.5</v>
      </c>
    </row>
    <row r="622" spans="1:20" x14ac:dyDescent="0.55000000000000004">
      <c r="A622" t="s">
        <v>655</v>
      </c>
      <c r="B622" t="s">
        <v>17</v>
      </c>
      <c r="C622" t="s">
        <v>18</v>
      </c>
      <c r="D622" t="str">
        <f>"Br. "&amp;Data[[#This Row],[Branch]]&amp;" ("&amp;Data[[#This Row],[City]]&amp;")"</f>
        <v>Br. A (Yangon)</v>
      </c>
      <c r="E622" t="s">
        <v>26</v>
      </c>
      <c r="F622" t="s">
        <v>20</v>
      </c>
      <c r="G622" t="s">
        <v>43</v>
      </c>
      <c r="H622">
        <v>71.680000000000007</v>
      </c>
      <c r="I622">
        <v>3</v>
      </c>
      <c r="J622">
        <v>10.752000000000001</v>
      </c>
      <c r="K622">
        <v>215.04</v>
      </c>
      <c r="L622" s="1">
        <v>44726</v>
      </c>
      <c r="M622" s="7">
        <f>DAY(Data[[#This Row],[Date]])</f>
        <v>14</v>
      </c>
      <c r="N622" s="7">
        <f>MONTH(Data[[#This Row],[Date]])</f>
        <v>6</v>
      </c>
      <c r="O622" s="7">
        <f>YEAR(Data[[#This Row],[Date]])</f>
        <v>2022</v>
      </c>
      <c r="P622" s="2">
        <v>0.64583333333333337</v>
      </c>
      <c r="Q622" t="s">
        <v>32</v>
      </c>
      <c r="R622">
        <v>150.52799999999999</v>
      </c>
      <c r="S622">
        <v>53.76</v>
      </c>
      <c r="T622">
        <v>9.1999999999999993</v>
      </c>
    </row>
    <row r="623" spans="1:20" x14ac:dyDescent="0.55000000000000004">
      <c r="A623" t="s">
        <v>656</v>
      </c>
      <c r="B623" t="s">
        <v>17</v>
      </c>
      <c r="C623" t="s">
        <v>18</v>
      </c>
      <c r="D623" t="str">
        <f>"Br. "&amp;Data[[#This Row],[Branch]]&amp;" ("&amp;Data[[#This Row],[City]]&amp;")"</f>
        <v>Br. A (Yangon)</v>
      </c>
      <c r="E623" t="s">
        <v>19</v>
      </c>
      <c r="F623" t="s">
        <v>20</v>
      </c>
      <c r="G623" t="s">
        <v>43</v>
      </c>
      <c r="H623">
        <v>91.61</v>
      </c>
      <c r="I623">
        <v>1</v>
      </c>
      <c r="J623">
        <v>4.5804999999999998</v>
      </c>
      <c r="K623">
        <v>91.61</v>
      </c>
      <c r="L623" s="1">
        <v>44726</v>
      </c>
      <c r="M623" s="7">
        <f>DAY(Data[[#This Row],[Date]])</f>
        <v>14</v>
      </c>
      <c r="N623" s="7">
        <f>MONTH(Data[[#This Row],[Date]])</f>
        <v>6</v>
      </c>
      <c r="O623" s="7">
        <f>YEAR(Data[[#This Row],[Date]])</f>
        <v>2022</v>
      </c>
      <c r="P623" s="2">
        <v>0.82222222222222219</v>
      </c>
      <c r="Q623" t="s">
        <v>28</v>
      </c>
      <c r="R623">
        <v>64.126999999999995</v>
      </c>
      <c r="S623">
        <v>22.9025</v>
      </c>
      <c r="T623">
        <v>9.8000000000000007</v>
      </c>
    </row>
    <row r="624" spans="1:20" x14ac:dyDescent="0.55000000000000004">
      <c r="A624" t="s">
        <v>657</v>
      </c>
      <c r="B624" t="s">
        <v>41</v>
      </c>
      <c r="C624" t="s">
        <v>42</v>
      </c>
      <c r="D624" t="str">
        <f>"Br. "&amp;Data[[#This Row],[Branch]]&amp;" ("&amp;Data[[#This Row],[City]]&amp;")"</f>
        <v>Br. B (Mandalay)</v>
      </c>
      <c r="E624" t="s">
        <v>19</v>
      </c>
      <c r="F624" t="s">
        <v>20</v>
      </c>
      <c r="G624" t="s">
        <v>31</v>
      </c>
      <c r="H624">
        <v>94.59</v>
      </c>
      <c r="I624">
        <v>7</v>
      </c>
      <c r="J624">
        <v>33.106499999999997</v>
      </c>
      <c r="K624">
        <v>662.13</v>
      </c>
      <c r="L624" s="1">
        <v>44726</v>
      </c>
      <c r="M624" s="7">
        <f>DAY(Data[[#This Row],[Date]])</f>
        <v>14</v>
      </c>
      <c r="N624" s="7">
        <f>MONTH(Data[[#This Row],[Date]])</f>
        <v>6</v>
      </c>
      <c r="O624" s="7">
        <f>YEAR(Data[[#This Row],[Date]])</f>
        <v>2022</v>
      </c>
      <c r="P624" s="2">
        <v>0.64375000000000004</v>
      </c>
      <c r="Q624" t="s">
        <v>32</v>
      </c>
      <c r="R624">
        <v>463.49099999999999</v>
      </c>
      <c r="S624">
        <v>165.5325</v>
      </c>
      <c r="T624">
        <v>4.9000000000000004</v>
      </c>
    </row>
    <row r="625" spans="1:20" x14ac:dyDescent="0.55000000000000004">
      <c r="A625" t="s">
        <v>658</v>
      </c>
      <c r="B625" t="s">
        <v>41</v>
      </c>
      <c r="C625" t="s">
        <v>42</v>
      </c>
      <c r="D625" t="str">
        <f>"Br. "&amp;Data[[#This Row],[Branch]]&amp;" ("&amp;Data[[#This Row],[City]]&amp;")"</f>
        <v>Br. B (Mandalay)</v>
      </c>
      <c r="E625" t="s">
        <v>26</v>
      </c>
      <c r="F625" t="s">
        <v>20</v>
      </c>
      <c r="G625" t="s">
        <v>45</v>
      </c>
      <c r="H625">
        <v>83.25</v>
      </c>
      <c r="I625">
        <v>10</v>
      </c>
      <c r="J625">
        <v>41.625</v>
      </c>
      <c r="K625">
        <v>832.5</v>
      </c>
      <c r="L625" s="1">
        <v>44726</v>
      </c>
      <c r="M625" s="7">
        <f>DAY(Data[[#This Row],[Date]])</f>
        <v>14</v>
      </c>
      <c r="N625" s="7">
        <f>MONTH(Data[[#This Row],[Date]])</f>
        <v>6</v>
      </c>
      <c r="O625" s="7">
        <f>YEAR(Data[[#This Row],[Date]])</f>
        <v>2022</v>
      </c>
      <c r="P625" s="2">
        <v>0.47569444444444442</v>
      </c>
      <c r="Q625" t="s">
        <v>32</v>
      </c>
      <c r="R625">
        <v>582.75</v>
      </c>
      <c r="S625">
        <v>208.125</v>
      </c>
      <c r="T625">
        <v>4.4000000000000004</v>
      </c>
    </row>
    <row r="626" spans="1:20" x14ac:dyDescent="0.55000000000000004">
      <c r="A626" t="s">
        <v>659</v>
      </c>
      <c r="B626" t="s">
        <v>41</v>
      </c>
      <c r="C626" t="s">
        <v>42</v>
      </c>
      <c r="D626" t="str">
        <f>"Br. "&amp;Data[[#This Row],[Branch]]&amp;" ("&amp;Data[[#This Row],[City]]&amp;")"</f>
        <v>Br. B (Mandalay)</v>
      </c>
      <c r="E626" t="s">
        <v>19</v>
      </c>
      <c r="F626" t="s">
        <v>30</v>
      </c>
      <c r="G626" t="s">
        <v>45</v>
      </c>
      <c r="H626">
        <v>91.35</v>
      </c>
      <c r="I626">
        <v>1</v>
      </c>
      <c r="J626">
        <v>4.5674999999999999</v>
      </c>
      <c r="K626">
        <v>91.35</v>
      </c>
      <c r="L626" s="1">
        <v>44726</v>
      </c>
      <c r="M626" s="7">
        <f>DAY(Data[[#This Row],[Date]])</f>
        <v>14</v>
      </c>
      <c r="N626" s="7">
        <f>MONTH(Data[[#This Row],[Date]])</f>
        <v>6</v>
      </c>
      <c r="O626" s="7">
        <f>YEAR(Data[[#This Row],[Date]])</f>
        <v>2022</v>
      </c>
      <c r="P626" s="2">
        <v>0.65416666666666667</v>
      </c>
      <c r="Q626" t="s">
        <v>28</v>
      </c>
      <c r="R626">
        <v>63.945</v>
      </c>
      <c r="S626">
        <v>22.837499999999999</v>
      </c>
      <c r="T626">
        <v>6.8</v>
      </c>
    </row>
    <row r="627" spans="1:20" x14ac:dyDescent="0.55000000000000004">
      <c r="A627" t="s">
        <v>660</v>
      </c>
      <c r="B627" t="s">
        <v>41</v>
      </c>
      <c r="C627" t="s">
        <v>42</v>
      </c>
      <c r="D627" t="str">
        <f>"Br. "&amp;Data[[#This Row],[Branch]]&amp;" ("&amp;Data[[#This Row],[City]]&amp;")"</f>
        <v>Br. B (Mandalay)</v>
      </c>
      <c r="E627" t="s">
        <v>19</v>
      </c>
      <c r="F627" t="s">
        <v>20</v>
      </c>
      <c r="G627" t="s">
        <v>43</v>
      </c>
      <c r="H627">
        <v>78.88</v>
      </c>
      <c r="I627">
        <v>2</v>
      </c>
      <c r="J627">
        <v>7.8879999999999999</v>
      </c>
      <c r="K627">
        <v>157.76</v>
      </c>
      <c r="L627" s="1">
        <v>44726</v>
      </c>
      <c r="M627" s="7">
        <f>DAY(Data[[#This Row],[Date]])</f>
        <v>14</v>
      </c>
      <c r="N627" s="7">
        <f>MONTH(Data[[#This Row],[Date]])</f>
        <v>6</v>
      </c>
      <c r="O627" s="7">
        <f>YEAR(Data[[#This Row],[Date]])</f>
        <v>2022</v>
      </c>
      <c r="P627" s="2">
        <v>0.6694444444444444</v>
      </c>
      <c r="Q627" t="s">
        <v>28</v>
      </c>
      <c r="R627">
        <v>110.432</v>
      </c>
      <c r="S627">
        <v>39.44</v>
      </c>
      <c r="T627">
        <v>9.1</v>
      </c>
    </row>
    <row r="628" spans="1:20" x14ac:dyDescent="0.55000000000000004">
      <c r="A628" t="s">
        <v>661</v>
      </c>
      <c r="B628" t="s">
        <v>17</v>
      </c>
      <c r="C628" t="s">
        <v>18</v>
      </c>
      <c r="D628" t="str">
        <f>"Br. "&amp;Data[[#This Row],[Branch]]&amp;" ("&amp;Data[[#This Row],[City]]&amp;")"</f>
        <v>Br. A (Yangon)</v>
      </c>
      <c r="E628" t="s">
        <v>26</v>
      </c>
      <c r="F628" t="s">
        <v>30</v>
      </c>
      <c r="G628" t="s">
        <v>35</v>
      </c>
      <c r="H628">
        <v>60.87</v>
      </c>
      <c r="I628">
        <v>2</v>
      </c>
      <c r="J628">
        <v>6.0869999999999997</v>
      </c>
      <c r="K628">
        <v>121.74</v>
      </c>
      <c r="L628" s="1">
        <v>44726</v>
      </c>
      <c r="M628" s="7">
        <f>DAY(Data[[#This Row],[Date]])</f>
        <v>14</v>
      </c>
      <c r="N628" s="7">
        <f>MONTH(Data[[#This Row],[Date]])</f>
        <v>6</v>
      </c>
      <c r="O628" s="7">
        <f>YEAR(Data[[#This Row],[Date]])</f>
        <v>2022</v>
      </c>
      <c r="P628" s="2">
        <v>0.52569444444444446</v>
      </c>
      <c r="Q628" t="s">
        <v>22</v>
      </c>
      <c r="R628">
        <v>85.218000000000004</v>
      </c>
      <c r="S628">
        <v>30.434999999999999</v>
      </c>
      <c r="T628">
        <v>8.6999999999999993</v>
      </c>
    </row>
    <row r="629" spans="1:20" x14ac:dyDescent="0.55000000000000004">
      <c r="A629" t="s">
        <v>662</v>
      </c>
      <c r="B629" t="s">
        <v>41</v>
      </c>
      <c r="C629" t="s">
        <v>42</v>
      </c>
      <c r="D629" t="str">
        <f>"Br. "&amp;Data[[#This Row],[Branch]]&amp;" ("&amp;Data[[#This Row],[City]]&amp;")"</f>
        <v>Br. B (Mandalay)</v>
      </c>
      <c r="E629" t="s">
        <v>19</v>
      </c>
      <c r="F629" t="s">
        <v>30</v>
      </c>
      <c r="G629" t="s">
        <v>21</v>
      </c>
      <c r="H629">
        <v>82.58</v>
      </c>
      <c r="I629">
        <v>10</v>
      </c>
      <c r="J629">
        <v>41.29</v>
      </c>
      <c r="K629">
        <v>825.8</v>
      </c>
      <c r="L629" s="1">
        <v>44726</v>
      </c>
      <c r="M629" s="7">
        <f>DAY(Data[[#This Row],[Date]])</f>
        <v>14</v>
      </c>
      <c r="N629" s="7">
        <f>MONTH(Data[[#This Row],[Date]])</f>
        <v>6</v>
      </c>
      <c r="O629" s="7">
        <f>YEAR(Data[[#This Row],[Date]])</f>
        <v>2022</v>
      </c>
      <c r="P629" s="2">
        <v>0.6118055555555556</v>
      </c>
      <c r="Q629" t="s">
        <v>28</v>
      </c>
      <c r="R629">
        <v>578.05999999999995</v>
      </c>
      <c r="S629">
        <v>206.45</v>
      </c>
      <c r="T629">
        <v>5</v>
      </c>
    </row>
    <row r="630" spans="1:20" x14ac:dyDescent="0.55000000000000004">
      <c r="A630" t="s">
        <v>663</v>
      </c>
      <c r="B630" t="s">
        <v>17</v>
      </c>
      <c r="C630" t="s">
        <v>18</v>
      </c>
      <c r="D630" t="str">
        <f>"Br. "&amp;Data[[#This Row],[Branch]]&amp;" ("&amp;Data[[#This Row],[City]]&amp;")"</f>
        <v>Br. A (Yangon)</v>
      </c>
      <c r="E630" t="s">
        <v>19</v>
      </c>
      <c r="F630" t="s">
        <v>30</v>
      </c>
      <c r="G630" t="s">
        <v>31</v>
      </c>
      <c r="H630">
        <v>53.3</v>
      </c>
      <c r="I630">
        <v>3</v>
      </c>
      <c r="J630">
        <v>7.9950000000000001</v>
      </c>
      <c r="K630">
        <v>159.9</v>
      </c>
      <c r="L630" s="1">
        <v>44726</v>
      </c>
      <c r="M630" s="7">
        <f>DAY(Data[[#This Row],[Date]])</f>
        <v>14</v>
      </c>
      <c r="N630" s="7">
        <f>MONTH(Data[[#This Row],[Date]])</f>
        <v>6</v>
      </c>
      <c r="O630" s="7">
        <f>YEAR(Data[[#This Row],[Date]])</f>
        <v>2022</v>
      </c>
      <c r="P630" s="2">
        <v>0.59652777777777777</v>
      </c>
      <c r="Q630" t="s">
        <v>22</v>
      </c>
      <c r="R630">
        <v>111.93</v>
      </c>
      <c r="S630">
        <v>39.975000000000001</v>
      </c>
      <c r="T630">
        <v>7.5</v>
      </c>
    </row>
    <row r="631" spans="1:20" x14ac:dyDescent="0.55000000000000004">
      <c r="A631" t="s">
        <v>664</v>
      </c>
      <c r="B631" t="s">
        <v>17</v>
      </c>
      <c r="C631" t="s">
        <v>18</v>
      </c>
      <c r="D631" t="str">
        <f>"Br. "&amp;Data[[#This Row],[Branch]]&amp;" ("&amp;Data[[#This Row],[City]]&amp;")"</f>
        <v>Br. A (Yangon)</v>
      </c>
      <c r="E631" t="s">
        <v>26</v>
      </c>
      <c r="F631" t="s">
        <v>20</v>
      </c>
      <c r="G631" t="s">
        <v>45</v>
      </c>
      <c r="H631">
        <v>12.09</v>
      </c>
      <c r="I631">
        <v>1</v>
      </c>
      <c r="J631">
        <v>0.60450000000000004</v>
      </c>
      <c r="K631">
        <v>12.09</v>
      </c>
      <c r="L631" s="1">
        <v>44726</v>
      </c>
      <c r="M631" s="7">
        <f>DAY(Data[[#This Row],[Date]])</f>
        <v>14</v>
      </c>
      <c r="N631" s="7">
        <f>MONTH(Data[[#This Row],[Date]])</f>
        <v>6</v>
      </c>
      <c r="O631" s="7">
        <f>YEAR(Data[[#This Row],[Date]])</f>
        <v>2022</v>
      </c>
      <c r="P631" s="2">
        <v>0.7631944444444444</v>
      </c>
      <c r="Q631" t="s">
        <v>32</v>
      </c>
      <c r="R631">
        <v>8.4629999999999992</v>
      </c>
      <c r="S631">
        <v>3.0225</v>
      </c>
      <c r="T631">
        <v>8.1999999999999993</v>
      </c>
    </row>
    <row r="632" spans="1:20" x14ac:dyDescent="0.55000000000000004">
      <c r="A632" t="s">
        <v>665</v>
      </c>
      <c r="B632" t="s">
        <v>17</v>
      </c>
      <c r="C632" t="s">
        <v>18</v>
      </c>
      <c r="D632" t="str">
        <f>"Br. "&amp;Data[[#This Row],[Branch]]&amp;" ("&amp;Data[[#This Row],[City]]&amp;")"</f>
        <v>Br. A (Yangon)</v>
      </c>
      <c r="E632" t="s">
        <v>26</v>
      </c>
      <c r="F632" t="s">
        <v>30</v>
      </c>
      <c r="G632" t="s">
        <v>35</v>
      </c>
      <c r="H632">
        <v>64.19</v>
      </c>
      <c r="I632">
        <v>10</v>
      </c>
      <c r="J632">
        <v>32.094999999999999</v>
      </c>
      <c r="K632">
        <v>641.9</v>
      </c>
      <c r="L632" s="1">
        <v>44726</v>
      </c>
      <c r="M632" s="7">
        <f>DAY(Data[[#This Row],[Date]])</f>
        <v>14</v>
      </c>
      <c r="N632" s="7">
        <f>MONTH(Data[[#This Row],[Date]])</f>
        <v>6</v>
      </c>
      <c r="O632" s="7">
        <f>YEAR(Data[[#This Row],[Date]])</f>
        <v>2022</v>
      </c>
      <c r="P632" s="2">
        <v>0.58888888888888891</v>
      </c>
      <c r="Q632" t="s">
        <v>32</v>
      </c>
      <c r="R632">
        <v>449.33</v>
      </c>
      <c r="S632">
        <v>160.47499999999999</v>
      </c>
      <c r="T632">
        <v>6.7</v>
      </c>
    </row>
    <row r="633" spans="1:20" x14ac:dyDescent="0.55000000000000004">
      <c r="A633" t="s">
        <v>666</v>
      </c>
      <c r="B633" t="s">
        <v>17</v>
      </c>
      <c r="C633" t="s">
        <v>18</v>
      </c>
      <c r="D633" t="str">
        <f>"Br. "&amp;Data[[#This Row],[Branch]]&amp;" ("&amp;Data[[#This Row],[City]]&amp;")"</f>
        <v>Br. A (Yangon)</v>
      </c>
      <c r="E633" t="s">
        <v>26</v>
      </c>
      <c r="F633" t="s">
        <v>30</v>
      </c>
      <c r="G633" t="s">
        <v>27</v>
      </c>
      <c r="H633">
        <v>78.31</v>
      </c>
      <c r="I633">
        <v>3</v>
      </c>
      <c r="J633">
        <v>11.746499999999999</v>
      </c>
      <c r="K633">
        <v>234.93</v>
      </c>
      <c r="L633" s="1">
        <v>44726</v>
      </c>
      <c r="M633" s="7">
        <f>DAY(Data[[#This Row],[Date]])</f>
        <v>14</v>
      </c>
      <c r="N633" s="7">
        <f>MONTH(Data[[#This Row],[Date]])</f>
        <v>6</v>
      </c>
      <c r="O633" s="7">
        <f>YEAR(Data[[#This Row],[Date]])</f>
        <v>2022</v>
      </c>
      <c r="P633" s="2">
        <v>0.69305555555555554</v>
      </c>
      <c r="Q633" t="s">
        <v>22</v>
      </c>
      <c r="R633">
        <v>164.45099999999999</v>
      </c>
      <c r="S633">
        <v>58.732500000000002</v>
      </c>
      <c r="T633">
        <v>5.4</v>
      </c>
    </row>
    <row r="634" spans="1:20" x14ac:dyDescent="0.55000000000000004">
      <c r="A634" t="s">
        <v>667</v>
      </c>
      <c r="B634" t="s">
        <v>17</v>
      </c>
      <c r="C634" t="s">
        <v>18</v>
      </c>
      <c r="D634" t="str">
        <f>"Br. "&amp;Data[[#This Row],[Branch]]&amp;" ("&amp;Data[[#This Row],[City]]&amp;")"</f>
        <v>Br. A (Yangon)</v>
      </c>
      <c r="E634" t="s">
        <v>19</v>
      </c>
      <c r="F634" t="s">
        <v>30</v>
      </c>
      <c r="G634" t="s">
        <v>43</v>
      </c>
      <c r="H634">
        <v>83.77</v>
      </c>
      <c r="I634">
        <v>2</v>
      </c>
      <c r="J634">
        <v>8.3770000000000007</v>
      </c>
      <c r="K634">
        <v>167.54</v>
      </c>
      <c r="L634" s="1">
        <v>44726</v>
      </c>
      <c r="M634" s="7">
        <f>DAY(Data[[#This Row],[Date]])</f>
        <v>14</v>
      </c>
      <c r="N634" s="7">
        <f>MONTH(Data[[#This Row],[Date]])</f>
        <v>6</v>
      </c>
      <c r="O634" s="7">
        <f>YEAR(Data[[#This Row],[Date]])</f>
        <v>2022</v>
      </c>
      <c r="P634" s="2">
        <v>0.45416666666666666</v>
      </c>
      <c r="Q634" t="s">
        <v>32</v>
      </c>
      <c r="R634">
        <v>117.27800000000001</v>
      </c>
      <c r="S634">
        <v>41.884999999999998</v>
      </c>
      <c r="T634">
        <v>7</v>
      </c>
    </row>
    <row r="635" spans="1:20" x14ac:dyDescent="0.55000000000000004">
      <c r="A635" t="s">
        <v>668</v>
      </c>
      <c r="B635" t="s">
        <v>41</v>
      </c>
      <c r="C635" t="s">
        <v>42</v>
      </c>
      <c r="D635" t="str">
        <f>"Br. "&amp;Data[[#This Row],[Branch]]&amp;" ("&amp;Data[[#This Row],[City]]&amp;")"</f>
        <v>Br. B (Mandalay)</v>
      </c>
      <c r="E635" t="s">
        <v>26</v>
      </c>
      <c r="F635" t="s">
        <v>30</v>
      </c>
      <c r="G635" t="s">
        <v>31</v>
      </c>
      <c r="H635">
        <v>99.7</v>
      </c>
      <c r="I635">
        <v>3</v>
      </c>
      <c r="J635">
        <v>14.955</v>
      </c>
      <c r="K635">
        <v>299.10000000000002</v>
      </c>
      <c r="L635" s="1">
        <v>44726</v>
      </c>
      <c r="M635" s="7">
        <f>DAY(Data[[#This Row],[Date]])</f>
        <v>14</v>
      </c>
      <c r="N635" s="7">
        <f>MONTH(Data[[#This Row],[Date]])</f>
        <v>6</v>
      </c>
      <c r="O635" s="7">
        <f>YEAR(Data[[#This Row],[Date]])</f>
        <v>2022</v>
      </c>
      <c r="P635" s="2">
        <v>0.47847222222222224</v>
      </c>
      <c r="Q635" t="s">
        <v>22</v>
      </c>
      <c r="R635">
        <v>209.37</v>
      </c>
      <c r="S635">
        <v>74.775000000000006</v>
      </c>
      <c r="T635">
        <v>4.7</v>
      </c>
    </row>
    <row r="636" spans="1:20" x14ac:dyDescent="0.55000000000000004">
      <c r="A636" t="s">
        <v>669</v>
      </c>
      <c r="B636" t="s">
        <v>41</v>
      </c>
      <c r="C636" t="s">
        <v>42</v>
      </c>
      <c r="D636" t="str">
        <f>"Br. "&amp;Data[[#This Row],[Branch]]&amp;" ("&amp;Data[[#This Row],[City]]&amp;")"</f>
        <v>Br. B (Mandalay)</v>
      </c>
      <c r="E636" t="s">
        <v>19</v>
      </c>
      <c r="F636" t="s">
        <v>30</v>
      </c>
      <c r="G636" t="s">
        <v>43</v>
      </c>
      <c r="H636">
        <v>79.91</v>
      </c>
      <c r="I636">
        <v>3</v>
      </c>
      <c r="J636">
        <v>11.986499999999999</v>
      </c>
      <c r="K636">
        <v>239.73</v>
      </c>
      <c r="L636" s="1">
        <v>44726</v>
      </c>
      <c r="M636" s="7">
        <f>DAY(Data[[#This Row],[Date]])</f>
        <v>14</v>
      </c>
      <c r="N636" s="7">
        <f>MONTH(Data[[#This Row],[Date]])</f>
        <v>6</v>
      </c>
      <c r="O636" s="7">
        <f>YEAR(Data[[#This Row],[Date]])</f>
        <v>2022</v>
      </c>
      <c r="P636" s="2">
        <v>0.81111111111111112</v>
      </c>
      <c r="Q636" t="s">
        <v>32</v>
      </c>
      <c r="R636">
        <v>167.81100000000001</v>
      </c>
      <c r="S636">
        <v>59.932499999999997</v>
      </c>
      <c r="T636">
        <v>5</v>
      </c>
    </row>
    <row r="637" spans="1:20" x14ac:dyDescent="0.55000000000000004">
      <c r="A637" t="s">
        <v>670</v>
      </c>
      <c r="B637" t="s">
        <v>41</v>
      </c>
      <c r="C637" t="s">
        <v>42</v>
      </c>
      <c r="D637" t="str">
        <f>"Br. "&amp;Data[[#This Row],[Branch]]&amp;" ("&amp;Data[[#This Row],[City]]&amp;")"</f>
        <v>Br. B (Mandalay)</v>
      </c>
      <c r="E637" t="s">
        <v>19</v>
      </c>
      <c r="F637" t="s">
        <v>30</v>
      </c>
      <c r="G637" t="s">
        <v>21</v>
      </c>
      <c r="H637">
        <v>66.47</v>
      </c>
      <c r="I637">
        <v>10</v>
      </c>
      <c r="J637">
        <v>33.234999999999999</v>
      </c>
      <c r="K637">
        <v>664.7</v>
      </c>
      <c r="L637" s="1">
        <v>44726</v>
      </c>
      <c r="M637" s="7">
        <f>DAY(Data[[#This Row],[Date]])</f>
        <v>14</v>
      </c>
      <c r="N637" s="7">
        <f>MONTH(Data[[#This Row],[Date]])</f>
        <v>6</v>
      </c>
      <c r="O637" s="7">
        <f>YEAR(Data[[#This Row],[Date]])</f>
        <v>2022</v>
      </c>
      <c r="P637" s="2">
        <v>0.62569444444444444</v>
      </c>
      <c r="Q637" t="s">
        <v>32</v>
      </c>
      <c r="R637">
        <v>465.29</v>
      </c>
      <c r="S637">
        <v>166.17500000000001</v>
      </c>
      <c r="T637">
        <v>5</v>
      </c>
    </row>
    <row r="638" spans="1:20" x14ac:dyDescent="0.55000000000000004">
      <c r="A638" t="s">
        <v>671</v>
      </c>
      <c r="B638" t="s">
        <v>17</v>
      </c>
      <c r="C638" t="s">
        <v>18</v>
      </c>
      <c r="D638" t="str">
        <f>"Br. "&amp;Data[[#This Row],[Branch]]&amp;" ("&amp;Data[[#This Row],[City]]&amp;")"</f>
        <v>Br. A (Yangon)</v>
      </c>
      <c r="E638" t="s">
        <v>26</v>
      </c>
      <c r="F638" t="s">
        <v>30</v>
      </c>
      <c r="G638" t="s">
        <v>21</v>
      </c>
      <c r="H638">
        <v>28.95</v>
      </c>
      <c r="I638">
        <v>7</v>
      </c>
      <c r="J638">
        <v>10.1325</v>
      </c>
      <c r="K638">
        <v>202.65</v>
      </c>
      <c r="L638" s="1">
        <v>44726</v>
      </c>
      <c r="M638" s="7">
        <f>DAY(Data[[#This Row],[Date]])</f>
        <v>14</v>
      </c>
      <c r="N638" s="7">
        <f>MONTH(Data[[#This Row],[Date]])</f>
        <v>6</v>
      </c>
      <c r="O638" s="7">
        <f>YEAR(Data[[#This Row],[Date]])</f>
        <v>2022</v>
      </c>
      <c r="P638" s="2">
        <v>0.85486111111111107</v>
      </c>
      <c r="Q638" t="s">
        <v>32</v>
      </c>
      <c r="R638">
        <v>141.85499999999999</v>
      </c>
      <c r="S638">
        <v>50.662500000000001</v>
      </c>
      <c r="T638">
        <v>6</v>
      </c>
    </row>
    <row r="639" spans="1:20" x14ac:dyDescent="0.55000000000000004">
      <c r="A639" t="s">
        <v>672</v>
      </c>
      <c r="B639" t="s">
        <v>24</v>
      </c>
      <c r="C639" t="s">
        <v>25</v>
      </c>
      <c r="D639" t="str">
        <f>"Br. "&amp;Data[[#This Row],[Branch]]&amp;" ("&amp;Data[[#This Row],[City]]&amp;")"</f>
        <v>Br. C (Naypyitaw)</v>
      </c>
      <c r="E639" t="s">
        <v>26</v>
      </c>
      <c r="F639" t="s">
        <v>20</v>
      </c>
      <c r="G639" t="s">
        <v>27</v>
      </c>
      <c r="H639">
        <v>46.2</v>
      </c>
      <c r="I639">
        <v>1</v>
      </c>
      <c r="J639">
        <v>2.31</v>
      </c>
      <c r="K639">
        <v>46.2</v>
      </c>
      <c r="L639" s="1">
        <v>44726</v>
      </c>
      <c r="M639" s="7">
        <f>DAY(Data[[#This Row],[Date]])</f>
        <v>14</v>
      </c>
      <c r="N639" s="7">
        <f>MONTH(Data[[#This Row],[Date]])</f>
        <v>6</v>
      </c>
      <c r="O639" s="7">
        <f>YEAR(Data[[#This Row],[Date]])</f>
        <v>2022</v>
      </c>
      <c r="P639" s="2">
        <v>0.51111111111111107</v>
      </c>
      <c r="Q639" t="s">
        <v>28</v>
      </c>
      <c r="R639">
        <v>32.340000000000003</v>
      </c>
      <c r="S639">
        <v>11.55</v>
      </c>
      <c r="T639">
        <v>6.3</v>
      </c>
    </row>
    <row r="640" spans="1:20" x14ac:dyDescent="0.55000000000000004">
      <c r="A640" t="s">
        <v>673</v>
      </c>
      <c r="B640" t="s">
        <v>41</v>
      </c>
      <c r="C640" t="s">
        <v>42</v>
      </c>
      <c r="D640" t="str">
        <f>"Br. "&amp;Data[[#This Row],[Branch]]&amp;" ("&amp;Data[[#This Row],[City]]&amp;")"</f>
        <v>Br. B (Mandalay)</v>
      </c>
      <c r="E640" t="s">
        <v>19</v>
      </c>
      <c r="F640" t="s">
        <v>20</v>
      </c>
      <c r="G640" t="s">
        <v>43</v>
      </c>
      <c r="H640">
        <v>17.63</v>
      </c>
      <c r="I640">
        <v>5</v>
      </c>
      <c r="J640">
        <v>4.4074999999999998</v>
      </c>
      <c r="K640">
        <v>88.15</v>
      </c>
      <c r="L640" s="1">
        <v>44726</v>
      </c>
      <c r="M640" s="7">
        <f>DAY(Data[[#This Row],[Date]])</f>
        <v>14</v>
      </c>
      <c r="N640" s="7">
        <f>MONTH(Data[[#This Row],[Date]])</f>
        <v>6</v>
      </c>
      <c r="O640" s="7">
        <f>YEAR(Data[[#This Row],[Date]])</f>
        <v>2022</v>
      </c>
      <c r="P640" s="2">
        <v>0.64375000000000004</v>
      </c>
      <c r="Q640" t="s">
        <v>28</v>
      </c>
      <c r="R640">
        <v>61.704999999999998</v>
      </c>
      <c r="S640">
        <v>22.037500000000001</v>
      </c>
      <c r="T640">
        <v>8.5</v>
      </c>
    </row>
    <row r="641" spans="1:20" x14ac:dyDescent="0.55000000000000004">
      <c r="A641" t="s">
        <v>674</v>
      </c>
      <c r="B641" t="s">
        <v>41</v>
      </c>
      <c r="C641" t="s">
        <v>42</v>
      </c>
      <c r="D641" t="str">
        <f>"Br. "&amp;Data[[#This Row],[Branch]]&amp;" ("&amp;Data[[#This Row],[City]]&amp;")"</f>
        <v>Br. B (Mandalay)</v>
      </c>
      <c r="E641" t="s">
        <v>26</v>
      </c>
      <c r="F641" t="s">
        <v>30</v>
      </c>
      <c r="G641" t="s">
        <v>45</v>
      </c>
      <c r="H641">
        <v>52.42</v>
      </c>
      <c r="I641">
        <v>3</v>
      </c>
      <c r="J641">
        <v>7.8630000000000004</v>
      </c>
      <c r="K641">
        <v>157.26</v>
      </c>
      <c r="L641" s="1">
        <v>44726</v>
      </c>
      <c r="M641" s="7">
        <f>DAY(Data[[#This Row],[Date]])</f>
        <v>14</v>
      </c>
      <c r="N641" s="7">
        <f>MONTH(Data[[#This Row],[Date]])</f>
        <v>6</v>
      </c>
      <c r="O641" s="7">
        <f>YEAR(Data[[#This Row],[Date]])</f>
        <v>2022</v>
      </c>
      <c r="P641" s="2">
        <v>0.73333333333333328</v>
      </c>
      <c r="Q641" t="s">
        <v>22</v>
      </c>
      <c r="R641">
        <v>110.08199999999999</v>
      </c>
      <c r="S641">
        <v>39.314999999999998</v>
      </c>
      <c r="T641">
        <v>7.5</v>
      </c>
    </row>
    <row r="642" spans="1:20" x14ac:dyDescent="0.55000000000000004">
      <c r="A642" t="s">
        <v>675</v>
      </c>
      <c r="B642" t="s">
        <v>41</v>
      </c>
      <c r="C642" t="s">
        <v>42</v>
      </c>
      <c r="D642" t="str">
        <f>"Br. "&amp;Data[[#This Row],[Branch]]&amp;" ("&amp;Data[[#This Row],[City]]&amp;")"</f>
        <v>Br. B (Mandalay)</v>
      </c>
      <c r="E642" t="s">
        <v>19</v>
      </c>
      <c r="F642" t="s">
        <v>20</v>
      </c>
      <c r="G642" t="s">
        <v>43</v>
      </c>
      <c r="H642">
        <v>98.79</v>
      </c>
      <c r="I642">
        <v>3</v>
      </c>
      <c r="J642">
        <v>14.8185</v>
      </c>
      <c r="K642">
        <v>296.37</v>
      </c>
      <c r="L642" s="1">
        <v>44726</v>
      </c>
      <c r="M642" s="7">
        <f>DAY(Data[[#This Row],[Date]])</f>
        <v>14</v>
      </c>
      <c r="N642" s="7">
        <f>MONTH(Data[[#This Row],[Date]])</f>
        <v>6</v>
      </c>
      <c r="O642" s="7">
        <f>YEAR(Data[[#This Row],[Date]])</f>
        <v>2022</v>
      </c>
      <c r="P642" s="2">
        <v>0.83333333333333337</v>
      </c>
      <c r="Q642" t="s">
        <v>22</v>
      </c>
      <c r="R642">
        <v>207.459</v>
      </c>
      <c r="S642">
        <v>74.092500000000001</v>
      </c>
      <c r="T642">
        <v>6.4</v>
      </c>
    </row>
    <row r="643" spans="1:20" x14ac:dyDescent="0.55000000000000004">
      <c r="A643" t="s">
        <v>676</v>
      </c>
      <c r="B643" t="s">
        <v>24</v>
      </c>
      <c r="C643" t="s">
        <v>25</v>
      </c>
      <c r="D643" t="str">
        <f>"Br. "&amp;Data[[#This Row],[Branch]]&amp;" ("&amp;Data[[#This Row],[City]]&amp;")"</f>
        <v>Br. C (Naypyitaw)</v>
      </c>
      <c r="E643" t="s">
        <v>19</v>
      </c>
      <c r="F643" t="s">
        <v>20</v>
      </c>
      <c r="G643" t="s">
        <v>27</v>
      </c>
      <c r="H643">
        <v>88.55</v>
      </c>
      <c r="I643">
        <v>8</v>
      </c>
      <c r="J643">
        <v>35.42</v>
      </c>
      <c r="K643">
        <v>708.4</v>
      </c>
      <c r="L643" s="1">
        <v>44726</v>
      </c>
      <c r="M643" s="7">
        <f>DAY(Data[[#This Row],[Date]])</f>
        <v>14</v>
      </c>
      <c r="N643" s="7">
        <f>MONTH(Data[[#This Row],[Date]])</f>
        <v>6</v>
      </c>
      <c r="O643" s="7">
        <f>YEAR(Data[[#This Row],[Date]])</f>
        <v>2022</v>
      </c>
      <c r="P643" s="2">
        <v>0.64513888888888893</v>
      </c>
      <c r="Q643" t="s">
        <v>22</v>
      </c>
      <c r="R643">
        <v>495.88</v>
      </c>
      <c r="S643">
        <v>177.1</v>
      </c>
      <c r="T643">
        <v>4.7</v>
      </c>
    </row>
    <row r="644" spans="1:20" x14ac:dyDescent="0.55000000000000004">
      <c r="A644" t="s">
        <v>677</v>
      </c>
      <c r="B644" t="s">
        <v>41</v>
      </c>
      <c r="C644" t="s">
        <v>42</v>
      </c>
      <c r="D644" t="str">
        <f>"Br. "&amp;Data[[#This Row],[Branch]]&amp;" ("&amp;Data[[#This Row],[City]]&amp;")"</f>
        <v>Br. B (Mandalay)</v>
      </c>
      <c r="E644" t="s">
        <v>19</v>
      </c>
      <c r="F644" t="s">
        <v>30</v>
      </c>
      <c r="G644" t="s">
        <v>27</v>
      </c>
      <c r="H644">
        <v>55.67</v>
      </c>
      <c r="I644">
        <v>2</v>
      </c>
      <c r="J644">
        <v>5.5670000000000002</v>
      </c>
      <c r="K644">
        <v>111.34</v>
      </c>
      <c r="L644" s="1">
        <v>44726</v>
      </c>
      <c r="M644" s="7">
        <f>DAY(Data[[#This Row],[Date]])</f>
        <v>14</v>
      </c>
      <c r="N644" s="7">
        <f>MONTH(Data[[#This Row],[Date]])</f>
        <v>6</v>
      </c>
      <c r="O644" s="7">
        <f>YEAR(Data[[#This Row],[Date]])</f>
        <v>2022</v>
      </c>
      <c r="P644" s="2">
        <v>0.63055555555555554</v>
      </c>
      <c r="Q644" t="s">
        <v>22</v>
      </c>
      <c r="R644">
        <v>77.938000000000002</v>
      </c>
      <c r="S644">
        <v>27.835000000000001</v>
      </c>
      <c r="T644">
        <v>6</v>
      </c>
    </row>
    <row r="645" spans="1:20" x14ac:dyDescent="0.55000000000000004">
      <c r="A645" t="s">
        <v>678</v>
      </c>
      <c r="B645" t="s">
        <v>24</v>
      </c>
      <c r="C645" t="s">
        <v>25</v>
      </c>
      <c r="D645" t="str">
        <f>"Br. "&amp;Data[[#This Row],[Branch]]&amp;" ("&amp;Data[[#This Row],[City]]&amp;")"</f>
        <v>Br. C (Naypyitaw)</v>
      </c>
      <c r="E645" t="s">
        <v>19</v>
      </c>
      <c r="F645" t="s">
        <v>20</v>
      </c>
      <c r="G645" t="s">
        <v>43</v>
      </c>
      <c r="H645">
        <v>72.52</v>
      </c>
      <c r="I645">
        <v>8</v>
      </c>
      <c r="J645">
        <v>29.007999999999999</v>
      </c>
      <c r="K645">
        <v>580.16</v>
      </c>
      <c r="L645" s="1">
        <v>44726</v>
      </c>
      <c r="M645" s="7">
        <f>DAY(Data[[#This Row],[Date]])</f>
        <v>14</v>
      </c>
      <c r="N645" s="7">
        <f>MONTH(Data[[#This Row],[Date]])</f>
        <v>6</v>
      </c>
      <c r="O645" s="7">
        <f>YEAR(Data[[#This Row],[Date]])</f>
        <v>2022</v>
      </c>
      <c r="P645" s="2">
        <v>0.80972222222222223</v>
      </c>
      <c r="Q645" t="s">
        <v>32</v>
      </c>
      <c r="R645">
        <v>406.11200000000002</v>
      </c>
      <c r="S645">
        <v>145.04</v>
      </c>
      <c r="T645">
        <v>4</v>
      </c>
    </row>
    <row r="646" spans="1:20" x14ac:dyDescent="0.55000000000000004">
      <c r="A646" t="s">
        <v>679</v>
      </c>
      <c r="B646" t="s">
        <v>24</v>
      </c>
      <c r="C646" t="s">
        <v>25</v>
      </c>
      <c r="D646" t="str">
        <f>"Br. "&amp;Data[[#This Row],[Branch]]&amp;" ("&amp;Data[[#This Row],[City]]&amp;")"</f>
        <v>Br. C (Naypyitaw)</v>
      </c>
      <c r="E646" t="s">
        <v>19</v>
      </c>
      <c r="F646" t="s">
        <v>30</v>
      </c>
      <c r="G646" t="s">
        <v>27</v>
      </c>
      <c r="H646">
        <v>12.05</v>
      </c>
      <c r="I646">
        <v>5</v>
      </c>
      <c r="J646">
        <v>3.0125000000000002</v>
      </c>
      <c r="K646">
        <v>60.25</v>
      </c>
      <c r="L646" s="1">
        <v>44726</v>
      </c>
      <c r="M646" s="7">
        <f>DAY(Data[[#This Row],[Date]])</f>
        <v>14</v>
      </c>
      <c r="N646" s="7">
        <f>MONTH(Data[[#This Row],[Date]])</f>
        <v>6</v>
      </c>
      <c r="O646" s="7">
        <f>YEAR(Data[[#This Row],[Date]])</f>
        <v>2022</v>
      </c>
      <c r="P646" s="2">
        <v>0.66180555555555554</v>
      </c>
      <c r="Q646" t="s">
        <v>22</v>
      </c>
      <c r="R646">
        <v>42.174999999999997</v>
      </c>
      <c r="S646">
        <v>15.0625</v>
      </c>
      <c r="T646">
        <v>5.5</v>
      </c>
    </row>
    <row r="647" spans="1:20" x14ac:dyDescent="0.55000000000000004">
      <c r="A647" t="s">
        <v>680</v>
      </c>
      <c r="B647" t="s">
        <v>17</v>
      </c>
      <c r="C647" t="s">
        <v>18</v>
      </c>
      <c r="D647" t="str">
        <f>"Br. "&amp;Data[[#This Row],[Branch]]&amp;" ("&amp;Data[[#This Row],[City]]&amp;")"</f>
        <v>Br. A (Yangon)</v>
      </c>
      <c r="E647" t="s">
        <v>19</v>
      </c>
      <c r="F647" t="s">
        <v>30</v>
      </c>
      <c r="G647" t="s">
        <v>31</v>
      </c>
      <c r="H647">
        <v>19.36</v>
      </c>
      <c r="I647">
        <v>9</v>
      </c>
      <c r="J647">
        <v>8.7119999999999997</v>
      </c>
      <c r="K647">
        <v>174.24</v>
      </c>
      <c r="L647" s="1">
        <v>44726</v>
      </c>
      <c r="M647" s="7">
        <f>DAY(Data[[#This Row],[Date]])</f>
        <v>14</v>
      </c>
      <c r="N647" s="7">
        <f>MONTH(Data[[#This Row],[Date]])</f>
        <v>6</v>
      </c>
      <c r="O647" s="7">
        <f>YEAR(Data[[#This Row],[Date]])</f>
        <v>2022</v>
      </c>
      <c r="P647" s="2">
        <v>0.77986111111111112</v>
      </c>
      <c r="Q647" t="s">
        <v>22</v>
      </c>
      <c r="R647">
        <v>121.968</v>
      </c>
      <c r="S647">
        <v>43.56</v>
      </c>
      <c r="T647">
        <v>8.6999999999999993</v>
      </c>
    </row>
    <row r="648" spans="1:20" x14ac:dyDescent="0.55000000000000004">
      <c r="A648" t="s">
        <v>681</v>
      </c>
      <c r="B648" t="s">
        <v>24</v>
      </c>
      <c r="C648" t="s">
        <v>25</v>
      </c>
      <c r="D648" t="str">
        <f>"Br. "&amp;Data[[#This Row],[Branch]]&amp;" ("&amp;Data[[#This Row],[City]]&amp;")"</f>
        <v>Br. C (Naypyitaw)</v>
      </c>
      <c r="E648" t="s">
        <v>26</v>
      </c>
      <c r="F648" t="s">
        <v>30</v>
      </c>
      <c r="G648" t="s">
        <v>21</v>
      </c>
      <c r="H648">
        <v>70.209999999999994</v>
      </c>
      <c r="I648">
        <v>6</v>
      </c>
      <c r="J648">
        <v>21.062999999999999</v>
      </c>
      <c r="K648">
        <v>421.26</v>
      </c>
      <c r="L648" s="1">
        <v>44726</v>
      </c>
      <c r="M648" s="7">
        <f>DAY(Data[[#This Row],[Date]])</f>
        <v>14</v>
      </c>
      <c r="N648" s="7">
        <f>MONTH(Data[[#This Row],[Date]])</f>
        <v>6</v>
      </c>
      <c r="O648" s="7">
        <f>YEAR(Data[[#This Row],[Date]])</f>
        <v>2022</v>
      </c>
      <c r="P648" s="2">
        <v>0.62361111111111112</v>
      </c>
      <c r="Q648" t="s">
        <v>28</v>
      </c>
      <c r="R648">
        <v>294.88200000000001</v>
      </c>
      <c r="S648">
        <v>105.315</v>
      </c>
      <c r="T648">
        <v>7.4</v>
      </c>
    </row>
    <row r="649" spans="1:20" x14ac:dyDescent="0.55000000000000004">
      <c r="A649" t="s">
        <v>682</v>
      </c>
      <c r="B649" t="s">
        <v>41</v>
      </c>
      <c r="C649" t="s">
        <v>42</v>
      </c>
      <c r="D649" t="str">
        <f>"Br. "&amp;Data[[#This Row],[Branch]]&amp;" ("&amp;Data[[#This Row],[City]]&amp;")"</f>
        <v>Br. B (Mandalay)</v>
      </c>
      <c r="E649" t="s">
        <v>19</v>
      </c>
      <c r="F649" t="s">
        <v>30</v>
      </c>
      <c r="G649" t="s">
        <v>45</v>
      </c>
      <c r="H649">
        <v>33.630000000000003</v>
      </c>
      <c r="I649">
        <v>1</v>
      </c>
      <c r="J649">
        <v>1.6815</v>
      </c>
      <c r="K649">
        <v>33.630000000000003</v>
      </c>
      <c r="L649" s="1">
        <v>44726</v>
      </c>
      <c r="M649" s="7">
        <f>DAY(Data[[#This Row],[Date]])</f>
        <v>14</v>
      </c>
      <c r="N649" s="7">
        <f>MONTH(Data[[#This Row],[Date]])</f>
        <v>6</v>
      </c>
      <c r="O649" s="7">
        <f>YEAR(Data[[#This Row],[Date]])</f>
        <v>2022</v>
      </c>
      <c r="P649" s="2">
        <v>0.82986111111111116</v>
      </c>
      <c r="Q649" t="s">
        <v>28</v>
      </c>
      <c r="R649">
        <v>23.541</v>
      </c>
      <c r="S649">
        <v>8.4075000000000006</v>
      </c>
      <c r="T649">
        <v>5.6</v>
      </c>
    </row>
    <row r="650" spans="1:20" x14ac:dyDescent="0.55000000000000004">
      <c r="A650" t="s">
        <v>683</v>
      </c>
      <c r="B650" t="s">
        <v>24</v>
      </c>
      <c r="C650" t="s">
        <v>25</v>
      </c>
      <c r="D650" t="str">
        <f>"Br. "&amp;Data[[#This Row],[Branch]]&amp;" ("&amp;Data[[#This Row],[City]]&amp;")"</f>
        <v>Br. C (Naypyitaw)</v>
      </c>
      <c r="E650" t="s">
        <v>19</v>
      </c>
      <c r="F650" t="s">
        <v>20</v>
      </c>
      <c r="G650" t="s">
        <v>35</v>
      </c>
      <c r="H650">
        <v>15.49</v>
      </c>
      <c r="I650">
        <v>2</v>
      </c>
      <c r="J650">
        <v>1.5489999999999999</v>
      </c>
      <c r="K650">
        <v>30.98</v>
      </c>
      <c r="L650" s="1">
        <v>44726</v>
      </c>
      <c r="M650" s="7">
        <f>DAY(Data[[#This Row],[Date]])</f>
        <v>14</v>
      </c>
      <c r="N650" s="7">
        <f>MONTH(Data[[#This Row],[Date]])</f>
        <v>6</v>
      </c>
      <c r="O650" s="7">
        <f>YEAR(Data[[#This Row],[Date]])</f>
        <v>2022</v>
      </c>
      <c r="P650" s="2">
        <v>0.63194444444444442</v>
      </c>
      <c r="Q650" t="s">
        <v>28</v>
      </c>
      <c r="R650">
        <v>21.686</v>
      </c>
      <c r="S650">
        <v>7.7450000000000001</v>
      </c>
      <c r="T650">
        <v>6.3</v>
      </c>
    </row>
    <row r="651" spans="1:20" x14ac:dyDescent="0.55000000000000004">
      <c r="A651" t="s">
        <v>684</v>
      </c>
      <c r="B651" t="s">
        <v>24</v>
      </c>
      <c r="C651" t="s">
        <v>25</v>
      </c>
      <c r="D651" t="str">
        <f>"Br. "&amp;Data[[#This Row],[Branch]]&amp;" ("&amp;Data[[#This Row],[City]]&amp;")"</f>
        <v>Br. C (Naypyitaw)</v>
      </c>
      <c r="E651" t="s">
        <v>26</v>
      </c>
      <c r="F651" t="s">
        <v>30</v>
      </c>
      <c r="G651" t="s">
        <v>27</v>
      </c>
      <c r="H651">
        <v>24.74</v>
      </c>
      <c r="I651">
        <v>10</v>
      </c>
      <c r="J651">
        <v>12.37</v>
      </c>
      <c r="K651">
        <v>247.4</v>
      </c>
      <c r="L651" s="1">
        <v>44726</v>
      </c>
      <c r="M651" s="7">
        <f>DAY(Data[[#This Row],[Date]])</f>
        <v>14</v>
      </c>
      <c r="N651" s="7">
        <f>MONTH(Data[[#This Row],[Date]])</f>
        <v>6</v>
      </c>
      <c r="O651" s="7">
        <f>YEAR(Data[[#This Row],[Date]])</f>
        <v>2022</v>
      </c>
      <c r="P651" s="2">
        <v>0.69722222222222219</v>
      </c>
      <c r="Q651" t="s">
        <v>28</v>
      </c>
      <c r="R651">
        <v>173.18</v>
      </c>
      <c r="S651">
        <v>61.85</v>
      </c>
      <c r="T651">
        <v>7.1</v>
      </c>
    </row>
    <row r="652" spans="1:20" x14ac:dyDescent="0.55000000000000004">
      <c r="A652" t="s">
        <v>685</v>
      </c>
      <c r="B652" t="s">
        <v>41</v>
      </c>
      <c r="C652" t="s">
        <v>42</v>
      </c>
      <c r="D652" t="str">
        <f>"Br. "&amp;Data[[#This Row],[Branch]]&amp;" ("&amp;Data[[#This Row],[City]]&amp;")"</f>
        <v>Br. B (Mandalay)</v>
      </c>
      <c r="E652" t="s">
        <v>26</v>
      </c>
      <c r="F652" t="s">
        <v>30</v>
      </c>
      <c r="G652" t="s">
        <v>27</v>
      </c>
      <c r="H652">
        <v>75.66</v>
      </c>
      <c r="I652">
        <v>5</v>
      </c>
      <c r="J652">
        <v>18.914999999999999</v>
      </c>
      <c r="K652">
        <v>378.3</v>
      </c>
      <c r="L652" s="1">
        <v>44726</v>
      </c>
      <c r="M652" s="7">
        <f>DAY(Data[[#This Row],[Date]])</f>
        <v>14</v>
      </c>
      <c r="N652" s="7">
        <f>MONTH(Data[[#This Row],[Date]])</f>
        <v>6</v>
      </c>
      <c r="O652" s="7">
        <f>YEAR(Data[[#This Row],[Date]])</f>
        <v>2022</v>
      </c>
      <c r="P652" s="2">
        <v>0.76527777777777772</v>
      </c>
      <c r="Q652" t="s">
        <v>22</v>
      </c>
      <c r="R652">
        <v>264.81</v>
      </c>
      <c r="S652">
        <v>94.575000000000003</v>
      </c>
      <c r="T652">
        <v>7.8</v>
      </c>
    </row>
    <row r="653" spans="1:20" x14ac:dyDescent="0.55000000000000004">
      <c r="A653" t="s">
        <v>686</v>
      </c>
      <c r="B653" t="s">
        <v>41</v>
      </c>
      <c r="C653" t="s">
        <v>42</v>
      </c>
      <c r="D653" t="str">
        <f>"Br. "&amp;Data[[#This Row],[Branch]]&amp;" ("&amp;Data[[#This Row],[City]]&amp;")"</f>
        <v>Br. B (Mandalay)</v>
      </c>
      <c r="E653" t="s">
        <v>26</v>
      </c>
      <c r="F653" t="s">
        <v>20</v>
      </c>
      <c r="G653" t="s">
        <v>21</v>
      </c>
      <c r="H653">
        <v>55.81</v>
      </c>
      <c r="I653">
        <v>6</v>
      </c>
      <c r="J653">
        <v>16.742999999999999</v>
      </c>
      <c r="K653">
        <v>334.86</v>
      </c>
      <c r="L653" s="1">
        <v>44726</v>
      </c>
      <c r="M653" s="7">
        <f>DAY(Data[[#This Row],[Date]])</f>
        <v>14</v>
      </c>
      <c r="N653" s="7">
        <f>MONTH(Data[[#This Row],[Date]])</f>
        <v>6</v>
      </c>
      <c r="O653" s="7">
        <f>YEAR(Data[[#This Row],[Date]])</f>
        <v>2022</v>
      </c>
      <c r="P653" s="2">
        <v>0.49444444444444446</v>
      </c>
      <c r="Q653" t="s">
        <v>28</v>
      </c>
      <c r="R653">
        <v>234.40199999999999</v>
      </c>
      <c r="S653">
        <v>83.715000000000003</v>
      </c>
      <c r="T653">
        <v>9.9</v>
      </c>
    </row>
    <row r="654" spans="1:20" x14ac:dyDescent="0.55000000000000004">
      <c r="A654" t="s">
        <v>687</v>
      </c>
      <c r="B654" t="s">
        <v>17</v>
      </c>
      <c r="C654" t="s">
        <v>18</v>
      </c>
      <c r="D654" t="str">
        <f>"Br. "&amp;Data[[#This Row],[Branch]]&amp;" ("&amp;Data[[#This Row],[City]]&amp;")"</f>
        <v>Br. A (Yangon)</v>
      </c>
      <c r="E654" t="s">
        <v>19</v>
      </c>
      <c r="F654" t="s">
        <v>30</v>
      </c>
      <c r="G654" t="s">
        <v>31</v>
      </c>
      <c r="H654">
        <v>72.78</v>
      </c>
      <c r="I654">
        <v>10</v>
      </c>
      <c r="J654">
        <v>36.39</v>
      </c>
      <c r="K654">
        <v>727.8</v>
      </c>
      <c r="L654" s="1">
        <v>44726</v>
      </c>
      <c r="M654" s="7">
        <f>DAY(Data[[#This Row],[Date]])</f>
        <v>14</v>
      </c>
      <c r="N654" s="7">
        <f>MONTH(Data[[#This Row],[Date]])</f>
        <v>6</v>
      </c>
      <c r="O654" s="7">
        <f>YEAR(Data[[#This Row],[Date]])</f>
        <v>2022</v>
      </c>
      <c r="P654" s="2">
        <v>0.72499999999999998</v>
      </c>
      <c r="Q654" t="s">
        <v>28</v>
      </c>
      <c r="R654">
        <v>509.46</v>
      </c>
      <c r="S654">
        <v>181.95</v>
      </c>
      <c r="T654">
        <v>7.3</v>
      </c>
    </row>
    <row r="655" spans="1:20" x14ac:dyDescent="0.55000000000000004">
      <c r="A655" t="s">
        <v>688</v>
      </c>
      <c r="B655" t="s">
        <v>41</v>
      </c>
      <c r="C655" t="s">
        <v>42</v>
      </c>
      <c r="D655" t="str">
        <f>"Br. "&amp;Data[[#This Row],[Branch]]&amp;" ("&amp;Data[[#This Row],[City]]&amp;")"</f>
        <v>Br. B (Mandalay)</v>
      </c>
      <c r="E655" t="s">
        <v>19</v>
      </c>
      <c r="F655" t="s">
        <v>30</v>
      </c>
      <c r="G655" t="s">
        <v>35</v>
      </c>
      <c r="H655">
        <v>37.32</v>
      </c>
      <c r="I655">
        <v>9</v>
      </c>
      <c r="J655">
        <v>16.794</v>
      </c>
      <c r="K655">
        <v>335.88</v>
      </c>
      <c r="L655" s="1">
        <v>44726</v>
      </c>
      <c r="M655" s="7">
        <f>DAY(Data[[#This Row],[Date]])</f>
        <v>14</v>
      </c>
      <c r="N655" s="7">
        <f>MONTH(Data[[#This Row],[Date]])</f>
        <v>6</v>
      </c>
      <c r="O655" s="7">
        <f>YEAR(Data[[#This Row],[Date]])</f>
        <v>2022</v>
      </c>
      <c r="P655" s="2">
        <v>0.64652777777777781</v>
      </c>
      <c r="Q655" t="s">
        <v>22</v>
      </c>
      <c r="R655">
        <v>235.11600000000001</v>
      </c>
      <c r="S655">
        <v>83.97</v>
      </c>
      <c r="T655">
        <v>5.0999999999999996</v>
      </c>
    </row>
    <row r="656" spans="1:20" x14ac:dyDescent="0.55000000000000004">
      <c r="A656" t="s">
        <v>689</v>
      </c>
      <c r="B656" t="s">
        <v>41</v>
      </c>
      <c r="C656" t="s">
        <v>42</v>
      </c>
      <c r="D656" t="str">
        <f>"Br. "&amp;Data[[#This Row],[Branch]]&amp;" ("&amp;Data[[#This Row],[City]]&amp;")"</f>
        <v>Br. B (Mandalay)</v>
      </c>
      <c r="E656" t="s">
        <v>19</v>
      </c>
      <c r="F656" t="s">
        <v>30</v>
      </c>
      <c r="G656" t="s">
        <v>45</v>
      </c>
      <c r="H656">
        <v>60.18</v>
      </c>
      <c r="I656">
        <v>4</v>
      </c>
      <c r="J656">
        <v>12.036</v>
      </c>
      <c r="K656">
        <v>240.72</v>
      </c>
      <c r="L656" s="1">
        <v>44726</v>
      </c>
      <c r="M656" s="7">
        <f>DAY(Data[[#This Row],[Date]])</f>
        <v>14</v>
      </c>
      <c r="N656" s="7">
        <f>MONTH(Data[[#This Row],[Date]])</f>
        <v>6</v>
      </c>
      <c r="O656" s="7">
        <f>YEAR(Data[[#This Row],[Date]])</f>
        <v>2022</v>
      </c>
      <c r="P656" s="2">
        <v>0.75277777777777777</v>
      </c>
      <c r="Q656" t="s">
        <v>32</v>
      </c>
      <c r="R656">
        <v>168.50399999999999</v>
      </c>
      <c r="S656">
        <v>60.18</v>
      </c>
      <c r="T656">
        <v>9.4</v>
      </c>
    </row>
    <row r="657" spans="1:20" x14ac:dyDescent="0.55000000000000004">
      <c r="A657" t="s">
        <v>690</v>
      </c>
      <c r="B657" t="s">
        <v>17</v>
      </c>
      <c r="C657" t="s">
        <v>18</v>
      </c>
      <c r="D657" t="str">
        <f>"Br. "&amp;Data[[#This Row],[Branch]]&amp;" ("&amp;Data[[#This Row],[City]]&amp;")"</f>
        <v>Br. A (Yangon)</v>
      </c>
      <c r="E657" t="s">
        <v>26</v>
      </c>
      <c r="F657" t="s">
        <v>20</v>
      </c>
      <c r="G657" t="s">
        <v>27</v>
      </c>
      <c r="H657">
        <v>15.69</v>
      </c>
      <c r="I657">
        <v>3</v>
      </c>
      <c r="J657">
        <v>2.3534999999999999</v>
      </c>
      <c r="K657">
        <v>47.07</v>
      </c>
      <c r="L657" s="1">
        <v>44726</v>
      </c>
      <c r="M657" s="7">
        <f>DAY(Data[[#This Row],[Date]])</f>
        <v>14</v>
      </c>
      <c r="N657" s="7">
        <f>MONTH(Data[[#This Row],[Date]])</f>
        <v>6</v>
      </c>
      <c r="O657" s="7">
        <f>YEAR(Data[[#This Row],[Date]])</f>
        <v>2022</v>
      </c>
      <c r="P657" s="2">
        <v>0.59236111111111112</v>
      </c>
      <c r="Q657" t="s">
        <v>32</v>
      </c>
      <c r="R657">
        <v>32.948999999999998</v>
      </c>
      <c r="S657">
        <v>11.7675</v>
      </c>
      <c r="T657">
        <v>5.8</v>
      </c>
    </row>
    <row r="658" spans="1:20" x14ac:dyDescent="0.55000000000000004">
      <c r="A658" t="s">
        <v>691</v>
      </c>
      <c r="B658" t="s">
        <v>24</v>
      </c>
      <c r="C658" t="s">
        <v>25</v>
      </c>
      <c r="D658" t="str">
        <f>"Br. "&amp;Data[[#This Row],[Branch]]&amp;" ("&amp;Data[[#This Row],[City]]&amp;")"</f>
        <v>Br. C (Naypyitaw)</v>
      </c>
      <c r="E658" t="s">
        <v>26</v>
      </c>
      <c r="F658" t="s">
        <v>20</v>
      </c>
      <c r="G658" t="s">
        <v>27</v>
      </c>
      <c r="H658">
        <v>99.69</v>
      </c>
      <c r="I658">
        <v>1</v>
      </c>
      <c r="J658">
        <v>4.9844999999999997</v>
      </c>
      <c r="K658">
        <v>99.69</v>
      </c>
      <c r="L658" s="1">
        <v>44726</v>
      </c>
      <c r="M658" s="7">
        <f>DAY(Data[[#This Row],[Date]])</f>
        <v>14</v>
      </c>
      <c r="N658" s="7">
        <f>MONTH(Data[[#This Row],[Date]])</f>
        <v>6</v>
      </c>
      <c r="O658" s="7">
        <f>YEAR(Data[[#This Row],[Date]])</f>
        <v>2022</v>
      </c>
      <c r="P658" s="2">
        <v>0.43263888888888891</v>
      </c>
      <c r="Q658" t="s">
        <v>32</v>
      </c>
      <c r="R658">
        <v>69.783000000000001</v>
      </c>
      <c r="S658">
        <v>24.922499999999999</v>
      </c>
      <c r="T658">
        <v>8</v>
      </c>
    </row>
    <row r="659" spans="1:20" x14ac:dyDescent="0.55000000000000004">
      <c r="A659" t="s">
        <v>692</v>
      </c>
      <c r="B659" t="s">
        <v>17</v>
      </c>
      <c r="C659" t="s">
        <v>18</v>
      </c>
      <c r="D659" t="str">
        <f>"Br. "&amp;Data[[#This Row],[Branch]]&amp;" ("&amp;Data[[#This Row],[City]]&amp;")"</f>
        <v>Br. A (Yangon)</v>
      </c>
      <c r="E659" t="s">
        <v>19</v>
      </c>
      <c r="F659" t="s">
        <v>20</v>
      </c>
      <c r="G659" t="s">
        <v>45</v>
      </c>
      <c r="H659">
        <v>88.15</v>
      </c>
      <c r="I659">
        <v>3</v>
      </c>
      <c r="J659">
        <v>13.2225</v>
      </c>
      <c r="K659">
        <v>264.45</v>
      </c>
      <c r="L659" s="1">
        <v>44726</v>
      </c>
      <c r="M659" s="7">
        <f>DAY(Data[[#This Row],[Date]])</f>
        <v>14</v>
      </c>
      <c r="N659" s="7">
        <f>MONTH(Data[[#This Row],[Date]])</f>
        <v>6</v>
      </c>
      <c r="O659" s="7">
        <f>YEAR(Data[[#This Row],[Date]])</f>
        <v>2022</v>
      </c>
      <c r="P659" s="2">
        <v>0.42430555555555555</v>
      </c>
      <c r="Q659" t="s">
        <v>22</v>
      </c>
      <c r="R659">
        <v>185.11500000000001</v>
      </c>
      <c r="S659">
        <v>66.112499999999997</v>
      </c>
      <c r="T659">
        <v>7.9</v>
      </c>
    </row>
    <row r="660" spans="1:20" x14ac:dyDescent="0.55000000000000004">
      <c r="A660" t="s">
        <v>693</v>
      </c>
      <c r="B660" t="s">
        <v>17</v>
      </c>
      <c r="C660" t="s">
        <v>18</v>
      </c>
      <c r="D660" t="str">
        <f>"Br. "&amp;Data[[#This Row],[Branch]]&amp;" ("&amp;Data[[#This Row],[City]]&amp;")"</f>
        <v>Br. A (Yangon)</v>
      </c>
      <c r="E660" t="s">
        <v>19</v>
      </c>
      <c r="F660" t="s">
        <v>20</v>
      </c>
      <c r="G660" t="s">
        <v>35</v>
      </c>
      <c r="H660">
        <v>27.93</v>
      </c>
      <c r="I660">
        <v>5</v>
      </c>
      <c r="J660">
        <v>6.9824999999999999</v>
      </c>
      <c r="K660">
        <v>139.65</v>
      </c>
      <c r="L660" s="1">
        <v>44726</v>
      </c>
      <c r="M660" s="7">
        <f>DAY(Data[[#This Row],[Date]])</f>
        <v>14</v>
      </c>
      <c r="N660" s="7">
        <f>MONTH(Data[[#This Row],[Date]])</f>
        <v>6</v>
      </c>
      <c r="O660" s="7">
        <f>YEAR(Data[[#This Row],[Date]])</f>
        <v>2022</v>
      </c>
      <c r="P660" s="2">
        <v>0.65833333333333333</v>
      </c>
      <c r="Q660" t="s">
        <v>28</v>
      </c>
      <c r="R660">
        <v>97.754999999999995</v>
      </c>
      <c r="S660">
        <v>34.912500000000001</v>
      </c>
      <c r="T660">
        <v>5.9</v>
      </c>
    </row>
    <row r="661" spans="1:20" x14ac:dyDescent="0.55000000000000004">
      <c r="A661" t="s">
        <v>694</v>
      </c>
      <c r="B661" t="s">
        <v>17</v>
      </c>
      <c r="C661" t="s">
        <v>18</v>
      </c>
      <c r="D661" t="str">
        <f>"Br. "&amp;Data[[#This Row],[Branch]]&amp;" ("&amp;Data[[#This Row],[City]]&amp;")"</f>
        <v>Br. A (Yangon)</v>
      </c>
      <c r="E661" t="s">
        <v>19</v>
      </c>
      <c r="F661" t="s">
        <v>30</v>
      </c>
      <c r="G661" t="s">
        <v>45</v>
      </c>
      <c r="H661">
        <v>55.45</v>
      </c>
      <c r="I661">
        <v>1</v>
      </c>
      <c r="J661">
        <v>2.7725</v>
      </c>
      <c r="K661">
        <v>55.45</v>
      </c>
      <c r="L661" s="1">
        <v>44726</v>
      </c>
      <c r="M661" s="7">
        <f>DAY(Data[[#This Row],[Date]])</f>
        <v>14</v>
      </c>
      <c r="N661" s="7">
        <f>MONTH(Data[[#This Row],[Date]])</f>
        <v>6</v>
      </c>
      <c r="O661" s="7">
        <f>YEAR(Data[[#This Row],[Date]])</f>
        <v>2022</v>
      </c>
      <c r="P661" s="2">
        <v>0.74027777777777781</v>
      </c>
      <c r="Q661" t="s">
        <v>32</v>
      </c>
      <c r="R661">
        <v>38.814999999999998</v>
      </c>
      <c r="S661">
        <v>13.862500000000001</v>
      </c>
      <c r="T661">
        <v>4.9000000000000004</v>
      </c>
    </row>
    <row r="662" spans="1:20" x14ac:dyDescent="0.55000000000000004">
      <c r="A662" t="s">
        <v>695</v>
      </c>
      <c r="B662" t="s">
        <v>41</v>
      </c>
      <c r="C662" t="s">
        <v>42</v>
      </c>
      <c r="D662" t="str">
        <f>"Br. "&amp;Data[[#This Row],[Branch]]&amp;" ("&amp;Data[[#This Row],[City]]&amp;")"</f>
        <v>Br. B (Mandalay)</v>
      </c>
      <c r="E662" t="s">
        <v>26</v>
      </c>
      <c r="F662" t="s">
        <v>20</v>
      </c>
      <c r="G662" t="s">
        <v>35</v>
      </c>
      <c r="H662">
        <v>42.97</v>
      </c>
      <c r="I662">
        <v>3</v>
      </c>
      <c r="J662">
        <v>6.4455</v>
      </c>
      <c r="K662">
        <v>128.91</v>
      </c>
      <c r="L662" s="1">
        <v>44726</v>
      </c>
      <c r="M662" s="7">
        <f>DAY(Data[[#This Row],[Date]])</f>
        <v>14</v>
      </c>
      <c r="N662" s="7">
        <f>MONTH(Data[[#This Row],[Date]])</f>
        <v>6</v>
      </c>
      <c r="O662" s="7">
        <f>YEAR(Data[[#This Row],[Date]])</f>
        <v>2022</v>
      </c>
      <c r="P662" s="2">
        <v>0.49027777777777776</v>
      </c>
      <c r="Q662" t="s">
        <v>28</v>
      </c>
      <c r="R662">
        <v>90.236999999999995</v>
      </c>
      <c r="S662">
        <v>32.227499999999999</v>
      </c>
      <c r="T662">
        <v>9.3000000000000007</v>
      </c>
    </row>
    <row r="663" spans="1:20" x14ac:dyDescent="0.55000000000000004">
      <c r="A663" t="s">
        <v>696</v>
      </c>
      <c r="B663" t="s">
        <v>24</v>
      </c>
      <c r="C663" t="s">
        <v>25</v>
      </c>
      <c r="D663" t="str">
        <f>"Br. "&amp;Data[[#This Row],[Branch]]&amp;" ("&amp;Data[[#This Row],[City]]&amp;")"</f>
        <v>Br. C (Naypyitaw)</v>
      </c>
      <c r="E663" t="s">
        <v>19</v>
      </c>
      <c r="F663" t="s">
        <v>30</v>
      </c>
      <c r="G663" t="s">
        <v>35</v>
      </c>
      <c r="H663">
        <v>17.14</v>
      </c>
      <c r="I663">
        <v>7</v>
      </c>
      <c r="J663">
        <v>5.9989999999999997</v>
      </c>
      <c r="K663">
        <v>119.98</v>
      </c>
      <c r="L663" s="1">
        <v>44726</v>
      </c>
      <c r="M663" s="7">
        <f>DAY(Data[[#This Row],[Date]])</f>
        <v>14</v>
      </c>
      <c r="N663" s="7">
        <f>MONTH(Data[[#This Row],[Date]])</f>
        <v>6</v>
      </c>
      <c r="O663" s="7">
        <f>YEAR(Data[[#This Row],[Date]])</f>
        <v>2022</v>
      </c>
      <c r="P663" s="2">
        <v>0.50486111111111109</v>
      </c>
      <c r="Q663" t="s">
        <v>32</v>
      </c>
      <c r="R663">
        <v>83.986000000000004</v>
      </c>
      <c r="S663">
        <v>29.995000000000001</v>
      </c>
      <c r="T663">
        <v>7.9</v>
      </c>
    </row>
    <row r="664" spans="1:20" x14ac:dyDescent="0.55000000000000004">
      <c r="A664" t="s">
        <v>697</v>
      </c>
      <c r="B664" t="s">
        <v>41</v>
      </c>
      <c r="C664" t="s">
        <v>42</v>
      </c>
      <c r="D664" t="str">
        <f>"Br. "&amp;Data[[#This Row],[Branch]]&amp;" ("&amp;Data[[#This Row],[City]]&amp;")"</f>
        <v>Br. B (Mandalay)</v>
      </c>
      <c r="E664" t="s">
        <v>19</v>
      </c>
      <c r="F664" t="s">
        <v>20</v>
      </c>
      <c r="G664" t="s">
        <v>45</v>
      </c>
      <c r="H664">
        <v>58.75</v>
      </c>
      <c r="I664">
        <v>6</v>
      </c>
      <c r="J664">
        <v>17.625</v>
      </c>
      <c r="K664">
        <v>352.5</v>
      </c>
      <c r="L664" s="1">
        <v>44726</v>
      </c>
      <c r="M664" s="7">
        <f>DAY(Data[[#This Row],[Date]])</f>
        <v>14</v>
      </c>
      <c r="N664" s="7">
        <f>MONTH(Data[[#This Row],[Date]])</f>
        <v>6</v>
      </c>
      <c r="O664" s="7">
        <f>YEAR(Data[[#This Row],[Date]])</f>
        <v>2022</v>
      </c>
      <c r="P664" s="2">
        <v>0.75972222222222219</v>
      </c>
      <c r="Q664" t="s">
        <v>32</v>
      </c>
      <c r="R664">
        <v>246.75</v>
      </c>
      <c r="S664">
        <v>88.125</v>
      </c>
      <c r="T664">
        <v>5.9</v>
      </c>
    </row>
    <row r="665" spans="1:20" x14ac:dyDescent="0.55000000000000004">
      <c r="A665" t="s">
        <v>698</v>
      </c>
      <c r="B665" t="s">
        <v>24</v>
      </c>
      <c r="C665" t="s">
        <v>25</v>
      </c>
      <c r="D665" t="str">
        <f>"Br. "&amp;Data[[#This Row],[Branch]]&amp;" ("&amp;Data[[#This Row],[City]]&amp;")"</f>
        <v>Br. C (Naypyitaw)</v>
      </c>
      <c r="E665" t="s">
        <v>19</v>
      </c>
      <c r="F665" t="s">
        <v>20</v>
      </c>
      <c r="G665" t="s">
        <v>43</v>
      </c>
      <c r="H665">
        <v>87.1</v>
      </c>
      <c r="I665">
        <v>10</v>
      </c>
      <c r="J665">
        <v>43.55</v>
      </c>
      <c r="K665">
        <v>871</v>
      </c>
      <c r="L665" s="1">
        <v>44726</v>
      </c>
      <c r="M665" s="7">
        <f>DAY(Data[[#This Row],[Date]])</f>
        <v>14</v>
      </c>
      <c r="N665" s="7">
        <f>MONTH(Data[[#This Row],[Date]])</f>
        <v>6</v>
      </c>
      <c r="O665" s="7">
        <f>YEAR(Data[[#This Row],[Date]])</f>
        <v>2022</v>
      </c>
      <c r="P665" s="2">
        <v>0.61458333333333337</v>
      </c>
      <c r="Q665" t="s">
        <v>32</v>
      </c>
      <c r="R665">
        <v>609.70000000000005</v>
      </c>
      <c r="S665">
        <v>217.75</v>
      </c>
      <c r="T665">
        <v>9.9</v>
      </c>
    </row>
    <row r="666" spans="1:20" x14ac:dyDescent="0.55000000000000004">
      <c r="A666" t="s">
        <v>699</v>
      </c>
      <c r="B666" t="s">
        <v>24</v>
      </c>
      <c r="C666" t="s">
        <v>25</v>
      </c>
      <c r="D666" t="str">
        <f>"Br. "&amp;Data[[#This Row],[Branch]]&amp;" ("&amp;Data[[#This Row],[City]]&amp;")"</f>
        <v>Br. C (Naypyitaw)</v>
      </c>
      <c r="E666" t="s">
        <v>26</v>
      </c>
      <c r="F666" t="s">
        <v>20</v>
      </c>
      <c r="G666" t="s">
        <v>35</v>
      </c>
      <c r="H666">
        <v>98.8</v>
      </c>
      <c r="I666">
        <v>2</v>
      </c>
      <c r="J666">
        <v>9.8800000000000008</v>
      </c>
      <c r="K666">
        <v>197.6</v>
      </c>
      <c r="L666" s="1">
        <v>44726</v>
      </c>
      <c r="M666" s="7">
        <f>DAY(Data[[#This Row],[Date]])</f>
        <v>14</v>
      </c>
      <c r="N666" s="7">
        <f>MONTH(Data[[#This Row],[Date]])</f>
        <v>6</v>
      </c>
      <c r="O666" s="7">
        <f>YEAR(Data[[#This Row],[Date]])</f>
        <v>2022</v>
      </c>
      <c r="P666" s="2">
        <v>0.48541666666666666</v>
      </c>
      <c r="Q666" t="s">
        <v>28</v>
      </c>
      <c r="R666">
        <v>138.32</v>
      </c>
      <c r="S666">
        <v>49.4</v>
      </c>
      <c r="T666">
        <v>7.7</v>
      </c>
    </row>
    <row r="667" spans="1:20" x14ac:dyDescent="0.55000000000000004">
      <c r="A667" t="s">
        <v>700</v>
      </c>
      <c r="B667" t="s">
        <v>17</v>
      </c>
      <c r="C667" t="s">
        <v>18</v>
      </c>
      <c r="D667" t="str">
        <f>"Br. "&amp;Data[[#This Row],[Branch]]&amp;" ("&amp;Data[[#This Row],[City]]&amp;")"</f>
        <v>Br. A (Yangon)</v>
      </c>
      <c r="E667" t="s">
        <v>26</v>
      </c>
      <c r="F667" t="s">
        <v>20</v>
      </c>
      <c r="G667" t="s">
        <v>45</v>
      </c>
      <c r="H667">
        <v>48.63</v>
      </c>
      <c r="I667">
        <v>4</v>
      </c>
      <c r="J667">
        <v>9.7260000000000009</v>
      </c>
      <c r="K667">
        <v>194.52</v>
      </c>
      <c r="L667" s="1">
        <v>44726</v>
      </c>
      <c r="M667" s="7">
        <f>DAY(Data[[#This Row],[Date]])</f>
        <v>14</v>
      </c>
      <c r="N667" s="7">
        <f>MONTH(Data[[#This Row],[Date]])</f>
        <v>6</v>
      </c>
      <c r="O667" s="7">
        <f>YEAR(Data[[#This Row],[Date]])</f>
        <v>2022</v>
      </c>
      <c r="P667" s="2">
        <v>0.65555555555555556</v>
      </c>
      <c r="Q667" t="s">
        <v>22</v>
      </c>
      <c r="R667">
        <v>136.16399999999999</v>
      </c>
      <c r="S667">
        <v>48.63</v>
      </c>
      <c r="T667">
        <v>7.6</v>
      </c>
    </row>
    <row r="668" spans="1:20" x14ac:dyDescent="0.55000000000000004">
      <c r="A668" t="s">
        <v>701</v>
      </c>
      <c r="B668" t="s">
        <v>41</v>
      </c>
      <c r="C668" t="s">
        <v>42</v>
      </c>
      <c r="D668" t="str">
        <f>"Br. "&amp;Data[[#This Row],[Branch]]&amp;" ("&amp;Data[[#This Row],[City]]&amp;")"</f>
        <v>Br. B (Mandalay)</v>
      </c>
      <c r="E668" t="s">
        <v>19</v>
      </c>
      <c r="F668" t="s">
        <v>30</v>
      </c>
      <c r="G668" t="s">
        <v>43</v>
      </c>
      <c r="H668">
        <v>57.74</v>
      </c>
      <c r="I668">
        <v>3</v>
      </c>
      <c r="J668">
        <v>8.6609999999999996</v>
      </c>
      <c r="K668">
        <v>173.22</v>
      </c>
      <c r="L668" s="1">
        <v>44726</v>
      </c>
      <c r="M668" s="7">
        <f>DAY(Data[[#This Row],[Date]])</f>
        <v>14</v>
      </c>
      <c r="N668" s="7">
        <f>MONTH(Data[[#This Row],[Date]])</f>
        <v>6</v>
      </c>
      <c r="O668" s="7">
        <f>YEAR(Data[[#This Row],[Date]])</f>
        <v>2022</v>
      </c>
      <c r="P668" s="2">
        <v>0.54583333333333328</v>
      </c>
      <c r="Q668" t="s">
        <v>22</v>
      </c>
      <c r="R668">
        <v>121.254</v>
      </c>
      <c r="S668">
        <v>43.305</v>
      </c>
      <c r="T668">
        <v>7.7</v>
      </c>
    </row>
    <row r="669" spans="1:20" x14ac:dyDescent="0.55000000000000004">
      <c r="A669" t="s">
        <v>702</v>
      </c>
      <c r="B669" t="s">
        <v>41</v>
      </c>
      <c r="C669" t="s">
        <v>42</v>
      </c>
      <c r="D669" t="str">
        <f>"Br. "&amp;Data[[#This Row],[Branch]]&amp;" ("&amp;Data[[#This Row],[City]]&amp;")"</f>
        <v>Br. B (Mandalay)</v>
      </c>
      <c r="E669" t="s">
        <v>26</v>
      </c>
      <c r="F669" t="s">
        <v>20</v>
      </c>
      <c r="G669" t="s">
        <v>21</v>
      </c>
      <c r="H669">
        <v>17.97</v>
      </c>
      <c r="I669">
        <v>4</v>
      </c>
      <c r="J669">
        <v>3.5939999999999999</v>
      </c>
      <c r="K669">
        <v>71.88</v>
      </c>
      <c r="L669" s="1">
        <v>44726</v>
      </c>
      <c r="M669" s="7">
        <f>DAY(Data[[#This Row],[Date]])</f>
        <v>14</v>
      </c>
      <c r="N669" s="7">
        <f>MONTH(Data[[#This Row],[Date]])</f>
        <v>6</v>
      </c>
      <c r="O669" s="7">
        <f>YEAR(Data[[#This Row],[Date]])</f>
        <v>2022</v>
      </c>
      <c r="P669" s="2">
        <v>0.86319444444444449</v>
      </c>
      <c r="Q669" t="s">
        <v>22</v>
      </c>
      <c r="R669">
        <v>50.316000000000003</v>
      </c>
      <c r="S669">
        <v>17.97</v>
      </c>
      <c r="T669">
        <v>6.4</v>
      </c>
    </row>
    <row r="670" spans="1:20" x14ac:dyDescent="0.55000000000000004">
      <c r="A670" t="s">
        <v>703</v>
      </c>
      <c r="B670" t="s">
        <v>24</v>
      </c>
      <c r="C670" t="s">
        <v>25</v>
      </c>
      <c r="D670" t="str">
        <f>"Br. "&amp;Data[[#This Row],[Branch]]&amp;" ("&amp;Data[[#This Row],[City]]&amp;")"</f>
        <v>Br. C (Naypyitaw)</v>
      </c>
      <c r="E670" t="s">
        <v>19</v>
      </c>
      <c r="F670" t="s">
        <v>20</v>
      </c>
      <c r="G670" t="s">
        <v>21</v>
      </c>
      <c r="H670">
        <v>47.71</v>
      </c>
      <c r="I670">
        <v>6</v>
      </c>
      <c r="J670">
        <v>14.313000000000001</v>
      </c>
      <c r="K670">
        <v>286.26</v>
      </c>
      <c r="L670" s="1">
        <v>44726</v>
      </c>
      <c r="M670" s="7">
        <f>DAY(Data[[#This Row],[Date]])</f>
        <v>14</v>
      </c>
      <c r="N670" s="7">
        <f>MONTH(Data[[#This Row],[Date]])</f>
        <v>6</v>
      </c>
      <c r="O670" s="7">
        <f>YEAR(Data[[#This Row],[Date]])</f>
        <v>2022</v>
      </c>
      <c r="P670" s="2">
        <v>0.59652777777777777</v>
      </c>
      <c r="Q670" t="s">
        <v>22</v>
      </c>
      <c r="R670">
        <v>200.38200000000001</v>
      </c>
      <c r="S670">
        <v>71.564999999999998</v>
      </c>
      <c r="T670">
        <v>4.4000000000000004</v>
      </c>
    </row>
    <row r="671" spans="1:20" x14ac:dyDescent="0.55000000000000004">
      <c r="A671" t="s">
        <v>704</v>
      </c>
      <c r="B671" t="s">
        <v>41</v>
      </c>
      <c r="C671" t="s">
        <v>42</v>
      </c>
      <c r="D671" t="str">
        <f>"Br. "&amp;Data[[#This Row],[Branch]]&amp;" ("&amp;Data[[#This Row],[City]]&amp;")"</f>
        <v>Br. B (Mandalay)</v>
      </c>
      <c r="E671" t="s">
        <v>26</v>
      </c>
      <c r="F671" t="s">
        <v>20</v>
      </c>
      <c r="G671" t="s">
        <v>35</v>
      </c>
      <c r="H671">
        <v>40.619999999999997</v>
      </c>
      <c r="I671">
        <v>2</v>
      </c>
      <c r="J671">
        <v>4.0620000000000003</v>
      </c>
      <c r="K671">
        <v>81.239999999999995</v>
      </c>
      <c r="L671" s="1">
        <v>44726</v>
      </c>
      <c r="M671" s="7">
        <f>DAY(Data[[#This Row],[Date]])</f>
        <v>14</v>
      </c>
      <c r="N671" s="7">
        <f>MONTH(Data[[#This Row],[Date]])</f>
        <v>6</v>
      </c>
      <c r="O671" s="7">
        <f>YEAR(Data[[#This Row],[Date]])</f>
        <v>2022</v>
      </c>
      <c r="P671" s="2">
        <v>0.41736111111111113</v>
      </c>
      <c r="Q671" t="s">
        <v>32</v>
      </c>
      <c r="R671">
        <v>56.868000000000002</v>
      </c>
      <c r="S671">
        <v>20.309999999999999</v>
      </c>
      <c r="T671">
        <v>4.0999999999999996</v>
      </c>
    </row>
    <row r="672" spans="1:20" x14ac:dyDescent="0.55000000000000004">
      <c r="A672" t="s">
        <v>705</v>
      </c>
      <c r="B672" t="s">
        <v>17</v>
      </c>
      <c r="C672" t="s">
        <v>18</v>
      </c>
      <c r="D672" t="str">
        <f>"Br. "&amp;Data[[#This Row],[Branch]]&amp;" ("&amp;Data[[#This Row],[City]]&amp;")"</f>
        <v>Br. A (Yangon)</v>
      </c>
      <c r="E672" t="s">
        <v>19</v>
      </c>
      <c r="F672" t="s">
        <v>30</v>
      </c>
      <c r="G672" t="s">
        <v>45</v>
      </c>
      <c r="H672">
        <v>56.04</v>
      </c>
      <c r="I672">
        <v>10</v>
      </c>
      <c r="J672">
        <v>28.02</v>
      </c>
      <c r="K672">
        <v>560.4</v>
      </c>
      <c r="L672" s="1">
        <v>44726</v>
      </c>
      <c r="M672" s="7">
        <f>DAY(Data[[#This Row],[Date]])</f>
        <v>14</v>
      </c>
      <c r="N672" s="7">
        <f>MONTH(Data[[#This Row],[Date]])</f>
        <v>6</v>
      </c>
      <c r="O672" s="7">
        <f>YEAR(Data[[#This Row],[Date]])</f>
        <v>2022</v>
      </c>
      <c r="P672" s="2">
        <v>0.8125</v>
      </c>
      <c r="Q672" t="s">
        <v>22</v>
      </c>
      <c r="R672">
        <v>392.28</v>
      </c>
      <c r="S672">
        <v>140.1</v>
      </c>
      <c r="T672">
        <v>4.4000000000000004</v>
      </c>
    </row>
    <row r="673" spans="1:20" x14ac:dyDescent="0.55000000000000004">
      <c r="A673" t="s">
        <v>706</v>
      </c>
      <c r="B673" t="s">
        <v>41</v>
      </c>
      <c r="C673" t="s">
        <v>42</v>
      </c>
      <c r="D673" t="str">
        <f>"Br. "&amp;Data[[#This Row],[Branch]]&amp;" ("&amp;Data[[#This Row],[City]]&amp;")"</f>
        <v>Br. B (Mandalay)</v>
      </c>
      <c r="E673" t="s">
        <v>19</v>
      </c>
      <c r="F673" t="s">
        <v>30</v>
      </c>
      <c r="G673" t="s">
        <v>43</v>
      </c>
      <c r="H673">
        <v>93.4</v>
      </c>
      <c r="I673">
        <v>2</v>
      </c>
      <c r="J673">
        <v>9.34</v>
      </c>
      <c r="K673">
        <v>186.8</v>
      </c>
      <c r="L673" s="1">
        <v>44726</v>
      </c>
      <c r="M673" s="7">
        <f>DAY(Data[[#This Row],[Date]])</f>
        <v>14</v>
      </c>
      <c r="N673" s="7">
        <f>MONTH(Data[[#This Row],[Date]])</f>
        <v>6</v>
      </c>
      <c r="O673" s="7">
        <f>YEAR(Data[[#This Row],[Date]])</f>
        <v>2022</v>
      </c>
      <c r="P673" s="2">
        <v>0.69027777777777777</v>
      </c>
      <c r="Q673" t="s">
        <v>28</v>
      </c>
      <c r="R673">
        <v>130.76</v>
      </c>
      <c r="S673">
        <v>46.7</v>
      </c>
      <c r="T673">
        <v>5.5</v>
      </c>
    </row>
    <row r="674" spans="1:20" x14ac:dyDescent="0.55000000000000004">
      <c r="A674" t="s">
        <v>707</v>
      </c>
      <c r="B674" t="s">
        <v>41</v>
      </c>
      <c r="C674" t="s">
        <v>42</v>
      </c>
      <c r="D674" t="str">
        <f>"Br. "&amp;Data[[#This Row],[Branch]]&amp;" ("&amp;Data[[#This Row],[City]]&amp;")"</f>
        <v>Br. B (Mandalay)</v>
      </c>
      <c r="E674" t="s">
        <v>26</v>
      </c>
      <c r="F674" t="s">
        <v>20</v>
      </c>
      <c r="G674" t="s">
        <v>21</v>
      </c>
      <c r="H674">
        <v>73.41</v>
      </c>
      <c r="I674">
        <v>3</v>
      </c>
      <c r="J674">
        <v>11.0115</v>
      </c>
      <c r="K674">
        <v>220.23</v>
      </c>
      <c r="L674" s="1">
        <v>44726</v>
      </c>
      <c r="M674" s="7">
        <f>DAY(Data[[#This Row],[Date]])</f>
        <v>14</v>
      </c>
      <c r="N674" s="7">
        <f>MONTH(Data[[#This Row],[Date]])</f>
        <v>6</v>
      </c>
      <c r="O674" s="7">
        <f>YEAR(Data[[#This Row],[Date]])</f>
        <v>2022</v>
      </c>
      <c r="P674" s="2">
        <v>0.54861111111111116</v>
      </c>
      <c r="Q674" t="s">
        <v>22</v>
      </c>
      <c r="R674">
        <v>154.161</v>
      </c>
      <c r="S674">
        <v>55.057499999999997</v>
      </c>
      <c r="T674">
        <v>4</v>
      </c>
    </row>
    <row r="675" spans="1:20" x14ac:dyDescent="0.55000000000000004">
      <c r="A675" t="s">
        <v>708</v>
      </c>
      <c r="B675" t="s">
        <v>24</v>
      </c>
      <c r="C675" t="s">
        <v>25</v>
      </c>
      <c r="D675" t="str">
        <f>"Br. "&amp;Data[[#This Row],[Branch]]&amp;" ("&amp;Data[[#This Row],[City]]&amp;")"</f>
        <v>Br. C (Naypyitaw)</v>
      </c>
      <c r="E675" t="s">
        <v>26</v>
      </c>
      <c r="F675" t="s">
        <v>30</v>
      </c>
      <c r="G675" t="s">
        <v>21</v>
      </c>
      <c r="H675">
        <v>33.64</v>
      </c>
      <c r="I675">
        <v>8</v>
      </c>
      <c r="J675">
        <v>13.456</v>
      </c>
      <c r="K675">
        <v>269.12</v>
      </c>
      <c r="L675" s="1">
        <v>44726</v>
      </c>
      <c r="M675" s="7">
        <f>DAY(Data[[#This Row],[Date]])</f>
        <v>14</v>
      </c>
      <c r="N675" s="7">
        <f>MONTH(Data[[#This Row],[Date]])</f>
        <v>6</v>
      </c>
      <c r="O675" s="7">
        <f>YEAR(Data[[#This Row],[Date]])</f>
        <v>2022</v>
      </c>
      <c r="P675" s="2">
        <v>0.71527777777777779</v>
      </c>
      <c r="Q675" t="s">
        <v>32</v>
      </c>
      <c r="R675">
        <v>188.38399999999999</v>
      </c>
      <c r="S675">
        <v>67.28</v>
      </c>
      <c r="T675">
        <v>9.3000000000000007</v>
      </c>
    </row>
    <row r="676" spans="1:20" x14ac:dyDescent="0.55000000000000004">
      <c r="A676" t="s">
        <v>709</v>
      </c>
      <c r="B676" t="s">
        <v>17</v>
      </c>
      <c r="C676" t="s">
        <v>18</v>
      </c>
      <c r="D676" t="str">
        <f>"Br. "&amp;Data[[#This Row],[Branch]]&amp;" ("&amp;Data[[#This Row],[City]]&amp;")"</f>
        <v>Br. A (Yangon)</v>
      </c>
      <c r="E676" t="s">
        <v>26</v>
      </c>
      <c r="F676" t="s">
        <v>20</v>
      </c>
      <c r="G676" t="s">
        <v>27</v>
      </c>
      <c r="H676">
        <v>45.48</v>
      </c>
      <c r="I676">
        <v>10</v>
      </c>
      <c r="J676">
        <v>22.74</v>
      </c>
      <c r="K676">
        <v>454.8</v>
      </c>
      <c r="L676" s="1">
        <v>44726</v>
      </c>
      <c r="M676" s="7">
        <f>DAY(Data[[#This Row],[Date]])</f>
        <v>14</v>
      </c>
      <c r="N676" s="7">
        <f>MONTH(Data[[#This Row],[Date]])</f>
        <v>6</v>
      </c>
      <c r="O676" s="7">
        <f>YEAR(Data[[#This Row],[Date]])</f>
        <v>2022</v>
      </c>
      <c r="P676" s="2">
        <v>0.43194444444444446</v>
      </c>
      <c r="Q676" t="s">
        <v>32</v>
      </c>
      <c r="R676">
        <v>318.36</v>
      </c>
      <c r="S676">
        <v>113.7</v>
      </c>
      <c r="T676">
        <v>4.8</v>
      </c>
    </row>
    <row r="677" spans="1:20" x14ac:dyDescent="0.55000000000000004">
      <c r="A677" t="s">
        <v>710</v>
      </c>
      <c r="B677" t="s">
        <v>41</v>
      </c>
      <c r="C677" t="s">
        <v>42</v>
      </c>
      <c r="D677" t="str">
        <f>"Br. "&amp;Data[[#This Row],[Branch]]&amp;" ("&amp;Data[[#This Row],[City]]&amp;")"</f>
        <v>Br. B (Mandalay)</v>
      </c>
      <c r="E677" t="s">
        <v>19</v>
      </c>
      <c r="F677" t="s">
        <v>30</v>
      </c>
      <c r="G677" t="s">
        <v>45</v>
      </c>
      <c r="H677">
        <v>83.77</v>
      </c>
      <c r="I677">
        <v>2</v>
      </c>
      <c r="J677">
        <v>8.3770000000000007</v>
      </c>
      <c r="K677">
        <v>167.54</v>
      </c>
      <c r="L677" s="1">
        <v>44726</v>
      </c>
      <c r="M677" s="7">
        <f>DAY(Data[[#This Row],[Date]])</f>
        <v>14</v>
      </c>
      <c r="N677" s="7">
        <f>MONTH(Data[[#This Row],[Date]])</f>
        <v>6</v>
      </c>
      <c r="O677" s="7">
        <f>YEAR(Data[[#This Row],[Date]])</f>
        <v>2022</v>
      </c>
      <c r="P677" s="2">
        <v>0.83125000000000004</v>
      </c>
      <c r="Q677" t="s">
        <v>28</v>
      </c>
      <c r="R677">
        <v>117.27800000000001</v>
      </c>
      <c r="S677">
        <v>41.884999999999998</v>
      </c>
      <c r="T677">
        <v>4.5999999999999996</v>
      </c>
    </row>
    <row r="678" spans="1:20" x14ac:dyDescent="0.55000000000000004">
      <c r="A678" t="s">
        <v>711</v>
      </c>
      <c r="B678" t="s">
        <v>41</v>
      </c>
      <c r="C678" t="s">
        <v>42</v>
      </c>
      <c r="D678" t="str">
        <f>"Br. "&amp;Data[[#This Row],[Branch]]&amp;" ("&amp;Data[[#This Row],[City]]&amp;")"</f>
        <v>Br. B (Mandalay)</v>
      </c>
      <c r="E678" t="s">
        <v>19</v>
      </c>
      <c r="F678" t="s">
        <v>20</v>
      </c>
      <c r="G678" t="s">
        <v>35</v>
      </c>
      <c r="H678">
        <v>64.08</v>
      </c>
      <c r="I678">
        <v>7</v>
      </c>
      <c r="J678">
        <v>22.428000000000001</v>
      </c>
      <c r="K678">
        <v>448.56</v>
      </c>
      <c r="L678" s="1">
        <v>44726</v>
      </c>
      <c r="M678" s="7">
        <f>DAY(Data[[#This Row],[Date]])</f>
        <v>14</v>
      </c>
      <c r="N678" s="7">
        <f>MONTH(Data[[#This Row],[Date]])</f>
        <v>6</v>
      </c>
      <c r="O678" s="7">
        <f>YEAR(Data[[#This Row],[Date]])</f>
        <v>2022</v>
      </c>
      <c r="P678" s="2">
        <v>0.81180555555555556</v>
      </c>
      <c r="Q678" t="s">
        <v>32</v>
      </c>
      <c r="R678">
        <v>313.99200000000002</v>
      </c>
      <c r="S678">
        <v>112.14</v>
      </c>
      <c r="T678">
        <v>7.3</v>
      </c>
    </row>
    <row r="679" spans="1:20" x14ac:dyDescent="0.55000000000000004">
      <c r="A679" t="s">
        <v>712</v>
      </c>
      <c r="B679" t="s">
        <v>17</v>
      </c>
      <c r="C679" t="s">
        <v>18</v>
      </c>
      <c r="D679" t="str">
        <f>"Br. "&amp;Data[[#This Row],[Branch]]&amp;" ("&amp;Data[[#This Row],[City]]&amp;")"</f>
        <v>Br. A (Yangon)</v>
      </c>
      <c r="E679" t="s">
        <v>19</v>
      </c>
      <c r="F679" t="s">
        <v>20</v>
      </c>
      <c r="G679" t="s">
        <v>43</v>
      </c>
      <c r="H679">
        <v>73.47</v>
      </c>
      <c r="I679">
        <v>4</v>
      </c>
      <c r="J679">
        <v>14.694000000000001</v>
      </c>
      <c r="K679">
        <v>293.88</v>
      </c>
      <c r="L679" s="1">
        <v>44726</v>
      </c>
      <c r="M679" s="7">
        <f>DAY(Data[[#This Row],[Date]])</f>
        <v>14</v>
      </c>
      <c r="N679" s="7">
        <f>MONTH(Data[[#This Row],[Date]])</f>
        <v>6</v>
      </c>
      <c r="O679" s="7">
        <f>YEAR(Data[[#This Row],[Date]])</f>
        <v>2022</v>
      </c>
      <c r="P679" s="2">
        <v>0.77083333333333337</v>
      </c>
      <c r="Q679" t="s">
        <v>28</v>
      </c>
      <c r="R679">
        <v>205.71600000000001</v>
      </c>
      <c r="S679">
        <v>73.47</v>
      </c>
      <c r="T679">
        <v>6</v>
      </c>
    </row>
    <row r="680" spans="1:20" x14ac:dyDescent="0.55000000000000004">
      <c r="A680" t="s">
        <v>713</v>
      </c>
      <c r="B680" t="s">
        <v>24</v>
      </c>
      <c r="C680" t="s">
        <v>25</v>
      </c>
      <c r="D680" t="str">
        <f>"Br. "&amp;Data[[#This Row],[Branch]]&amp;" ("&amp;Data[[#This Row],[City]]&amp;")"</f>
        <v>Br. C (Naypyitaw)</v>
      </c>
      <c r="E680" t="s">
        <v>26</v>
      </c>
      <c r="F680" t="s">
        <v>30</v>
      </c>
      <c r="G680" t="s">
        <v>21</v>
      </c>
      <c r="H680">
        <v>58.95</v>
      </c>
      <c r="I680">
        <v>10</v>
      </c>
      <c r="J680">
        <v>29.475000000000001</v>
      </c>
      <c r="K680">
        <v>589.5</v>
      </c>
      <c r="L680" s="1">
        <v>44726</v>
      </c>
      <c r="M680" s="7">
        <f>DAY(Data[[#This Row],[Date]])</f>
        <v>14</v>
      </c>
      <c r="N680" s="7">
        <f>MONTH(Data[[#This Row],[Date]])</f>
        <v>6</v>
      </c>
      <c r="O680" s="7">
        <f>YEAR(Data[[#This Row],[Date]])</f>
        <v>2022</v>
      </c>
      <c r="P680" s="2">
        <v>0.6020833333333333</v>
      </c>
      <c r="Q680" t="s">
        <v>22</v>
      </c>
      <c r="R680">
        <v>412.65</v>
      </c>
      <c r="S680">
        <v>147.375</v>
      </c>
      <c r="T680">
        <v>8.1</v>
      </c>
    </row>
    <row r="681" spans="1:20" x14ac:dyDescent="0.55000000000000004">
      <c r="A681" t="s">
        <v>714</v>
      </c>
      <c r="B681" t="s">
        <v>17</v>
      </c>
      <c r="C681" t="s">
        <v>18</v>
      </c>
      <c r="D681" t="str">
        <f>"Br. "&amp;Data[[#This Row],[Branch]]&amp;" ("&amp;Data[[#This Row],[City]]&amp;")"</f>
        <v>Br. A (Yangon)</v>
      </c>
      <c r="E681" t="s">
        <v>19</v>
      </c>
      <c r="F681" t="s">
        <v>30</v>
      </c>
      <c r="G681" t="s">
        <v>43</v>
      </c>
      <c r="H681">
        <v>48.5</v>
      </c>
      <c r="I681">
        <v>6</v>
      </c>
      <c r="J681">
        <v>14.55</v>
      </c>
      <c r="K681">
        <v>291</v>
      </c>
      <c r="L681" s="1">
        <v>44726</v>
      </c>
      <c r="M681" s="7">
        <f>DAY(Data[[#This Row],[Date]])</f>
        <v>14</v>
      </c>
      <c r="N681" s="7">
        <f>MONTH(Data[[#This Row],[Date]])</f>
        <v>6</v>
      </c>
      <c r="O681" s="7">
        <f>YEAR(Data[[#This Row],[Date]])</f>
        <v>2022</v>
      </c>
      <c r="P681" s="2">
        <v>0.58125000000000004</v>
      </c>
      <c r="Q681" t="s">
        <v>22</v>
      </c>
      <c r="R681">
        <v>203.7</v>
      </c>
      <c r="S681">
        <v>72.75</v>
      </c>
      <c r="T681">
        <v>9.4</v>
      </c>
    </row>
    <row r="682" spans="1:20" x14ac:dyDescent="0.55000000000000004">
      <c r="A682" t="s">
        <v>715</v>
      </c>
      <c r="B682" t="s">
        <v>41</v>
      </c>
      <c r="C682" t="s">
        <v>42</v>
      </c>
      <c r="D682" t="str">
        <f>"Br. "&amp;Data[[#This Row],[Branch]]&amp;" ("&amp;Data[[#This Row],[City]]&amp;")"</f>
        <v>Br. B (Mandalay)</v>
      </c>
      <c r="E682" t="s">
        <v>19</v>
      </c>
      <c r="F682" t="s">
        <v>20</v>
      </c>
      <c r="G682" t="s">
        <v>27</v>
      </c>
      <c r="H682">
        <v>39.479999999999997</v>
      </c>
      <c r="I682">
        <v>1</v>
      </c>
      <c r="J682">
        <v>1.974</v>
      </c>
      <c r="K682">
        <v>39.479999999999997</v>
      </c>
      <c r="L682" s="1">
        <v>44726</v>
      </c>
      <c r="M682" s="7">
        <f>DAY(Data[[#This Row],[Date]])</f>
        <v>14</v>
      </c>
      <c r="N682" s="7">
        <f>MONTH(Data[[#This Row],[Date]])</f>
        <v>6</v>
      </c>
      <c r="O682" s="7">
        <f>YEAR(Data[[#This Row],[Date]])</f>
        <v>2022</v>
      </c>
      <c r="P682" s="2">
        <v>0.82152777777777775</v>
      </c>
      <c r="Q682" t="s">
        <v>28</v>
      </c>
      <c r="R682">
        <v>27.635999999999999</v>
      </c>
      <c r="S682">
        <v>9.8699999999999992</v>
      </c>
      <c r="T682">
        <v>6.5</v>
      </c>
    </row>
    <row r="683" spans="1:20" x14ac:dyDescent="0.55000000000000004">
      <c r="A683" t="s">
        <v>716</v>
      </c>
      <c r="B683" t="s">
        <v>41</v>
      </c>
      <c r="C683" t="s">
        <v>42</v>
      </c>
      <c r="D683" t="str">
        <f>"Br. "&amp;Data[[#This Row],[Branch]]&amp;" ("&amp;Data[[#This Row],[City]]&amp;")"</f>
        <v>Br. B (Mandalay)</v>
      </c>
      <c r="E683" t="s">
        <v>26</v>
      </c>
      <c r="F683" t="s">
        <v>20</v>
      </c>
      <c r="G683" t="s">
        <v>35</v>
      </c>
      <c r="H683">
        <v>34.81</v>
      </c>
      <c r="I683">
        <v>1</v>
      </c>
      <c r="J683">
        <v>1.7404999999999999</v>
      </c>
      <c r="K683">
        <v>34.81</v>
      </c>
      <c r="L683" s="1">
        <v>44726</v>
      </c>
      <c r="M683" s="7">
        <f>DAY(Data[[#This Row],[Date]])</f>
        <v>14</v>
      </c>
      <c r="N683" s="7">
        <f>MONTH(Data[[#This Row],[Date]])</f>
        <v>6</v>
      </c>
      <c r="O683" s="7">
        <f>YEAR(Data[[#This Row],[Date]])</f>
        <v>2022</v>
      </c>
      <c r="P683" s="2">
        <v>0.42430555555555555</v>
      </c>
      <c r="Q683" t="s">
        <v>32</v>
      </c>
      <c r="R683">
        <v>24.367000000000001</v>
      </c>
      <c r="S683">
        <v>8.7025000000000006</v>
      </c>
      <c r="T683">
        <v>7</v>
      </c>
    </row>
    <row r="684" spans="1:20" x14ac:dyDescent="0.55000000000000004">
      <c r="A684" t="s">
        <v>717</v>
      </c>
      <c r="B684" t="s">
        <v>24</v>
      </c>
      <c r="C684" t="s">
        <v>25</v>
      </c>
      <c r="D684" t="str">
        <f>"Br. "&amp;Data[[#This Row],[Branch]]&amp;" ("&amp;Data[[#This Row],[City]]&amp;")"</f>
        <v>Br. C (Naypyitaw)</v>
      </c>
      <c r="E684" t="s">
        <v>26</v>
      </c>
      <c r="F684" t="s">
        <v>20</v>
      </c>
      <c r="G684" t="s">
        <v>45</v>
      </c>
      <c r="H684">
        <v>49.32</v>
      </c>
      <c r="I684">
        <v>6</v>
      </c>
      <c r="J684">
        <v>14.795999999999999</v>
      </c>
      <c r="K684">
        <v>295.92</v>
      </c>
      <c r="L684" s="1">
        <v>44726</v>
      </c>
      <c r="M684" s="7">
        <f>DAY(Data[[#This Row],[Date]])</f>
        <v>14</v>
      </c>
      <c r="N684" s="7">
        <f>MONTH(Data[[#This Row],[Date]])</f>
        <v>6</v>
      </c>
      <c r="O684" s="7">
        <f>YEAR(Data[[#This Row],[Date]])</f>
        <v>2022</v>
      </c>
      <c r="P684" s="2">
        <v>0.57361111111111107</v>
      </c>
      <c r="Q684" t="s">
        <v>22</v>
      </c>
      <c r="R684">
        <v>207.14400000000001</v>
      </c>
      <c r="S684">
        <v>73.98</v>
      </c>
      <c r="T684">
        <v>7.1</v>
      </c>
    </row>
    <row r="685" spans="1:20" x14ac:dyDescent="0.55000000000000004">
      <c r="A685" t="s">
        <v>718</v>
      </c>
      <c r="B685" t="s">
        <v>17</v>
      </c>
      <c r="C685" t="s">
        <v>18</v>
      </c>
      <c r="D685" t="str">
        <f>"Br. "&amp;Data[[#This Row],[Branch]]&amp;" ("&amp;Data[[#This Row],[City]]&amp;")"</f>
        <v>Br. A (Yangon)</v>
      </c>
      <c r="E685" t="s">
        <v>19</v>
      </c>
      <c r="F685" t="s">
        <v>30</v>
      </c>
      <c r="G685" t="s">
        <v>45</v>
      </c>
      <c r="H685">
        <v>21.48</v>
      </c>
      <c r="I685">
        <v>2</v>
      </c>
      <c r="J685">
        <v>2.1480000000000001</v>
      </c>
      <c r="K685">
        <v>42.96</v>
      </c>
      <c r="L685" s="1">
        <v>44726</v>
      </c>
      <c r="M685" s="7">
        <f>DAY(Data[[#This Row],[Date]])</f>
        <v>14</v>
      </c>
      <c r="N685" s="7">
        <f>MONTH(Data[[#This Row],[Date]])</f>
        <v>6</v>
      </c>
      <c r="O685" s="7">
        <f>YEAR(Data[[#This Row],[Date]])</f>
        <v>2022</v>
      </c>
      <c r="P685" s="2">
        <v>0.51527777777777772</v>
      </c>
      <c r="Q685" t="s">
        <v>22</v>
      </c>
      <c r="R685">
        <v>30.071999999999999</v>
      </c>
      <c r="S685">
        <v>10.74</v>
      </c>
      <c r="T685">
        <v>6.6</v>
      </c>
    </row>
    <row r="686" spans="1:20" x14ac:dyDescent="0.55000000000000004">
      <c r="A686" t="s">
        <v>719</v>
      </c>
      <c r="B686" t="s">
        <v>41</v>
      </c>
      <c r="C686" t="s">
        <v>42</v>
      </c>
      <c r="D686" t="str">
        <f>"Br. "&amp;Data[[#This Row],[Branch]]&amp;" ("&amp;Data[[#This Row],[City]]&amp;")"</f>
        <v>Br. B (Mandalay)</v>
      </c>
      <c r="E686" t="s">
        <v>19</v>
      </c>
      <c r="F686" t="s">
        <v>20</v>
      </c>
      <c r="G686" t="s">
        <v>35</v>
      </c>
      <c r="H686">
        <v>23.08</v>
      </c>
      <c r="I686">
        <v>6</v>
      </c>
      <c r="J686">
        <v>6.9240000000000004</v>
      </c>
      <c r="K686">
        <v>138.47999999999999</v>
      </c>
      <c r="L686" s="1">
        <v>44726</v>
      </c>
      <c r="M686" s="7">
        <f>DAY(Data[[#This Row],[Date]])</f>
        <v>14</v>
      </c>
      <c r="N686" s="7">
        <f>MONTH(Data[[#This Row],[Date]])</f>
        <v>6</v>
      </c>
      <c r="O686" s="7">
        <f>YEAR(Data[[#This Row],[Date]])</f>
        <v>2022</v>
      </c>
      <c r="P686" s="2">
        <v>0.80555555555555558</v>
      </c>
      <c r="Q686" t="s">
        <v>22</v>
      </c>
      <c r="R686">
        <v>96.936000000000007</v>
      </c>
      <c r="S686">
        <v>34.619999999999997</v>
      </c>
      <c r="T686">
        <v>4.9000000000000004</v>
      </c>
    </row>
    <row r="687" spans="1:20" x14ac:dyDescent="0.55000000000000004">
      <c r="A687" t="s">
        <v>720</v>
      </c>
      <c r="B687" t="s">
        <v>41</v>
      </c>
      <c r="C687" t="s">
        <v>42</v>
      </c>
      <c r="D687" t="str">
        <f>"Br. "&amp;Data[[#This Row],[Branch]]&amp;" ("&amp;Data[[#This Row],[City]]&amp;")"</f>
        <v>Br. B (Mandalay)</v>
      </c>
      <c r="E687" t="s">
        <v>19</v>
      </c>
      <c r="F687" t="s">
        <v>20</v>
      </c>
      <c r="G687" t="s">
        <v>31</v>
      </c>
      <c r="H687">
        <v>49.1</v>
      </c>
      <c r="I687">
        <v>2</v>
      </c>
      <c r="J687">
        <v>4.91</v>
      </c>
      <c r="K687">
        <v>98.2</v>
      </c>
      <c r="L687" s="1">
        <v>44726</v>
      </c>
      <c r="M687" s="7">
        <f>DAY(Data[[#This Row],[Date]])</f>
        <v>14</v>
      </c>
      <c r="N687" s="7">
        <f>MONTH(Data[[#This Row],[Date]])</f>
        <v>6</v>
      </c>
      <c r="O687" s="7">
        <f>YEAR(Data[[#This Row],[Date]])</f>
        <v>2022</v>
      </c>
      <c r="P687" s="2">
        <v>0.54027777777777775</v>
      </c>
      <c r="Q687" t="s">
        <v>32</v>
      </c>
      <c r="R687">
        <v>68.739999999999995</v>
      </c>
      <c r="S687">
        <v>24.55</v>
      </c>
      <c r="T687">
        <v>6.4</v>
      </c>
    </row>
    <row r="688" spans="1:20" x14ac:dyDescent="0.55000000000000004">
      <c r="A688" t="s">
        <v>721</v>
      </c>
      <c r="B688" t="s">
        <v>41</v>
      </c>
      <c r="C688" t="s">
        <v>42</v>
      </c>
      <c r="D688" t="str">
        <f>"Br. "&amp;Data[[#This Row],[Branch]]&amp;" ("&amp;Data[[#This Row],[City]]&amp;")"</f>
        <v>Br. B (Mandalay)</v>
      </c>
      <c r="E688" t="s">
        <v>19</v>
      </c>
      <c r="F688" t="s">
        <v>20</v>
      </c>
      <c r="G688" t="s">
        <v>35</v>
      </c>
      <c r="H688">
        <v>64.83</v>
      </c>
      <c r="I688">
        <v>2</v>
      </c>
      <c r="J688">
        <v>6.4829999999999997</v>
      </c>
      <c r="K688">
        <v>129.66</v>
      </c>
      <c r="L688" s="1">
        <v>44726</v>
      </c>
      <c r="M688" s="7">
        <f>DAY(Data[[#This Row],[Date]])</f>
        <v>14</v>
      </c>
      <c r="N688" s="7">
        <f>MONTH(Data[[#This Row],[Date]])</f>
        <v>6</v>
      </c>
      <c r="O688" s="7">
        <f>YEAR(Data[[#This Row],[Date]])</f>
        <v>2022</v>
      </c>
      <c r="P688" s="2">
        <v>0.49930555555555556</v>
      </c>
      <c r="Q688" t="s">
        <v>32</v>
      </c>
      <c r="R688">
        <v>90.762</v>
      </c>
      <c r="S688">
        <v>32.414999999999999</v>
      </c>
      <c r="T688">
        <v>8</v>
      </c>
    </row>
    <row r="689" spans="1:20" x14ac:dyDescent="0.55000000000000004">
      <c r="A689" t="s">
        <v>722</v>
      </c>
      <c r="B689" t="s">
        <v>17</v>
      </c>
      <c r="C689" t="s">
        <v>18</v>
      </c>
      <c r="D689" t="str">
        <f>"Br. "&amp;Data[[#This Row],[Branch]]&amp;" ("&amp;Data[[#This Row],[City]]&amp;")"</f>
        <v>Br. A (Yangon)</v>
      </c>
      <c r="E689" t="s">
        <v>19</v>
      </c>
      <c r="F689" t="s">
        <v>30</v>
      </c>
      <c r="G689" t="s">
        <v>31</v>
      </c>
      <c r="H689">
        <v>63.56</v>
      </c>
      <c r="I689">
        <v>10</v>
      </c>
      <c r="J689">
        <v>31.78</v>
      </c>
      <c r="K689">
        <v>635.6</v>
      </c>
      <c r="L689" s="1">
        <v>44726</v>
      </c>
      <c r="M689" s="7">
        <f>DAY(Data[[#This Row],[Date]])</f>
        <v>14</v>
      </c>
      <c r="N689" s="7">
        <f>MONTH(Data[[#This Row],[Date]])</f>
        <v>6</v>
      </c>
      <c r="O689" s="7">
        <f>YEAR(Data[[#This Row],[Date]])</f>
        <v>2022</v>
      </c>
      <c r="P689" s="2">
        <v>0.74930555555555556</v>
      </c>
      <c r="Q689" t="s">
        <v>28</v>
      </c>
      <c r="R689">
        <v>444.92</v>
      </c>
      <c r="S689">
        <v>158.9</v>
      </c>
      <c r="T689">
        <v>4.3</v>
      </c>
    </row>
    <row r="690" spans="1:20" x14ac:dyDescent="0.55000000000000004">
      <c r="A690" t="s">
        <v>723</v>
      </c>
      <c r="B690" t="s">
        <v>24</v>
      </c>
      <c r="C690" t="s">
        <v>25</v>
      </c>
      <c r="D690" t="str">
        <f>"Br. "&amp;Data[[#This Row],[Branch]]&amp;" ("&amp;Data[[#This Row],[City]]&amp;")"</f>
        <v>Br. C (Naypyitaw)</v>
      </c>
      <c r="E690" t="s">
        <v>19</v>
      </c>
      <c r="F690" t="s">
        <v>30</v>
      </c>
      <c r="G690" t="s">
        <v>35</v>
      </c>
      <c r="H690">
        <v>72.88</v>
      </c>
      <c r="I690">
        <v>2</v>
      </c>
      <c r="J690">
        <v>7.2880000000000003</v>
      </c>
      <c r="K690">
        <v>145.76</v>
      </c>
      <c r="L690" s="1">
        <v>44726</v>
      </c>
      <c r="M690" s="7">
        <f>DAY(Data[[#This Row],[Date]])</f>
        <v>14</v>
      </c>
      <c r="N690" s="7">
        <f>MONTH(Data[[#This Row],[Date]])</f>
        <v>6</v>
      </c>
      <c r="O690" s="7">
        <f>YEAR(Data[[#This Row],[Date]])</f>
        <v>2022</v>
      </c>
      <c r="P690" s="2">
        <v>0.53541666666666665</v>
      </c>
      <c r="Q690" t="s">
        <v>28</v>
      </c>
      <c r="R690">
        <v>102.032</v>
      </c>
      <c r="S690">
        <v>36.44</v>
      </c>
      <c r="T690">
        <v>6.1</v>
      </c>
    </row>
    <row r="691" spans="1:20" x14ac:dyDescent="0.55000000000000004">
      <c r="A691" t="s">
        <v>724</v>
      </c>
      <c r="B691" t="s">
        <v>17</v>
      </c>
      <c r="C691" t="s">
        <v>18</v>
      </c>
      <c r="D691" t="str">
        <f>"Br. "&amp;Data[[#This Row],[Branch]]&amp;" ("&amp;Data[[#This Row],[City]]&amp;")"</f>
        <v>Br. A (Yangon)</v>
      </c>
      <c r="E691" t="s">
        <v>26</v>
      </c>
      <c r="F691" t="s">
        <v>20</v>
      </c>
      <c r="G691" t="s">
        <v>43</v>
      </c>
      <c r="H691">
        <v>67.099999999999994</v>
      </c>
      <c r="I691">
        <v>3</v>
      </c>
      <c r="J691">
        <v>10.065</v>
      </c>
      <c r="K691">
        <v>201.3</v>
      </c>
      <c r="L691" s="1">
        <v>44726</v>
      </c>
      <c r="M691" s="7">
        <f>DAY(Data[[#This Row],[Date]])</f>
        <v>14</v>
      </c>
      <c r="N691" s="7">
        <f>MONTH(Data[[#This Row],[Date]])</f>
        <v>6</v>
      </c>
      <c r="O691" s="7">
        <f>YEAR(Data[[#This Row],[Date]])</f>
        <v>2022</v>
      </c>
      <c r="P691" s="2">
        <v>0.44166666666666665</v>
      </c>
      <c r="Q691" t="s">
        <v>28</v>
      </c>
      <c r="R691">
        <v>140.91</v>
      </c>
      <c r="S691">
        <v>50.325000000000003</v>
      </c>
      <c r="T691">
        <v>7.5</v>
      </c>
    </row>
    <row r="692" spans="1:20" x14ac:dyDescent="0.55000000000000004">
      <c r="A692" t="s">
        <v>725</v>
      </c>
      <c r="B692" t="s">
        <v>24</v>
      </c>
      <c r="C692" t="s">
        <v>25</v>
      </c>
      <c r="D692" t="str">
        <f>"Br. "&amp;Data[[#This Row],[Branch]]&amp;" ("&amp;Data[[#This Row],[City]]&amp;")"</f>
        <v>Br. C (Naypyitaw)</v>
      </c>
      <c r="E692" t="s">
        <v>19</v>
      </c>
      <c r="F692" t="s">
        <v>20</v>
      </c>
      <c r="G692" t="s">
        <v>35</v>
      </c>
      <c r="H692">
        <v>70.19</v>
      </c>
      <c r="I692">
        <v>9</v>
      </c>
      <c r="J692">
        <v>31.5855</v>
      </c>
      <c r="K692">
        <v>631.71</v>
      </c>
      <c r="L692" s="1">
        <v>44726</v>
      </c>
      <c r="M692" s="7">
        <f>DAY(Data[[#This Row],[Date]])</f>
        <v>14</v>
      </c>
      <c r="N692" s="7">
        <f>MONTH(Data[[#This Row],[Date]])</f>
        <v>6</v>
      </c>
      <c r="O692" s="7">
        <f>YEAR(Data[[#This Row],[Date]])</f>
        <v>2022</v>
      </c>
      <c r="P692" s="2">
        <v>0.56805555555555554</v>
      </c>
      <c r="Q692" t="s">
        <v>28</v>
      </c>
      <c r="R692">
        <v>442.197</v>
      </c>
      <c r="S692">
        <v>157.92750000000001</v>
      </c>
      <c r="T692">
        <v>6.7</v>
      </c>
    </row>
    <row r="693" spans="1:20" x14ac:dyDescent="0.55000000000000004">
      <c r="A693" t="s">
        <v>726</v>
      </c>
      <c r="B693" t="s">
        <v>24</v>
      </c>
      <c r="C693" t="s">
        <v>25</v>
      </c>
      <c r="D693" t="str">
        <f>"Br. "&amp;Data[[#This Row],[Branch]]&amp;" ("&amp;Data[[#This Row],[City]]&amp;")"</f>
        <v>Br. C (Naypyitaw)</v>
      </c>
      <c r="E693" t="s">
        <v>19</v>
      </c>
      <c r="F693" t="s">
        <v>30</v>
      </c>
      <c r="G693" t="s">
        <v>43</v>
      </c>
      <c r="H693">
        <v>55.04</v>
      </c>
      <c r="I693">
        <v>7</v>
      </c>
      <c r="J693">
        <v>19.263999999999999</v>
      </c>
      <c r="K693">
        <v>385.28</v>
      </c>
      <c r="L693" s="1">
        <v>44726</v>
      </c>
      <c r="M693" s="7">
        <f>DAY(Data[[#This Row],[Date]])</f>
        <v>14</v>
      </c>
      <c r="N693" s="7">
        <f>MONTH(Data[[#This Row],[Date]])</f>
        <v>6</v>
      </c>
      <c r="O693" s="7">
        <f>YEAR(Data[[#This Row],[Date]])</f>
        <v>2022</v>
      </c>
      <c r="P693" s="2">
        <v>0.81874999999999998</v>
      </c>
      <c r="Q693" t="s">
        <v>22</v>
      </c>
      <c r="R693">
        <v>269.69600000000003</v>
      </c>
      <c r="S693">
        <v>96.32</v>
      </c>
      <c r="T693">
        <v>5.2</v>
      </c>
    </row>
    <row r="694" spans="1:20" x14ac:dyDescent="0.55000000000000004">
      <c r="A694" t="s">
        <v>727</v>
      </c>
      <c r="B694" t="s">
        <v>17</v>
      </c>
      <c r="C694" t="s">
        <v>18</v>
      </c>
      <c r="D694" t="str">
        <f>"Br. "&amp;Data[[#This Row],[Branch]]&amp;" ("&amp;Data[[#This Row],[City]]&amp;")"</f>
        <v>Br. A (Yangon)</v>
      </c>
      <c r="E694" t="s">
        <v>19</v>
      </c>
      <c r="F694" t="s">
        <v>30</v>
      </c>
      <c r="G694" t="s">
        <v>21</v>
      </c>
      <c r="H694">
        <v>48.63</v>
      </c>
      <c r="I694">
        <v>10</v>
      </c>
      <c r="J694">
        <v>24.315000000000001</v>
      </c>
      <c r="K694">
        <v>486.3</v>
      </c>
      <c r="L694" s="1">
        <v>44726</v>
      </c>
      <c r="M694" s="7">
        <f>DAY(Data[[#This Row],[Date]])</f>
        <v>14</v>
      </c>
      <c r="N694" s="7">
        <f>MONTH(Data[[#This Row],[Date]])</f>
        <v>6</v>
      </c>
      <c r="O694" s="7">
        <f>YEAR(Data[[#This Row],[Date]])</f>
        <v>2022</v>
      </c>
      <c r="P694" s="2">
        <v>0.53055555555555556</v>
      </c>
      <c r="Q694" t="s">
        <v>28</v>
      </c>
      <c r="R694">
        <v>340.41</v>
      </c>
      <c r="S694">
        <v>121.575</v>
      </c>
      <c r="T694">
        <v>8.8000000000000007</v>
      </c>
    </row>
    <row r="695" spans="1:20" x14ac:dyDescent="0.55000000000000004">
      <c r="A695" t="s">
        <v>728</v>
      </c>
      <c r="B695" t="s">
        <v>24</v>
      </c>
      <c r="C695" t="s">
        <v>25</v>
      </c>
      <c r="D695" t="str">
        <f>"Br. "&amp;Data[[#This Row],[Branch]]&amp;" ("&amp;Data[[#This Row],[City]]&amp;")"</f>
        <v>Br. C (Naypyitaw)</v>
      </c>
      <c r="E695" t="s">
        <v>19</v>
      </c>
      <c r="F695" t="s">
        <v>20</v>
      </c>
      <c r="G695" t="s">
        <v>45</v>
      </c>
      <c r="H695">
        <v>73.38</v>
      </c>
      <c r="I695">
        <v>7</v>
      </c>
      <c r="J695">
        <v>25.683</v>
      </c>
      <c r="K695">
        <v>513.66</v>
      </c>
      <c r="L695" s="1">
        <v>44726</v>
      </c>
      <c r="M695" s="7">
        <f>DAY(Data[[#This Row],[Date]])</f>
        <v>14</v>
      </c>
      <c r="N695" s="7">
        <f>MONTH(Data[[#This Row],[Date]])</f>
        <v>6</v>
      </c>
      <c r="O695" s="7">
        <f>YEAR(Data[[#This Row],[Date]])</f>
        <v>2022</v>
      </c>
      <c r="P695" s="2">
        <v>0.5805555555555556</v>
      </c>
      <c r="Q695" t="s">
        <v>28</v>
      </c>
      <c r="R695">
        <v>359.56200000000001</v>
      </c>
      <c r="S695">
        <v>128.41499999999999</v>
      </c>
      <c r="T695">
        <v>9.5</v>
      </c>
    </row>
    <row r="696" spans="1:20" x14ac:dyDescent="0.55000000000000004">
      <c r="A696" t="s">
        <v>729</v>
      </c>
      <c r="B696" t="s">
        <v>24</v>
      </c>
      <c r="C696" t="s">
        <v>25</v>
      </c>
      <c r="D696" t="str">
        <f>"Br. "&amp;Data[[#This Row],[Branch]]&amp;" ("&amp;Data[[#This Row],[City]]&amp;")"</f>
        <v>Br. C (Naypyitaw)</v>
      </c>
      <c r="E696" t="s">
        <v>26</v>
      </c>
      <c r="F696" t="s">
        <v>20</v>
      </c>
      <c r="G696" t="s">
        <v>43</v>
      </c>
      <c r="H696">
        <v>52.6</v>
      </c>
      <c r="I696">
        <v>9</v>
      </c>
      <c r="J696">
        <v>23.67</v>
      </c>
      <c r="K696">
        <v>473.4</v>
      </c>
      <c r="L696" s="1">
        <v>44726</v>
      </c>
      <c r="M696" s="7">
        <f>DAY(Data[[#This Row],[Date]])</f>
        <v>14</v>
      </c>
      <c r="N696" s="7">
        <f>MONTH(Data[[#This Row],[Date]])</f>
        <v>6</v>
      </c>
      <c r="O696" s="7">
        <f>YEAR(Data[[#This Row],[Date]])</f>
        <v>2022</v>
      </c>
      <c r="P696" s="2">
        <v>0.61250000000000004</v>
      </c>
      <c r="Q696" t="s">
        <v>28</v>
      </c>
      <c r="R696">
        <v>331.38</v>
      </c>
      <c r="S696">
        <v>118.35</v>
      </c>
      <c r="T696">
        <v>7.6</v>
      </c>
    </row>
    <row r="697" spans="1:20" x14ac:dyDescent="0.55000000000000004">
      <c r="A697" t="s">
        <v>730</v>
      </c>
      <c r="B697" t="s">
        <v>17</v>
      </c>
      <c r="C697" t="s">
        <v>18</v>
      </c>
      <c r="D697" t="str">
        <f>"Br. "&amp;Data[[#This Row],[Branch]]&amp;" ("&amp;Data[[#This Row],[City]]&amp;")"</f>
        <v>Br. A (Yangon)</v>
      </c>
      <c r="E697" t="s">
        <v>19</v>
      </c>
      <c r="F697" t="s">
        <v>20</v>
      </c>
      <c r="G697" t="s">
        <v>31</v>
      </c>
      <c r="H697">
        <v>87.37</v>
      </c>
      <c r="I697">
        <v>5</v>
      </c>
      <c r="J697">
        <v>21.842500000000001</v>
      </c>
      <c r="K697">
        <v>436.85</v>
      </c>
      <c r="L697" s="1">
        <v>44726</v>
      </c>
      <c r="M697" s="7">
        <f>DAY(Data[[#This Row],[Date]])</f>
        <v>14</v>
      </c>
      <c r="N697" s="7">
        <f>MONTH(Data[[#This Row],[Date]])</f>
        <v>6</v>
      </c>
      <c r="O697" s="7">
        <f>YEAR(Data[[#This Row],[Date]])</f>
        <v>2022</v>
      </c>
      <c r="P697" s="2">
        <v>0.82291666666666663</v>
      </c>
      <c r="Q697" t="s">
        <v>28</v>
      </c>
      <c r="R697">
        <v>305.79500000000002</v>
      </c>
      <c r="S697">
        <v>109.21250000000001</v>
      </c>
      <c r="T697">
        <v>6.6</v>
      </c>
    </row>
    <row r="698" spans="1:20" x14ac:dyDescent="0.55000000000000004">
      <c r="A698" t="s">
        <v>731</v>
      </c>
      <c r="B698" t="s">
        <v>17</v>
      </c>
      <c r="C698" t="s">
        <v>18</v>
      </c>
      <c r="D698" t="str">
        <f>"Br. "&amp;Data[[#This Row],[Branch]]&amp;" ("&amp;Data[[#This Row],[City]]&amp;")"</f>
        <v>Br. A (Yangon)</v>
      </c>
      <c r="E698" t="s">
        <v>19</v>
      </c>
      <c r="F698" t="s">
        <v>20</v>
      </c>
      <c r="G698" t="s">
        <v>35</v>
      </c>
      <c r="H698">
        <v>27.04</v>
      </c>
      <c r="I698">
        <v>4</v>
      </c>
      <c r="J698">
        <v>5.4080000000000004</v>
      </c>
      <c r="K698">
        <v>108.16</v>
      </c>
      <c r="L698" s="1">
        <v>44726</v>
      </c>
      <c r="M698" s="7">
        <f>DAY(Data[[#This Row],[Date]])</f>
        <v>14</v>
      </c>
      <c r="N698" s="7">
        <f>MONTH(Data[[#This Row],[Date]])</f>
        <v>6</v>
      </c>
      <c r="O698" s="7">
        <f>YEAR(Data[[#This Row],[Date]])</f>
        <v>2022</v>
      </c>
      <c r="P698" s="2">
        <v>0.85138888888888886</v>
      </c>
      <c r="Q698" t="s">
        <v>22</v>
      </c>
      <c r="R698">
        <v>75.712000000000003</v>
      </c>
      <c r="S698">
        <v>27.04</v>
      </c>
      <c r="T698">
        <v>6.9</v>
      </c>
    </row>
    <row r="699" spans="1:20" x14ac:dyDescent="0.55000000000000004">
      <c r="A699" t="s">
        <v>732</v>
      </c>
      <c r="B699" t="s">
        <v>41</v>
      </c>
      <c r="C699" t="s">
        <v>42</v>
      </c>
      <c r="D699" t="str">
        <f>"Br. "&amp;Data[[#This Row],[Branch]]&amp;" ("&amp;Data[[#This Row],[City]]&amp;")"</f>
        <v>Br. B (Mandalay)</v>
      </c>
      <c r="E699" t="s">
        <v>26</v>
      </c>
      <c r="F699" t="s">
        <v>30</v>
      </c>
      <c r="G699" t="s">
        <v>31</v>
      </c>
      <c r="H699">
        <v>62.19</v>
      </c>
      <c r="I699">
        <v>4</v>
      </c>
      <c r="J699">
        <v>12.438000000000001</v>
      </c>
      <c r="K699">
        <v>248.76</v>
      </c>
      <c r="L699" s="1">
        <v>44726</v>
      </c>
      <c r="M699" s="7">
        <f>DAY(Data[[#This Row],[Date]])</f>
        <v>14</v>
      </c>
      <c r="N699" s="7">
        <f>MONTH(Data[[#This Row],[Date]])</f>
        <v>6</v>
      </c>
      <c r="O699" s="7">
        <f>YEAR(Data[[#This Row],[Date]])</f>
        <v>2022</v>
      </c>
      <c r="P699" s="2">
        <v>0.82361111111111107</v>
      </c>
      <c r="Q699" t="s">
        <v>22</v>
      </c>
      <c r="R699">
        <v>174.13200000000001</v>
      </c>
      <c r="S699">
        <v>62.19</v>
      </c>
      <c r="T699">
        <v>4.3</v>
      </c>
    </row>
    <row r="700" spans="1:20" x14ac:dyDescent="0.55000000000000004">
      <c r="A700" t="s">
        <v>733</v>
      </c>
      <c r="B700" t="s">
        <v>17</v>
      </c>
      <c r="C700" t="s">
        <v>18</v>
      </c>
      <c r="D700" t="str">
        <f>"Br. "&amp;Data[[#This Row],[Branch]]&amp;" ("&amp;Data[[#This Row],[City]]&amp;")"</f>
        <v>Br. A (Yangon)</v>
      </c>
      <c r="E700" t="s">
        <v>19</v>
      </c>
      <c r="F700" t="s">
        <v>30</v>
      </c>
      <c r="G700" t="s">
        <v>27</v>
      </c>
      <c r="H700">
        <v>69.58</v>
      </c>
      <c r="I700">
        <v>9</v>
      </c>
      <c r="J700">
        <v>31.311</v>
      </c>
      <c r="K700">
        <v>626.22</v>
      </c>
      <c r="L700" s="1">
        <v>44726</v>
      </c>
      <c r="M700" s="7">
        <f>DAY(Data[[#This Row],[Date]])</f>
        <v>14</v>
      </c>
      <c r="N700" s="7">
        <f>MONTH(Data[[#This Row],[Date]])</f>
        <v>6</v>
      </c>
      <c r="O700" s="7">
        <f>YEAR(Data[[#This Row],[Date]])</f>
        <v>2022</v>
      </c>
      <c r="P700" s="2">
        <v>0.81805555555555554</v>
      </c>
      <c r="Q700" t="s">
        <v>32</v>
      </c>
      <c r="R700">
        <v>438.35399999999998</v>
      </c>
      <c r="S700">
        <v>156.55500000000001</v>
      </c>
      <c r="T700">
        <v>7.8</v>
      </c>
    </row>
    <row r="701" spans="1:20" x14ac:dyDescent="0.55000000000000004">
      <c r="A701" t="s">
        <v>734</v>
      </c>
      <c r="B701" t="s">
        <v>24</v>
      </c>
      <c r="C701" t="s">
        <v>25</v>
      </c>
      <c r="D701" t="str">
        <f>"Br. "&amp;Data[[#This Row],[Branch]]&amp;" ("&amp;Data[[#This Row],[City]]&amp;")"</f>
        <v>Br. C (Naypyitaw)</v>
      </c>
      <c r="E701" t="s">
        <v>26</v>
      </c>
      <c r="F701" t="s">
        <v>30</v>
      </c>
      <c r="G701" t="s">
        <v>31</v>
      </c>
      <c r="H701">
        <v>97.5</v>
      </c>
      <c r="I701">
        <v>10</v>
      </c>
      <c r="J701">
        <v>48.75</v>
      </c>
      <c r="K701">
        <v>975</v>
      </c>
      <c r="L701" s="1">
        <v>44726</v>
      </c>
      <c r="M701" s="7">
        <f>DAY(Data[[#This Row],[Date]])</f>
        <v>14</v>
      </c>
      <c r="N701" s="7">
        <f>MONTH(Data[[#This Row],[Date]])</f>
        <v>6</v>
      </c>
      <c r="O701" s="7">
        <f>YEAR(Data[[#This Row],[Date]])</f>
        <v>2022</v>
      </c>
      <c r="P701" s="2">
        <v>0.6791666666666667</v>
      </c>
      <c r="Q701" t="s">
        <v>22</v>
      </c>
      <c r="R701">
        <v>682.5</v>
      </c>
      <c r="S701">
        <v>243.75</v>
      </c>
      <c r="T701">
        <v>8</v>
      </c>
    </row>
    <row r="702" spans="1:20" x14ac:dyDescent="0.55000000000000004">
      <c r="A702" t="s">
        <v>735</v>
      </c>
      <c r="B702" t="s">
        <v>24</v>
      </c>
      <c r="C702" t="s">
        <v>25</v>
      </c>
      <c r="D702" t="str">
        <f>"Br. "&amp;Data[[#This Row],[Branch]]&amp;" ("&amp;Data[[#This Row],[City]]&amp;")"</f>
        <v>Br. C (Naypyitaw)</v>
      </c>
      <c r="E702" t="s">
        <v>26</v>
      </c>
      <c r="F702" t="s">
        <v>20</v>
      </c>
      <c r="G702" t="s">
        <v>45</v>
      </c>
      <c r="H702">
        <v>60.41</v>
      </c>
      <c r="I702">
        <v>8</v>
      </c>
      <c r="J702">
        <v>24.164000000000001</v>
      </c>
      <c r="K702">
        <v>483.28</v>
      </c>
      <c r="L702" s="1">
        <v>44726</v>
      </c>
      <c r="M702" s="7">
        <f>DAY(Data[[#This Row],[Date]])</f>
        <v>14</v>
      </c>
      <c r="N702" s="7">
        <f>MONTH(Data[[#This Row],[Date]])</f>
        <v>6</v>
      </c>
      <c r="O702" s="7">
        <f>YEAR(Data[[#This Row],[Date]])</f>
        <v>2022</v>
      </c>
      <c r="P702" s="2">
        <v>0.51597222222222228</v>
      </c>
      <c r="Q702" t="s">
        <v>22</v>
      </c>
      <c r="R702">
        <v>338.29599999999999</v>
      </c>
      <c r="S702">
        <v>120.82</v>
      </c>
      <c r="T702">
        <v>9.6</v>
      </c>
    </row>
    <row r="703" spans="1:20" x14ac:dyDescent="0.55000000000000004">
      <c r="A703" t="s">
        <v>736</v>
      </c>
      <c r="B703" t="s">
        <v>41</v>
      </c>
      <c r="C703" t="s">
        <v>42</v>
      </c>
      <c r="D703" t="str">
        <f>"Br. "&amp;Data[[#This Row],[Branch]]&amp;" ("&amp;Data[[#This Row],[City]]&amp;")"</f>
        <v>Br. B (Mandalay)</v>
      </c>
      <c r="E703" t="s">
        <v>26</v>
      </c>
      <c r="F703" t="s">
        <v>30</v>
      </c>
      <c r="G703" t="s">
        <v>43</v>
      </c>
      <c r="H703">
        <v>32.32</v>
      </c>
      <c r="I703">
        <v>3</v>
      </c>
      <c r="J703">
        <v>4.8479999999999999</v>
      </c>
      <c r="K703">
        <v>96.96</v>
      </c>
      <c r="L703" s="1">
        <v>44726</v>
      </c>
      <c r="M703" s="7">
        <f>DAY(Data[[#This Row],[Date]])</f>
        <v>14</v>
      </c>
      <c r="N703" s="7">
        <f>MONTH(Data[[#This Row],[Date]])</f>
        <v>6</v>
      </c>
      <c r="O703" s="7">
        <f>YEAR(Data[[#This Row],[Date]])</f>
        <v>2022</v>
      </c>
      <c r="P703" s="2">
        <v>0.7993055555555556</v>
      </c>
      <c r="Q703" t="s">
        <v>32</v>
      </c>
      <c r="R703">
        <v>67.872</v>
      </c>
      <c r="S703">
        <v>24.24</v>
      </c>
      <c r="T703">
        <v>4.3</v>
      </c>
    </row>
    <row r="704" spans="1:20" x14ac:dyDescent="0.55000000000000004">
      <c r="A704" t="s">
        <v>737</v>
      </c>
      <c r="B704" t="s">
        <v>41</v>
      </c>
      <c r="C704" t="s">
        <v>42</v>
      </c>
      <c r="D704" t="str">
        <f>"Br. "&amp;Data[[#This Row],[Branch]]&amp;" ("&amp;Data[[#This Row],[City]]&amp;")"</f>
        <v>Br. B (Mandalay)</v>
      </c>
      <c r="E704" t="s">
        <v>19</v>
      </c>
      <c r="F704" t="s">
        <v>20</v>
      </c>
      <c r="G704" t="s">
        <v>45</v>
      </c>
      <c r="H704">
        <v>19.77</v>
      </c>
      <c r="I704">
        <v>10</v>
      </c>
      <c r="J704">
        <v>9.8849999999999998</v>
      </c>
      <c r="K704">
        <v>197.7</v>
      </c>
      <c r="L704" s="1">
        <v>44726</v>
      </c>
      <c r="M704" s="7">
        <f>DAY(Data[[#This Row],[Date]])</f>
        <v>14</v>
      </c>
      <c r="N704" s="7">
        <f>MONTH(Data[[#This Row],[Date]])</f>
        <v>6</v>
      </c>
      <c r="O704" s="7">
        <f>YEAR(Data[[#This Row],[Date]])</f>
        <v>2022</v>
      </c>
      <c r="P704" s="2">
        <v>0.7895833333333333</v>
      </c>
      <c r="Q704" t="s">
        <v>32</v>
      </c>
      <c r="R704">
        <v>138.38999999999999</v>
      </c>
      <c r="S704">
        <v>49.424999999999997</v>
      </c>
      <c r="T704">
        <v>5</v>
      </c>
    </row>
    <row r="705" spans="1:20" x14ac:dyDescent="0.55000000000000004">
      <c r="A705" t="s">
        <v>738</v>
      </c>
      <c r="B705" t="s">
        <v>41</v>
      </c>
      <c r="C705" t="s">
        <v>42</v>
      </c>
      <c r="D705" t="str">
        <f>"Br. "&amp;Data[[#This Row],[Branch]]&amp;" ("&amp;Data[[#This Row],[City]]&amp;")"</f>
        <v>Br. B (Mandalay)</v>
      </c>
      <c r="E705" t="s">
        <v>19</v>
      </c>
      <c r="F705" t="s">
        <v>30</v>
      </c>
      <c r="G705" t="s">
        <v>21</v>
      </c>
      <c r="H705">
        <v>80.47</v>
      </c>
      <c r="I705">
        <v>9</v>
      </c>
      <c r="J705">
        <v>36.211500000000001</v>
      </c>
      <c r="K705">
        <v>724.23</v>
      </c>
      <c r="L705" s="1">
        <v>44726</v>
      </c>
      <c r="M705" s="7">
        <f>DAY(Data[[#This Row],[Date]])</f>
        <v>14</v>
      </c>
      <c r="N705" s="7">
        <f>MONTH(Data[[#This Row],[Date]])</f>
        <v>6</v>
      </c>
      <c r="O705" s="7">
        <f>YEAR(Data[[#This Row],[Date]])</f>
        <v>2022</v>
      </c>
      <c r="P705" s="2">
        <v>0.47083333333333333</v>
      </c>
      <c r="Q705" t="s">
        <v>28</v>
      </c>
      <c r="R705">
        <v>506.96100000000001</v>
      </c>
      <c r="S705">
        <v>181.0575</v>
      </c>
      <c r="T705">
        <v>9.1999999999999993</v>
      </c>
    </row>
    <row r="706" spans="1:20" x14ac:dyDescent="0.55000000000000004">
      <c r="A706" t="s">
        <v>739</v>
      </c>
      <c r="B706" t="s">
        <v>41</v>
      </c>
      <c r="C706" t="s">
        <v>42</v>
      </c>
      <c r="D706" t="str">
        <f>"Br. "&amp;Data[[#This Row],[Branch]]&amp;" ("&amp;Data[[#This Row],[City]]&amp;")"</f>
        <v>Br. B (Mandalay)</v>
      </c>
      <c r="E706" t="s">
        <v>19</v>
      </c>
      <c r="F706" t="s">
        <v>20</v>
      </c>
      <c r="G706" t="s">
        <v>31</v>
      </c>
      <c r="H706">
        <v>88.39</v>
      </c>
      <c r="I706">
        <v>9</v>
      </c>
      <c r="J706">
        <v>39.775500000000001</v>
      </c>
      <c r="K706">
        <v>795.51</v>
      </c>
      <c r="L706" s="1">
        <v>44726</v>
      </c>
      <c r="M706" s="7">
        <f>DAY(Data[[#This Row],[Date]])</f>
        <v>14</v>
      </c>
      <c r="N706" s="7">
        <f>MONTH(Data[[#This Row],[Date]])</f>
        <v>6</v>
      </c>
      <c r="O706" s="7">
        <f>YEAR(Data[[#This Row],[Date]])</f>
        <v>2022</v>
      </c>
      <c r="P706" s="2">
        <v>0.52777777777777779</v>
      </c>
      <c r="Q706" t="s">
        <v>28</v>
      </c>
      <c r="R706">
        <v>556.85699999999997</v>
      </c>
      <c r="S706">
        <v>198.8775</v>
      </c>
      <c r="T706">
        <v>6.3</v>
      </c>
    </row>
    <row r="707" spans="1:20" x14ac:dyDescent="0.55000000000000004">
      <c r="A707" t="s">
        <v>740</v>
      </c>
      <c r="B707" t="s">
        <v>41</v>
      </c>
      <c r="C707" t="s">
        <v>42</v>
      </c>
      <c r="D707" t="str">
        <f>"Br. "&amp;Data[[#This Row],[Branch]]&amp;" ("&amp;Data[[#This Row],[City]]&amp;")"</f>
        <v>Br. B (Mandalay)</v>
      </c>
      <c r="E707" t="s">
        <v>26</v>
      </c>
      <c r="F707" t="s">
        <v>30</v>
      </c>
      <c r="G707" t="s">
        <v>21</v>
      </c>
      <c r="H707">
        <v>71.77</v>
      </c>
      <c r="I707">
        <v>7</v>
      </c>
      <c r="J707">
        <v>25.119499999999999</v>
      </c>
      <c r="K707">
        <v>502.39</v>
      </c>
      <c r="L707" s="1">
        <v>44726</v>
      </c>
      <c r="M707" s="7">
        <f>DAY(Data[[#This Row],[Date]])</f>
        <v>14</v>
      </c>
      <c r="N707" s="7">
        <f>MONTH(Data[[#This Row],[Date]])</f>
        <v>6</v>
      </c>
      <c r="O707" s="7">
        <f>YEAR(Data[[#This Row],[Date]])</f>
        <v>2022</v>
      </c>
      <c r="P707" s="2">
        <v>0.58750000000000002</v>
      </c>
      <c r="Q707" t="s">
        <v>28</v>
      </c>
      <c r="R707">
        <v>351.673</v>
      </c>
      <c r="S707">
        <v>125.5975</v>
      </c>
      <c r="T707">
        <v>8.9</v>
      </c>
    </row>
    <row r="708" spans="1:20" x14ac:dyDescent="0.55000000000000004">
      <c r="A708" t="s">
        <v>741</v>
      </c>
      <c r="B708" t="s">
        <v>41</v>
      </c>
      <c r="C708" t="s">
        <v>42</v>
      </c>
      <c r="D708" t="str">
        <f>"Br. "&amp;Data[[#This Row],[Branch]]&amp;" ("&amp;Data[[#This Row],[City]]&amp;")"</f>
        <v>Br. B (Mandalay)</v>
      </c>
      <c r="E708" t="s">
        <v>26</v>
      </c>
      <c r="F708" t="s">
        <v>20</v>
      </c>
      <c r="G708" t="s">
        <v>27</v>
      </c>
      <c r="H708">
        <v>43</v>
      </c>
      <c r="I708">
        <v>4</v>
      </c>
      <c r="J708">
        <v>8.6</v>
      </c>
      <c r="K708">
        <v>172</v>
      </c>
      <c r="L708" s="1">
        <v>44726</v>
      </c>
      <c r="M708" s="7">
        <f>DAY(Data[[#This Row],[Date]])</f>
        <v>14</v>
      </c>
      <c r="N708" s="7">
        <f>MONTH(Data[[#This Row],[Date]])</f>
        <v>6</v>
      </c>
      <c r="O708" s="7">
        <f>YEAR(Data[[#This Row],[Date]])</f>
        <v>2022</v>
      </c>
      <c r="P708" s="2">
        <v>0.8666666666666667</v>
      </c>
      <c r="Q708" t="s">
        <v>22</v>
      </c>
      <c r="R708">
        <v>120.4</v>
      </c>
      <c r="S708">
        <v>43</v>
      </c>
      <c r="T708">
        <v>7.6</v>
      </c>
    </row>
    <row r="709" spans="1:20" x14ac:dyDescent="0.55000000000000004">
      <c r="A709" t="s">
        <v>742</v>
      </c>
      <c r="B709" t="s">
        <v>24</v>
      </c>
      <c r="C709" t="s">
        <v>25</v>
      </c>
      <c r="D709" t="str">
        <f>"Br. "&amp;Data[[#This Row],[Branch]]&amp;" ("&amp;Data[[#This Row],[City]]&amp;")"</f>
        <v>Br. C (Naypyitaw)</v>
      </c>
      <c r="E709" t="s">
        <v>19</v>
      </c>
      <c r="F709" t="s">
        <v>30</v>
      </c>
      <c r="G709" t="s">
        <v>43</v>
      </c>
      <c r="H709">
        <v>68.98</v>
      </c>
      <c r="I709">
        <v>1</v>
      </c>
      <c r="J709">
        <v>3.4489999999999998</v>
      </c>
      <c r="K709">
        <v>68.98</v>
      </c>
      <c r="L709" s="1">
        <v>44726</v>
      </c>
      <c r="M709" s="7">
        <f>DAY(Data[[#This Row],[Date]])</f>
        <v>14</v>
      </c>
      <c r="N709" s="7">
        <f>MONTH(Data[[#This Row],[Date]])</f>
        <v>6</v>
      </c>
      <c r="O709" s="7">
        <f>YEAR(Data[[#This Row],[Date]])</f>
        <v>2022</v>
      </c>
      <c r="P709" s="2">
        <v>0.84236111111111112</v>
      </c>
      <c r="Q709" t="s">
        <v>28</v>
      </c>
      <c r="R709">
        <v>48.286000000000001</v>
      </c>
      <c r="S709">
        <v>17.245000000000001</v>
      </c>
      <c r="T709">
        <v>4.8</v>
      </c>
    </row>
    <row r="710" spans="1:20" x14ac:dyDescent="0.55000000000000004">
      <c r="A710" t="s">
        <v>743</v>
      </c>
      <c r="B710" t="s">
        <v>24</v>
      </c>
      <c r="C710" t="s">
        <v>25</v>
      </c>
      <c r="D710" t="str">
        <f>"Br. "&amp;Data[[#This Row],[Branch]]&amp;" ("&amp;Data[[#This Row],[City]]&amp;")"</f>
        <v>Br. C (Naypyitaw)</v>
      </c>
      <c r="E710" t="s">
        <v>26</v>
      </c>
      <c r="F710" t="s">
        <v>30</v>
      </c>
      <c r="G710" t="s">
        <v>45</v>
      </c>
      <c r="H710">
        <v>15.62</v>
      </c>
      <c r="I710">
        <v>8</v>
      </c>
      <c r="J710">
        <v>6.2480000000000002</v>
      </c>
      <c r="K710">
        <v>124.96</v>
      </c>
      <c r="L710" s="1">
        <v>44726</v>
      </c>
      <c r="M710" s="7">
        <f>DAY(Data[[#This Row],[Date]])</f>
        <v>14</v>
      </c>
      <c r="N710" s="7">
        <f>MONTH(Data[[#This Row],[Date]])</f>
        <v>6</v>
      </c>
      <c r="O710" s="7">
        <f>YEAR(Data[[#This Row],[Date]])</f>
        <v>2022</v>
      </c>
      <c r="P710" s="2">
        <v>0.85902777777777772</v>
      </c>
      <c r="Q710" t="s">
        <v>22</v>
      </c>
      <c r="R710">
        <v>87.471999999999994</v>
      </c>
      <c r="S710">
        <v>31.24</v>
      </c>
      <c r="T710">
        <v>9.1</v>
      </c>
    </row>
    <row r="711" spans="1:20" x14ac:dyDescent="0.55000000000000004">
      <c r="A711" t="s">
        <v>744</v>
      </c>
      <c r="B711" t="s">
        <v>17</v>
      </c>
      <c r="C711" t="s">
        <v>18</v>
      </c>
      <c r="D711" t="str">
        <f>"Br. "&amp;Data[[#This Row],[Branch]]&amp;" ("&amp;Data[[#This Row],[City]]&amp;")"</f>
        <v>Br. A (Yangon)</v>
      </c>
      <c r="E711" t="s">
        <v>26</v>
      </c>
      <c r="F711" t="s">
        <v>30</v>
      </c>
      <c r="G711" t="s">
        <v>35</v>
      </c>
      <c r="H711">
        <v>25.7</v>
      </c>
      <c r="I711">
        <v>3</v>
      </c>
      <c r="J711">
        <v>3.855</v>
      </c>
      <c r="K711">
        <v>77.099999999999994</v>
      </c>
      <c r="L711" s="1">
        <v>44726</v>
      </c>
      <c r="M711" s="7">
        <f>DAY(Data[[#This Row],[Date]])</f>
        <v>14</v>
      </c>
      <c r="N711" s="7">
        <f>MONTH(Data[[#This Row],[Date]])</f>
        <v>6</v>
      </c>
      <c r="O711" s="7">
        <f>YEAR(Data[[#This Row],[Date]])</f>
        <v>2022</v>
      </c>
      <c r="P711" s="2">
        <v>0.74930555555555556</v>
      </c>
      <c r="Q711" t="s">
        <v>22</v>
      </c>
      <c r="R711">
        <v>53.97</v>
      </c>
      <c r="S711">
        <v>19.274999999999999</v>
      </c>
      <c r="T711">
        <v>6.1</v>
      </c>
    </row>
    <row r="712" spans="1:20" x14ac:dyDescent="0.55000000000000004">
      <c r="A712" t="s">
        <v>745</v>
      </c>
      <c r="B712" t="s">
        <v>17</v>
      </c>
      <c r="C712" t="s">
        <v>18</v>
      </c>
      <c r="D712" t="str">
        <f>"Br. "&amp;Data[[#This Row],[Branch]]&amp;" ("&amp;Data[[#This Row],[City]]&amp;")"</f>
        <v>Br. A (Yangon)</v>
      </c>
      <c r="E712" t="s">
        <v>19</v>
      </c>
      <c r="F712" t="s">
        <v>30</v>
      </c>
      <c r="G712" t="s">
        <v>43</v>
      </c>
      <c r="H712">
        <v>80.62</v>
      </c>
      <c r="I712">
        <v>6</v>
      </c>
      <c r="J712">
        <v>24.186</v>
      </c>
      <c r="K712">
        <v>483.72</v>
      </c>
      <c r="L712" s="1">
        <v>44726</v>
      </c>
      <c r="M712" s="7">
        <f>DAY(Data[[#This Row],[Date]])</f>
        <v>14</v>
      </c>
      <c r="N712" s="7">
        <f>MONTH(Data[[#This Row],[Date]])</f>
        <v>6</v>
      </c>
      <c r="O712" s="7">
        <f>YEAR(Data[[#This Row],[Date]])</f>
        <v>2022</v>
      </c>
      <c r="P712" s="2">
        <v>0.84583333333333333</v>
      </c>
      <c r="Q712" t="s">
        <v>28</v>
      </c>
      <c r="R712">
        <v>338.60399999999998</v>
      </c>
      <c r="S712">
        <v>120.93</v>
      </c>
      <c r="T712">
        <v>9.1</v>
      </c>
    </row>
    <row r="713" spans="1:20" x14ac:dyDescent="0.55000000000000004">
      <c r="A713" t="s">
        <v>746</v>
      </c>
      <c r="B713" t="s">
        <v>24</v>
      </c>
      <c r="C713" t="s">
        <v>25</v>
      </c>
      <c r="D713" t="str">
        <f>"Br. "&amp;Data[[#This Row],[Branch]]&amp;" ("&amp;Data[[#This Row],[City]]&amp;")"</f>
        <v>Br. C (Naypyitaw)</v>
      </c>
      <c r="E713" t="s">
        <v>19</v>
      </c>
      <c r="F713" t="s">
        <v>20</v>
      </c>
      <c r="G713" t="s">
        <v>31</v>
      </c>
      <c r="H713">
        <v>75.53</v>
      </c>
      <c r="I713">
        <v>4</v>
      </c>
      <c r="J713">
        <v>15.106</v>
      </c>
      <c r="K713">
        <v>302.12</v>
      </c>
      <c r="L713" s="1">
        <v>44726</v>
      </c>
      <c r="M713" s="7">
        <f>DAY(Data[[#This Row],[Date]])</f>
        <v>14</v>
      </c>
      <c r="N713" s="7">
        <f>MONTH(Data[[#This Row],[Date]])</f>
        <v>6</v>
      </c>
      <c r="O713" s="7">
        <f>YEAR(Data[[#This Row],[Date]])</f>
        <v>2022</v>
      </c>
      <c r="P713" s="2">
        <v>0.66111111111111109</v>
      </c>
      <c r="Q713" t="s">
        <v>22</v>
      </c>
      <c r="R713">
        <v>211.48400000000001</v>
      </c>
      <c r="S713">
        <v>75.53</v>
      </c>
      <c r="T713">
        <v>8.3000000000000007</v>
      </c>
    </row>
    <row r="714" spans="1:20" x14ac:dyDescent="0.55000000000000004">
      <c r="A714" t="s">
        <v>747</v>
      </c>
      <c r="B714" t="s">
        <v>24</v>
      </c>
      <c r="C714" t="s">
        <v>25</v>
      </c>
      <c r="D714" t="str">
        <f>"Br. "&amp;Data[[#This Row],[Branch]]&amp;" ("&amp;Data[[#This Row],[City]]&amp;")"</f>
        <v>Br. C (Naypyitaw)</v>
      </c>
      <c r="E714" t="s">
        <v>26</v>
      </c>
      <c r="F714" t="s">
        <v>20</v>
      </c>
      <c r="G714" t="s">
        <v>27</v>
      </c>
      <c r="H714">
        <v>77.63</v>
      </c>
      <c r="I714">
        <v>9</v>
      </c>
      <c r="J714">
        <v>34.933500000000002</v>
      </c>
      <c r="K714">
        <v>698.67</v>
      </c>
      <c r="L714" s="1">
        <v>44726</v>
      </c>
      <c r="M714" s="7">
        <f>DAY(Data[[#This Row],[Date]])</f>
        <v>14</v>
      </c>
      <c r="N714" s="7">
        <f>MONTH(Data[[#This Row],[Date]])</f>
        <v>6</v>
      </c>
      <c r="O714" s="7">
        <f>YEAR(Data[[#This Row],[Date]])</f>
        <v>2022</v>
      </c>
      <c r="P714" s="2">
        <v>0.63472222222222219</v>
      </c>
      <c r="Q714" t="s">
        <v>22</v>
      </c>
      <c r="R714">
        <v>489.06900000000002</v>
      </c>
      <c r="S714">
        <v>174.66749999999999</v>
      </c>
      <c r="T714">
        <v>7.2</v>
      </c>
    </row>
    <row r="715" spans="1:20" x14ac:dyDescent="0.55000000000000004">
      <c r="A715" t="s">
        <v>748</v>
      </c>
      <c r="B715" t="s">
        <v>24</v>
      </c>
      <c r="C715" t="s">
        <v>25</v>
      </c>
      <c r="D715" t="str">
        <f>"Br. "&amp;Data[[#This Row],[Branch]]&amp;" ("&amp;Data[[#This Row],[City]]&amp;")"</f>
        <v>Br. C (Naypyitaw)</v>
      </c>
      <c r="E715" t="s">
        <v>26</v>
      </c>
      <c r="F715" t="s">
        <v>20</v>
      </c>
      <c r="G715" t="s">
        <v>21</v>
      </c>
      <c r="H715">
        <v>13.85</v>
      </c>
      <c r="I715">
        <v>9</v>
      </c>
      <c r="J715">
        <v>6.2324999999999999</v>
      </c>
      <c r="K715">
        <v>124.65</v>
      </c>
      <c r="L715" s="1">
        <v>44726</v>
      </c>
      <c r="M715" s="7">
        <f>DAY(Data[[#This Row],[Date]])</f>
        <v>14</v>
      </c>
      <c r="N715" s="7">
        <f>MONTH(Data[[#This Row],[Date]])</f>
        <v>6</v>
      </c>
      <c r="O715" s="7">
        <f>YEAR(Data[[#This Row],[Date]])</f>
        <v>2022</v>
      </c>
      <c r="P715" s="2">
        <v>0.53472222222222221</v>
      </c>
      <c r="Q715" t="s">
        <v>22</v>
      </c>
      <c r="R715">
        <v>87.254999999999995</v>
      </c>
      <c r="S715">
        <v>31.162500000000001</v>
      </c>
      <c r="T715">
        <v>6</v>
      </c>
    </row>
    <row r="716" spans="1:20" x14ac:dyDescent="0.55000000000000004">
      <c r="A716" t="s">
        <v>749</v>
      </c>
      <c r="B716" t="s">
        <v>24</v>
      </c>
      <c r="C716" t="s">
        <v>25</v>
      </c>
      <c r="D716" t="str">
        <f>"Br. "&amp;Data[[#This Row],[Branch]]&amp;" ("&amp;Data[[#This Row],[City]]&amp;")"</f>
        <v>Br. C (Naypyitaw)</v>
      </c>
      <c r="E716" t="s">
        <v>19</v>
      </c>
      <c r="F716" t="s">
        <v>30</v>
      </c>
      <c r="G716" t="s">
        <v>45</v>
      </c>
      <c r="H716">
        <v>98.7</v>
      </c>
      <c r="I716">
        <v>8</v>
      </c>
      <c r="J716">
        <v>39.479999999999997</v>
      </c>
      <c r="K716">
        <v>789.6</v>
      </c>
      <c r="L716" s="1">
        <v>44726</v>
      </c>
      <c r="M716" s="7">
        <f>DAY(Data[[#This Row],[Date]])</f>
        <v>14</v>
      </c>
      <c r="N716" s="7">
        <f>MONTH(Data[[#This Row],[Date]])</f>
        <v>6</v>
      </c>
      <c r="O716" s="7">
        <f>YEAR(Data[[#This Row],[Date]])</f>
        <v>2022</v>
      </c>
      <c r="P716" s="2">
        <v>0.44166666666666665</v>
      </c>
      <c r="Q716" t="s">
        <v>22</v>
      </c>
      <c r="R716">
        <v>552.72</v>
      </c>
      <c r="S716">
        <v>197.4</v>
      </c>
      <c r="T716">
        <v>8.5</v>
      </c>
    </row>
    <row r="717" spans="1:20" x14ac:dyDescent="0.55000000000000004">
      <c r="A717" t="s">
        <v>750</v>
      </c>
      <c r="B717" t="s">
        <v>17</v>
      </c>
      <c r="C717" t="s">
        <v>18</v>
      </c>
      <c r="D717" t="str">
        <f>"Br. "&amp;Data[[#This Row],[Branch]]&amp;" ("&amp;Data[[#This Row],[City]]&amp;")"</f>
        <v>Br. A (Yangon)</v>
      </c>
      <c r="E717" t="s">
        <v>26</v>
      </c>
      <c r="F717" t="s">
        <v>20</v>
      </c>
      <c r="G717" t="s">
        <v>21</v>
      </c>
      <c r="H717">
        <v>35.68</v>
      </c>
      <c r="I717">
        <v>5</v>
      </c>
      <c r="J717">
        <v>8.92</v>
      </c>
      <c r="K717">
        <v>178.4</v>
      </c>
      <c r="L717" s="1">
        <v>44726</v>
      </c>
      <c r="M717" s="7">
        <f>DAY(Data[[#This Row],[Date]])</f>
        <v>14</v>
      </c>
      <c r="N717" s="7">
        <f>MONTH(Data[[#This Row],[Date]])</f>
        <v>6</v>
      </c>
      <c r="O717" s="7">
        <f>YEAR(Data[[#This Row],[Date]])</f>
        <v>2022</v>
      </c>
      <c r="P717" s="2">
        <v>0.7729166666666667</v>
      </c>
      <c r="Q717" t="s">
        <v>32</v>
      </c>
      <c r="R717">
        <v>124.88</v>
      </c>
      <c r="S717">
        <v>44.6</v>
      </c>
      <c r="T717">
        <v>6.6</v>
      </c>
    </row>
    <row r="718" spans="1:20" x14ac:dyDescent="0.55000000000000004">
      <c r="A718" t="s">
        <v>751</v>
      </c>
      <c r="B718" t="s">
        <v>17</v>
      </c>
      <c r="C718" t="s">
        <v>18</v>
      </c>
      <c r="D718" t="str">
        <f>"Br. "&amp;Data[[#This Row],[Branch]]&amp;" ("&amp;Data[[#This Row],[City]]&amp;")"</f>
        <v>Br. A (Yangon)</v>
      </c>
      <c r="E718" t="s">
        <v>19</v>
      </c>
      <c r="F718" t="s">
        <v>20</v>
      </c>
      <c r="G718" t="s">
        <v>45</v>
      </c>
      <c r="H718">
        <v>71.459999999999994</v>
      </c>
      <c r="I718">
        <v>7</v>
      </c>
      <c r="J718">
        <v>25.010999999999999</v>
      </c>
      <c r="K718">
        <v>500.22</v>
      </c>
      <c r="L718" s="1">
        <v>44726</v>
      </c>
      <c r="M718" s="7">
        <f>DAY(Data[[#This Row],[Date]])</f>
        <v>14</v>
      </c>
      <c r="N718" s="7">
        <f>MONTH(Data[[#This Row],[Date]])</f>
        <v>6</v>
      </c>
      <c r="O718" s="7">
        <f>YEAR(Data[[#This Row],[Date]])</f>
        <v>2022</v>
      </c>
      <c r="P718" s="2">
        <v>0.67083333333333328</v>
      </c>
      <c r="Q718" t="s">
        <v>22</v>
      </c>
      <c r="R718">
        <v>350.154</v>
      </c>
      <c r="S718">
        <v>125.05500000000001</v>
      </c>
      <c r="T718">
        <v>4.5</v>
      </c>
    </row>
    <row r="719" spans="1:20" x14ac:dyDescent="0.55000000000000004">
      <c r="A719" t="s">
        <v>752</v>
      </c>
      <c r="B719" t="s">
        <v>17</v>
      </c>
      <c r="C719" t="s">
        <v>18</v>
      </c>
      <c r="D719" t="str">
        <f>"Br. "&amp;Data[[#This Row],[Branch]]&amp;" ("&amp;Data[[#This Row],[City]]&amp;")"</f>
        <v>Br. A (Yangon)</v>
      </c>
      <c r="E719" t="s">
        <v>19</v>
      </c>
      <c r="F719" t="s">
        <v>30</v>
      </c>
      <c r="G719" t="s">
        <v>27</v>
      </c>
      <c r="H719">
        <v>11.94</v>
      </c>
      <c r="I719">
        <v>3</v>
      </c>
      <c r="J719">
        <v>1.7909999999999999</v>
      </c>
      <c r="K719">
        <v>35.82</v>
      </c>
      <c r="L719" s="1">
        <v>44726</v>
      </c>
      <c r="M719" s="7">
        <f>DAY(Data[[#This Row],[Date]])</f>
        <v>14</v>
      </c>
      <c r="N719" s="7">
        <f>MONTH(Data[[#This Row],[Date]])</f>
        <v>6</v>
      </c>
      <c r="O719" s="7">
        <f>YEAR(Data[[#This Row],[Date]])</f>
        <v>2022</v>
      </c>
      <c r="P719" s="2">
        <v>0.53263888888888888</v>
      </c>
      <c r="Q719" t="s">
        <v>32</v>
      </c>
      <c r="R719">
        <v>25.074000000000002</v>
      </c>
      <c r="S719">
        <v>8.9550000000000001</v>
      </c>
      <c r="T719">
        <v>8.1</v>
      </c>
    </row>
    <row r="720" spans="1:20" x14ac:dyDescent="0.55000000000000004">
      <c r="A720" t="s">
        <v>753</v>
      </c>
      <c r="B720" t="s">
        <v>17</v>
      </c>
      <c r="C720" t="s">
        <v>18</v>
      </c>
      <c r="D720" t="str">
        <f>"Br. "&amp;Data[[#This Row],[Branch]]&amp;" ("&amp;Data[[#This Row],[City]]&amp;")"</f>
        <v>Br. A (Yangon)</v>
      </c>
      <c r="E720" t="s">
        <v>26</v>
      </c>
      <c r="F720" t="s">
        <v>30</v>
      </c>
      <c r="G720" t="s">
        <v>45</v>
      </c>
      <c r="H720">
        <v>45.38</v>
      </c>
      <c r="I720">
        <v>3</v>
      </c>
      <c r="J720">
        <v>6.8070000000000004</v>
      </c>
      <c r="K720">
        <v>136.13999999999999</v>
      </c>
      <c r="L720" s="1">
        <v>44726</v>
      </c>
      <c r="M720" s="7">
        <f>DAY(Data[[#This Row],[Date]])</f>
        <v>14</v>
      </c>
      <c r="N720" s="7">
        <f>MONTH(Data[[#This Row],[Date]])</f>
        <v>6</v>
      </c>
      <c r="O720" s="7">
        <f>YEAR(Data[[#This Row],[Date]])</f>
        <v>2022</v>
      </c>
      <c r="P720" s="2">
        <v>0.56527777777777777</v>
      </c>
      <c r="Q720" t="s">
        <v>32</v>
      </c>
      <c r="R720">
        <v>95.298000000000002</v>
      </c>
      <c r="S720">
        <v>34.034999999999997</v>
      </c>
      <c r="T720">
        <v>7.2</v>
      </c>
    </row>
    <row r="721" spans="1:20" x14ac:dyDescent="0.55000000000000004">
      <c r="A721" t="s">
        <v>754</v>
      </c>
      <c r="B721" t="s">
        <v>41</v>
      </c>
      <c r="C721" t="s">
        <v>42</v>
      </c>
      <c r="D721" t="str">
        <f>"Br. "&amp;Data[[#This Row],[Branch]]&amp;" ("&amp;Data[[#This Row],[City]]&amp;")"</f>
        <v>Br. B (Mandalay)</v>
      </c>
      <c r="E721" t="s">
        <v>19</v>
      </c>
      <c r="F721" t="s">
        <v>20</v>
      </c>
      <c r="G721" t="s">
        <v>45</v>
      </c>
      <c r="H721">
        <v>17.48</v>
      </c>
      <c r="I721">
        <v>6</v>
      </c>
      <c r="J721">
        <v>5.2439999999999998</v>
      </c>
      <c r="K721">
        <v>104.88</v>
      </c>
      <c r="L721" s="1">
        <v>44726</v>
      </c>
      <c r="M721" s="7">
        <f>DAY(Data[[#This Row],[Date]])</f>
        <v>14</v>
      </c>
      <c r="N721" s="7">
        <f>MONTH(Data[[#This Row],[Date]])</f>
        <v>6</v>
      </c>
      <c r="O721" s="7">
        <f>YEAR(Data[[#This Row],[Date]])</f>
        <v>2022</v>
      </c>
      <c r="P721" s="2">
        <v>0.62777777777777777</v>
      </c>
      <c r="Q721" t="s">
        <v>32</v>
      </c>
      <c r="R721">
        <v>73.415999999999997</v>
      </c>
      <c r="S721">
        <v>26.22</v>
      </c>
      <c r="T721">
        <v>6.1</v>
      </c>
    </row>
    <row r="722" spans="1:20" x14ac:dyDescent="0.55000000000000004">
      <c r="A722" t="s">
        <v>755</v>
      </c>
      <c r="B722" t="s">
        <v>41</v>
      </c>
      <c r="C722" t="s">
        <v>42</v>
      </c>
      <c r="D722" t="str">
        <f>"Br. "&amp;Data[[#This Row],[Branch]]&amp;" ("&amp;Data[[#This Row],[City]]&amp;")"</f>
        <v>Br. B (Mandalay)</v>
      </c>
      <c r="E722" t="s">
        <v>26</v>
      </c>
      <c r="F722" t="s">
        <v>20</v>
      </c>
      <c r="G722" t="s">
        <v>45</v>
      </c>
      <c r="H722">
        <v>25.56</v>
      </c>
      <c r="I722">
        <v>7</v>
      </c>
      <c r="J722">
        <v>8.9459999999999997</v>
      </c>
      <c r="K722">
        <v>178.92</v>
      </c>
      <c r="L722" s="1">
        <v>44726</v>
      </c>
      <c r="M722" s="7">
        <f>DAY(Data[[#This Row],[Date]])</f>
        <v>14</v>
      </c>
      <c r="N722" s="7">
        <f>MONTH(Data[[#This Row],[Date]])</f>
        <v>6</v>
      </c>
      <c r="O722" s="7">
        <f>YEAR(Data[[#This Row],[Date]])</f>
        <v>2022</v>
      </c>
      <c r="P722" s="2">
        <v>0.86250000000000004</v>
      </c>
      <c r="Q722" t="s">
        <v>28</v>
      </c>
      <c r="R722">
        <v>125.244</v>
      </c>
      <c r="S722">
        <v>44.73</v>
      </c>
      <c r="T722">
        <v>7.1</v>
      </c>
    </row>
    <row r="723" spans="1:20" x14ac:dyDescent="0.55000000000000004">
      <c r="A723" t="s">
        <v>756</v>
      </c>
      <c r="B723" t="s">
        <v>24</v>
      </c>
      <c r="C723" t="s">
        <v>25</v>
      </c>
      <c r="D723" t="str">
        <f>"Br. "&amp;Data[[#This Row],[Branch]]&amp;" ("&amp;Data[[#This Row],[City]]&amp;")"</f>
        <v>Br. C (Naypyitaw)</v>
      </c>
      <c r="E723" t="s">
        <v>19</v>
      </c>
      <c r="F723" t="s">
        <v>20</v>
      </c>
      <c r="G723" t="s">
        <v>35</v>
      </c>
      <c r="H723">
        <v>90.63</v>
      </c>
      <c r="I723">
        <v>9</v>
      </c>
      <c r="J723">
        <v>40.783499999999997</v>
      </c>
      <c r="K723">
        <v>815.67</v>
      </c>
      <c r="L723" s="1">
        <v>44726</v>
      </c>
      <c r="M723" s="7">
        <f>DAY(Data[[#This Row],[Date]])</f>
        <v>14</v>
      </c>
      <c r="N723" s="7">
        <f>MONTH(Data[[#This Row],[Date]])</f>
        <v>6</v>
      </c>
      <c r="O723" s="7">
        <f>YEAR(Data[[#This Row],[Date]])</f>
        <v>2022</v>
      </c>
      <c r="P723" s="2">
        <v>0.64444444444444449</v>
      </c>
      <c r="Q723" t="s">
        <v>28</v>
      </c>
      <c r="R723">
        <v>570.96900000000005</v>
      </c>
      <c r="S723">
        <v>203.91749999999999</v>
      </c>
      <c r="T723">
        <v>5.0999999999999996</v>
      </c>
    </row>
    <row r="724" spans="1:20" x14ac:dyDescent="0.55000000000000004">
      <c r="A724" t="s">
        <v>757</v>
      </c>
      <c r="B724" t="s">
        <v>41</v>
      </c>
      <c r="C724" t="s">
        <v>42</v>
      </c>
      <c r="D724" t="str">
        <f>"Br. "&amp;Data[[#This Row],[Branch]]&amp;" ("&amp;Data[[#This Row],[City]]&amp;")"</f>
        <v>Br. B (Mandalay)</v>
      </c>
      <c r="E724" t="s">
        <v>26</v>
      </c>
      <c r="F724" t="s">
        <v>30</v>
      </c>
      <c r="G724" t="s">
        <v>31</v>
      </c>
      <c r="H724">
        <v>44.12</v>
      </c>
      <c r="I724">
        <v>3</v>
      </c>
      <c r="J724">
        <v>6.6180000000000003</v>
      </c>
      <c r="K724">
        <v>132.36000000000001</v>
      </c>
      <c r="L724" s="1">
        <v>44726</v>
      </c>
      <c r="M724" s="7">
        <f>DAY(Data[[#This Row],[Date]])</f>
        <v>14</v>
      </c>
      <c r="N724" s="7">
        <f>MONTH(Data[[#This Row],[Date]])</f>
        <v>6</v>
      </c>
      <c r="O724" s="7">
        <f>YEAR(Data[[#This Row],[Date]])</f>
        <v>2022</v>
      </c>
      <c r="P724" s="2">
        <v>0.57291666666666663</v>
      </c>
      <c r="Q724" t="s">
        <v>32</v>
      </c>
      <c r="R724">
        <v>92.652000000000001</v>
      </c>
      <c r="S724">
        <v>33.090000000000003</v>
      </c>
      <c r="T724">
        <v>7.9</v>
      </c>
    </row>
    <row r="725" spans="1:20" x14ac:dyDescent="0.55000000000000004">
      <c r="A725" t="s">
        <v>758</v>
      </c>
      <c r="B725" t="s">
        <v>24</v>
      </c>
      <c r="C725" t="s">
        <v>25</v>
      </c>
      <c r="D725" t="str">
        <f>"Br. "&amp;Data[[#This Row],[Branch]]&amp;" ("&amp;Data[[#This Row],[City]]&amp;")"</f>
        <v>Br. C (Naypyitaw)</v>
      </c>
      <c r="E725" t="s">
        <v>19</v>
      </c>
      <c r="F725" t="s">
        <v>20</v>
      </c>
      <c r="G725" t="s">
        <v>43</v>
      </c>
      <c r="H725">
        <v>36.770000000000003</v>
      </c>
      <c r="I725">
        <v>7</v>
      </c>
      <c r="J725">
        <v>12.8695</v>
      </c>
      <c r="K725">
        <v>257.39</v>
      </c>
      <c r="L725" s="1">
        <v>44726</v>
      </c>
      <c r="M725" s="7">
        <f>DAY(Data[[#This Row],[Date]])</f>
        <v>14</v>
      </c>
      <c r="N725" s="7">
        <f>MONTH(Data[[#This Row],[Date]])</f>
        <v>6</v>
      </c>
      <c r="O725" s="7">
        <f>YEAR(Data[[#This Row],[Date]])</f>
        <v>2022</v>
      </c>
      <c r="P725" s="2">
        <v>0.84027777777777779</v>
      </c>
      <c r="Q725" t="s">
        <v>28</v>
      </c>
      <c r="R725">
        <v>180.173</v>
      </c>
      <c r="S725">
        <v>64.347499999999997</v>
      </c>
      <c r="T725">
        <v>7.4</v>
      </c>
    </row>
    <row r="726" spans="1:20" x14ac:dyDescent="0.55000000000000004">
      <c r="A726" t="s">
        <v>759</v>
      </c>
      <c r="B726" t="s">
        <v>41</v>
      </c>
      <c r="C726" t="s">
        <v>42</v>
      </c>
      <c r="D726" t="str">
        <f>"Br. "&amp;Data[[#This Row],[Branch]]&amp;" ("&amp;Data[[#This Row],[City]]&amp;")"</f>
        <v>Br. B (Mandalay)</v>
      </c>
      <c r="E726" t="s">
        <v>19</v>
      </c>
      <c r="F726" t="s">
        <v>30</v>
      </c>
      <c r="G726" t="s">
        <v>43</v>
      </c>
      <c r="H726">
        <v>23.34</v>
      </c>
      <c r="I726">
        <v>4</v>
      </c>
      <c r="J726">
        <v>4.6680000000000001</v>
      </c>
      <c r="K726">
        <v>93.36</v>
      </c>
      <c r="L726" s="1">
        <v>44726</v>
      </c>
      <c r="M726" s="7">
        <f>DAY(Data[[#This Row],[Date]])</f>
        <v>14</v>
      </c>
      <c r="N726" s="7">
        <f>MONTH(Data[[#This Row],[Date]])</f>
        <v>6</v>
      </c>
      <c r="O726" s="7">
        <f>YEAR(Data[[#This Row],[Date]])</f>
        <v>2022</v>
      </c>
      <c r="P726" s="2">
        <v>0.78680555555555554</v>
      </c>
      <c r="Q726" t="s">
        <v>22</v>
      </c>
      <c r="R726">
        <v>65.352000000000004</v>
      </c>
      <c r="S726">
        <v>23.34</v>
      </c>
      <c r="T726">
        <v>7.4</v>
      </c>
    </row>
    <row r="727" spans="1:20" x14ac:dyDescent="0.55000000000000004">
      <c r="A727" t="s">
        <v>760</v>
      </c>
      <c r="B727" t="s">
        <v>24</v>
      </c>
      <c r="C727" t="s">
        <v>25</v>
      </c>
      <c r="D727" t="str">
        <f>"Br. "&amp;Data[[#This Row],[Branch]]&amp;" ("&amp;Data[[#This Row],[City]]&amp;")"</f>
        <v>Br. C (Naypyitaw)</v>
      </c>
      <c r="E727" t="s">
        <v>19</v>
      </c>
      <c r="F727" t="s">
        <v>20</v>
      </c>
      <c r="G727" t="s">
        <v>21</v>
      </c>
      <c r="H727">
        <v>28.5</v>
      </c>
      <c r="I727">
        <v>8</v>
      </c>
      <c r="J727">
        <v>11.4</v>
      </c>
      <c r="K727">
        <v>228</v>
      </c>
      <c r="L727" s="1">
        <v>44726</v>
      </c>
      <c r="M727" s="7">
        <f>DAY(Data[[#This Row],[Date]])</f>
        <v>14</v>
      </c>
      <c r="N727" s="7">
        <f>MONTH(Data[[#This Row],[Date]])</f>
        <v>6</v>
      </c>
      <c r="O727" s="7">
        <f>YEAR(Data[[#This Row],[Date]])</f>
        <v>2022</v>
      </c>
      <c r="P727" s="2">
        <v>0.6</v>
      </c>
      <c r="Q727" t="s">
        <v>28</v>
      </c>
      <c r="R727">
        <v>159.6</v>
      </c>
      <c r="S727">
        <v>57</v>
      </c>
      <c r="T727">
        <v>6.6</v>
      </c>
    </row>
    <row r="728" spans="1:20" x14ac:dyDescent="0.55000000000000004">
      <c r="A728" t="s">
        <v>761</v>
      </c>
      <c r="B728" t="s">
        <v>24</v>
      </c>
      <c r="C728" t="s">
        <v>25</v>
      </c>
      <c r="D728" t="str">
        <f>"Br. "&amp;Data[[#This Row],[Branch]]&amp;" ("&amp;Data[[#This Row],[City]]&amp;")"</f>
        <v>Br. C (Naypyitaw)</v>
      </c>
      <c r="E728" t="s">
        <v>19</v>
      </c>
      <c r="F728" t="s">
        <v>30</v>
      </c>
      <c r="G728" t="s">
        <v>31</v>
      </c>
      <c r="H728">
        <v>55.57</v>
      </c>
      <c r="I728">
        <v>3</v>
      </c>
      <c r="J728">
        <v>8.3354999999999997</v>
      </c>
      <c r="K728">
        <v>166.71</v>
      </c>
      <c r="L728" s="1">
        <v>44726</v>
      </c>
      <c r="M728" s="7">
        <f>DAY(Data[[#This Row],[Date]])</f>
        <v>14</v>
      </c>
      <c r="N728" s="7">
        <f>MONTH(Data[[#This Row],[Date]])</f>
        <v>6</v>
      </c>
      <c r="O728" s="7">
        <f>YEAR(Data[[#This Row],[Date]])</f>
        <v>2022</v>
      </c>
      <c r="P728" s="2">
        <v>0.48749999999999999</v>
      </c>
      <c r="Q728" t="s">
        <v>32</v>
      </c>
      <c r="R728">
        <v>116.697</v>
      </c>
      <c r="S728">
        <v>41.677500000000002</v>
      </c>
      <c r="T728">
        <v>5.9</v>
      </c>
    </row>
    <row r="729" spans="1:20" x14ac:dyDescent="0.55000000000000004">
      <c r="A729" t="s">
        <v>762</v>
      </c>
      <c r="B729" t="s">
        <v>41</v>
      </c>
      <c r="C729" t="s">
        <v>42</v>
      </c>
      <c r="D729" t="str">
        <f>"Br. "&amp;Data[[#This Row],[Branch]]&amp;" ("&amp;Data[[#This Row],[City]]&amp;")"</f>
        <v>Br. B (Mandalay)</v>
      </c>
      <c r="E729" t="s">
        <v>26</v>
      </c>
      <c r="F729" t="s">
        <v>30</v>
      </c>
      <c r="G729" t="s">
        <v>35</v>
      </c>
      <c r="H729">
        <v>69.739999999999995</v>
      </c>
      <c r="I729">
        <v>10</v>
      </c>
      <c r="J729">
        <v>34.869999999999997</v>
      </c>
      <c r="K729">
        <v>697.4</v>
      </c>
      <c r="L729" s="1">
        <v>44726</v>
      </c>
      <c r="M729" s="7">
        <f>DAY(Data[[#This Row],[Date]])</f>
        <v>14</v>
      </c>
      <c r="N729" s="7">
        <f>MONTH(Data[[#This Row],[Date]])</f>
        <v>6</v>
      </c>
      <c r="O729" s="7">
        <f>YEAR(Data[[#This Row],[Date]])</f>
        <v>2022</v>
      </c>
      <c r="P729" s="2">
        <v>0.74236111111111114</v>
      </c>
      <c r="Q729" t="s">
        <v>32</v>
      </c>
      <c r="R729">
        <v>488.18</v>
      </c>
      <c r="S729">
        <v>174.35</v>
      </c>
      <c r="T729">
        <v>8.9</v>
      </c>
    </row>
    <row r="730" spans="1:20" x14ac:dyDescent="0.55000000000000004">
      <c r="A730" t="s">
        <v>763</v>
      </c>
      <c r="B730" t="s">
        <v>24</v>
      </c>
      <c r="C730" t="s">
        <v>25</v>
      </c>
      <c r="D730" t="str">
        <f>"Br. "&amp;Data[[#This Row],[Branch]]&amp;" ("&amp;Data[[#This Row],[City]]&amp;")"</f>
        <v>Br. C (Naypyitaw)</v>
      </c>
      <c r="E730" t="s">
        <v>26</v>
      </c>
      <c r="F730" t="s">
        <v>30</v>
      </c>
      <c r="G730" t="s">
        <v>45</v>
      </c>
      <c r="H730">
        <v>97.26</v>
      </c>
      <c r="I730">
        <v>4</v>
      </c>
      <c r="J730">
        <v>19.452000000000002</v>
      </c>
      <c r="K730">
        <v>389.04</v>
      </c>
      <c r="L730" s="1">
        <v>44726</v>
      </c>
      <c r="M730" s="7">
        <f>DAY(Data[[#This Row],[Date]])</f>
        <v>14</v>
      </c>
      <c r="N730" s="7">
        <f>MONTH(Data[[#This Row],[Date]])</f>
        <v>6</v>
      </c>
      <c r="O730" s="7">
        <f>YEAR(Data[[#This Row],[Date]])</f>
        <v>2022</v>
      </c>
      <c r="P730" s="2">
        <v>0.6479166666666667</v>
      </c>
      <c r="Q730" t="s">
        <v>22</v>
      </c>
      <c r="R730">
        <v>272.32799999999997</v>
      </c>
      <c r="S730">
        <v>97.26</v>
      </c>
      <c r="T730">
        <v>6.8</v>
      </c>
    </row>
    <row r="731" spans="1:20" x14ac:dyDescent="0.55000000000000004">
      <c r="A731" t="s">
        <v>764</v>
      </c>
      <c r="B731" t="s">
        <v>41</v>
      </c>
      <c r="C731" t="s">
        <v>42</v>
      </c>
      <c r="D731" t="str">
        <f>"Br. "&amp;Data[[#This Row],[Branch]]&amp;" ("&amp;Data[[#This Row],[City]]&amp;")"</f>
        <v>Br. B (Mandalay)</v>
      </c>
      <c r="E731" t="s">
        <v>19</v>
      </c>
      <c r="F731" t="s">
        <v>20</v>
      </c>
      <c r="G731" t="s">
        <v>31</v>
      </c>
      <c r="H731">
        <v>52.18</v>
      </c>
      <c r="I731">
        <v>7</v>
      </c>
      <c r="J731">
        <v>18.263000000000002</v>
      </c>
      <c r="K731">
        <v>365.26</v>
      </c>
      <c r="L731" s="1">
        <v>44726</v>
      </c>
      <c r="M731" s="7">
        <f>DAY(Data[[#This Row],[Date]])</f>
        <v>14</v>
      </c>
      <c r="N731" s="7">
        <f>MONTH(Data[[#This Row],[Date]])</f>
        <v>6</v>
      </c>
      <c r="O731" s="7">
        <f>YEAR(Data[[#This Row],[Date]])</f>
        <v>2022</v>
      </c>
      <c r="P731" s="2">
        <v>0.45416666666666666</v>
      </c>
      <c r="Q731" t="s">
        <v>28</v>
      </c>
      <c r="R731">
        <v>255.68199999999999</v>
      </c>
      <c r="S731">
        <v>91.314999999999998</v>
      </c>
      <c r="T731">
        <v>9.3000000000000007</v>
      </c>
    </row>
    <row r="732" spans="1:20" x14ac:dyDescent="0.55000000000000004">
      <c r="A732" t="s">
        <v>765</v>
      </c>
      <c r="B732" t="s">
        <v>17</v>
      </c>
      <c r="C732" t="s">
        <v>18</v>
      </c>
      <c r="D732" t="str">
        <f>"Br. "&amp;Data[[#This Row],[Branch]]&amp;" ("&amp;Data[[#This Row],[City]]&amp;")"</f>
        <v>Br. A (Yangon)</v>
      </c>
      <c r="E732" t="s">
        <v>19</v>
      </c>
      <c r="F732" t="s">
        <v>20</v>
      </c>
      <c r="G732" t="s">
        <v>45</v>
      </c>
      <c r="H732">
        <v>22.32</v>
      </c>
      <c r="I732">
        <v>4</v>
      </c>
      <c r="J732">
        <v>4.4640000000000004</v>
      </c>
      <c r="K732">
        <v>89.28</v>
      </c>
      <c r="L732" s="1">
        <v>44726</v>
      </c>
      <c r="M732" s="7">
        <f>DAY(Data[[#This Row],[Date]])</f>
        <v>14</v>
      </c>
      <c r="N732" s="7">
        <f>MONTH(Data[[#This Row],[Date]])</f>
        <v>6</v>
      </c>
      <c r="O732" s="7">
        <f>YEAR(Data[[#This Row],[Date]])</f>
        <v>2022</v>
      </c>
      <c r="P732" s="2">
        <v>0.68263888888888891</v>
      </c>
      <c r="Q732" t="s">
        <v>32</v>
      </c>
      <c r="R732">
        <v>62.496000000000002</v>
      </c>
      <c r="S732">
        <v>22.32</v>
      </c>
      <c r="T732">
        <v>4.4000000000000004</v>
      </c>
    </row>
    <row r="733" spans="1:20" x14ac:dyDescent="0.55000000000000004">
      <c r="A733" t="s">
        <v>766</v>
      </c>
      <c r="B733" t="s">
        <v>17</v>
      </c>
      <c r="C733" t="s">
        <v>18</v>
      </c>
      <c r="D733" t="str">
        <f>"Br. "&amp;Data[[#This Row],[Branch]]&amp;" ("&amp;Data[[#This Row],[City]]&amp;")"</f>
        <v>Br. A (Yangon)</v>
      </c>
      <c r="E733" t="s">
        <v>26</v>
      </c>
      <c r="F733" t="s">
        <v>30</v>
      </c>
      <c r="G733" t="s">
        <v>21</v>
      </c>
      <c r="H733">
        <v>56</v>
      </c>
      <c r="I733">
        <v>3</v>
      </c>
      <c r="J733">
        <v>8.4</v>
      </c>
      <c r="K733">
        <v>168</v>
      </c>
      <c r="L733" s="1">
        <v>44726</v>
      </c>
      <c r="M733" s="7">
        <f>DAY(Data[[#This Row],[Date]])</f>
        <v>14</v>
      </c>
      <c r="N733" s="7">
        <f>MONTH(Data[[#This Row],[Date]])</f>
        <v>6</v>
      </c>
      <c r="O733" s="7">
        <f>YEAR(Data[[#This Row],[Date]])</f>
        <v>2022</v>
      </c>
      <c r="P733" s="2">
        <v>0.81458333333333333</v>
      </c>
      <c r="Q733" t="s">
        <v>22</v>
      </c>
      <c r="R733">
        <v>117.6</v>
      </c>
      <c r="S733">
        <v>42</v>
      </c>
      <c r="T733">
        <v>4.8</v>
      </c>
    </row>
    <row r="734" spans="1:20" x14ac:dyDescent="0.55000000000000004">
      <c r="A734" t="s">
        <v>767</v>
      </c>
      <c r="B734" t="s">
        <v>17</v>
      </c>
      <c r="C734" t="s">
        <v>18</v>
      </c>
      <c r="D734" t="str">
        <f>"Br. "&amp;Data[[#This Row],[Branch]]&amp;" ("&amp;Data[[#This Row],[City]]&amp;")"</f>
        <v>Br. A (Yangon)</v>
      </c>
      <c r="E734" t="s">
        <v>19</v>
      </c>
      <c r="F734" t="s">
        <v>30</v>
      </c>
      <c r="G734" t="s">
        <v>45</v>
      </c>
      <c r="H734">
        <v>19.7</v>
      </c>
      <c r="I734">
        <v>1</v>
      </c>
      <c r="J734">
        <v>0.98499999999999999</v>
      </c>
      <c r="K734">
        <v>19.7</v>
      </c>
      <c r="L734" s="1">
        <v>44726</v>
      </c>
      <c r="M734" s="7">
        <f>DAY(Data[[#This Row],[Date]])</f>
        <v>14</v>
      </c>
      <c r="N734" s="7">
        <f>MONTH(Data[[#This Row],[Date]])</f>
        <v>6</v>
      </c>
      <c r="O734" s="7">
        <f>YEAR(Data[[#This Row],[Date]])</f>
        <v>2022</v>
      </c>
      <c r="P734" s="2">
        <v>0.48541666666666666</v>
      </c>
      <c r="Q734" t="s">
        <v>22</v>
      </c>
      <c r="R734">
        <v>13.79</v>
      </c>
      <c r="S734">
        <v>4.9249999999999998</v>
      </c>
      <c r="T734">
        <v>9.5</v>
      </c>
    </row>
    <row r="735" spans="1:20" x14ac:dyDescent="0.55000000000000004">
      <c r="A735" t="s">
        <v>768</v>
      </c>
      <c r="B735" t="s">
        <v>41</v>
      </c>
      <c r="C735" t="s">
        <v>42</v>
      </c>
      <c r="D735" t="str">
        <f>"Br. "&amp;Data[[#This Row],[Branch]]&amp;" ("&amp;Data[[#This Row],[City]]&amp;")"</f>
        <v>Br. B (Mandalay)</v>
      </c>
      <c r="E735" t="s">
        <v>26</v>
      </c>
      <c r="F735" t="s">
        <v>30</v>
      </c>
      <c r="G735" t="s">
        <v>27</v>
      </c>
      <c r="H735">
        <v>75.88</v>
      </c>
      <c r="I735">
        <v>7</v>
      </c>
      <c r="J735">
        <v>26.558</v>
      </c>
      <c r="K735">
        <v>531.16</v>
      </c>
      <c r="L735" s="1">
        <v>44726</v>
      </c>
      <c r="M735" s="7">
        <f>DAY(Data[[#This Row],[Date]])</f>
        <v>14</v>
      </c>
      <c r="N735" s="7">
        <f>MONTH(Data[[#This Row],[Date]])</f>
        <v>6</v>
      </c>
      <c r="O735" s="7">
        <f>YEAR(Data[[#This Row],[Date]])</f>
        <v>2022</v>
      </c>
      <c r="P735" s="2">
        <v>0.44305555555555554</v>
      </c>
      <c r="Q735" t="s">
        <v>22</v>
      </c>
      <c r="R735">
        <v>371.81200000000001</v>
      </c>
      <c r="S735">
        <v>132.79</v>
      </c>
      <c r="T735">
        <v>8.9</v>
      </c>
    </row>
    <row r="736" spans="1:20" x14ac:dyDescent="0.55000000000000004">
      <c r="A736" t="s">
        <v>769</v>
      </c>
      <c r="B736" t="s">
        <v>41</v>
      </c>
      <c r="C736" t="s">
        <v>42</v>
      </c>
      <c r="D736" t="str">
        <f>"Br. "&amp;Data[[#This Row],[Branch]]&amp;" ("&amp;Data[[#This Row],[City]]&amp;")"</f>
        <v>Br. B (Mandalay)</v>
      </c>
      <c r="E736" t="s">
        <v>19</v>
      </c>
      <c r="F736" t="s">
        <v>30</v>
      </c>
      <c r="G736" t="s">
        <v>43</v>
      </c>
      <c r="H736">
        <v>53.72</v>
      </c>
      <c r="I736">
        <v>1</v>
      </c>
      <c r="J736">
        <v>2.6859999999999999</v>
      </c>
      <c r="K736">
        <v>53.72</v>
      </c>
      <c r="L736" s="1">
        <v>44726</v>
      </c>
      <c r="M736" s="7">
        <f>DAY(Data[[#This Row],[Date]])</f>
        <v>14</v>
      </c>
      <c r="N736" s="7">
        <f>MONTH(Data[[#This Row],[Date]])</f>
        <v>6</v>
      </c>
      <c r="O736" s="7">
        <f>YEAR(Data[[#This Row],[Date]])</f>
        <v>2022</v>
      </c>
      <c r="P736" s="2">
        <v>0.8354166666666667</v>
      </c>
      <c r="Q736" t="s">
        <v>22</v>
      </c>
      <c r="R736">
        <v>37.603999999999999</v>
      </c>
      <c r="S736">
        <v>13.43</v>
      </c>
      <c r="T736">
        <v>6.4</v>
      </c>
    </row>
    <row r="737" spans="1:20" x14ac:dyDescent="0.55000000000000004">
      <c r="A737" t="s">
        <v>770</v>
      </c>
      <c r="B737" t="s">
        <v>24</v>
      </c>
      <c r="C737" t="s">
        <v>25</v>
      </c>
      <c r="D737" t="str">
        <f>"Br. "&amp;Data[[#This Row],[Branch]]&amp;" ("&amp;Data[[#This Row],[City]]&amp;")"</f>
        <v>Br. C (Naypyitaw)</v>
      </c>
      <c r="E737" t="s">
        <v>19</v>
      </c>
      <c r="F737" t="s">
        <v>30</v>
      </c>
      <c r="G737" t="s">
        <v>21</v>
      </c>
      <c r="H737">
        <v>81.95</v>
      </c>
      <c r="I737">
        <v>10</v>
      </c>
      <c r="J737">
        <v>40.975000000000001</v>
      </c>
      <c r="K737">
        <v>819.5</v>
      </c>
      <c r="L737" s="1">
        <v>44726</v>
      </c>
      <c r="M737" s="7">
        <f>DAY(Data[[#This Row],[Date]])</f>
        <v>14</v>
      </c>
      <c r="N737" s="7">
        <f>MONTH(Data[[#This Row],[Date]])</f>
        <v>6</v>
      </c>
      <c r="O737" s="7">
        <f>YEAR(Data[[#This Row],[Date]])</f>
        <v>2022</v>
      </c>
      <c r="P737" s="2">
        <v>0.52708333333333335</v>
      </c>
      <c r="Q737" t="s">
        <v>32</v>
      </c>
      <c r="R737">
        <v>573.65</v>
      </c>
      <c r="S737">
        <v>204.875</v>
      </c>
      <c r="T737">
        <v>6</v>
      </c>
    </row>
    <row r="738" spans="1:20" x14ac:dyDescent="0.55000000000000004">
      <c r="A738" t="s">
        <v>771</v>
      </c>
      <c r="B738" t="s">
        <v>24</v>
      </c>
      <c r="C738" t="s">
        <v>25</v>
      </c>
      <c r="D738" t="str">
        <f>"Br. "&amp;Data[[#This Row],[Branch]]&amp;" ("&amp;Data[[#This Row],[City]]&amp;")"</f>
        <v>Br. C (Naypyitaw)</v>
      </c>
      <c r="E738" t="s">
        <v>19</v>
      </c>
      <c r="F738" t="s">
        <v>20</v>
      </c>
      <c r="G738" t="s">
        <v>31</v>
      </c>
      <c r="H738">
        <v>81.2</v>
      </c>
      <c r="I738">
        <v>7</v>
      </c>
      <c r="J738">
        <v>28.42</v>
      </c>
      <c r="K738">
        <v>568.4</v>
      </c>
      <c r="L738" s="1">
        <v>44726</v>
      </c>
      <c r="M738" s="7">
        <f>DAY(Data[[#This Row],[Date]])</f>
        <v>14</v>
      </c>
      <c r="N738" s="7">
        <f>MONTH(Data[[#This Row],[Date]])</f>
        <v>6</v>
      </c>
      <c r="O738" s="7">
        <f>YEAR(Data[[#This Row],[Date]])</f>
        <v>2022</v>
      </c>
      <c r="P738" s="2">
        <v>0.66597222222222219</v>
      </c>
      <c r="Q738" t="s">
        <v>32</v>
      </c>
      <c r="R738">
        <v>397.88</v>
      </c>
      <c r="S738">
        <v>142.1</v>
      </c>
      <c r="T738">
        <v>8.1</v>
      </c>
    </row>
    <row r="739" spans="1:20" x14ac:dyDescent="0.55000000000000004">
      <c r="A739" t="s">
        <v>772</v>
      </c>
      <c r="B739" t="s">
        <v>24</v>
      </c>
      <c r="C739" t="s">
        <v>25</v>
      </c>
      <c r="D739" t="str">
        <f>"Br. "&amp;Data[[#This Row],[Branch]]&amp;" ("&amp;Data[[#This Row],[City]]&amp;")"</f>
        <v>Br. C (Naypyitaw)</v>
      </c>
      <c r="E739" t="s">
        <v>26</v>
      </c>
      <c r="F739" t="s">
        <v>30</v>
      </c>
      <c r="G739" t="s">
        <v>27</v>
      </c>
      <c r="H739">
        <v>58.76</v>
      </c>
      <c r="I739">
        <v>10</v>
      </c>
      <c r="J739">
        <v>29.38</v>
      </c>
      <c r="K739">
        <v>587.6</v>
      </c>
      <c r="L739" s="1">
        <v>44726</v>
      </c>
      <c r="M739" s="7">
        <f>DAY(Data[[#This Row],[Date]])</f>
        <v>14</v>
      </c>
      <c r="N739" s="7">
        <f>MONTH(Data[[#This Row],[Date]])</f>
        <v>6</v>
      </c>
      <c r="O739" s="7">
        <f>YEAR(Data[[#This Row],[Date]])</f>
        <v>2022</v>
      </c>
      <c r="P739" s="2">
        <v>0.60138888888888886</v>
      </c>
      <c r="Q739" t="s">
        <v>22</v>
      </c>
      <c r="R739">
        <v>411.32</v>
      </c>
      <c r="S739">
        <v>146.9</v>
      </c>
      <c r="T739">
        <v>9</v>
      </c>
    </row>
    <row r="740" spans="1:20" x14ac:dyDescent="0.55000000000000004">
      <c r="A740" t="s">
        <v>773</v>
      </c>
      <c r="B740" t="s">
        <v>41</v>
      </c>
      <c r="C740" t="s">
        <v>42</v>
      </c>
      <c r="D740" t="str">
        <f>"Br. "&amp;Data[[#This Row],[Branch]]&amp;" ("&amp;Data[[#This Row],[City]]&amp;")"</f>
        <v>Br. B (Mandalay)</v>
      </c>
      <c r="E740" t="s">
        <v>19</v>
      </c>
      <c r="F740" t="s">
        <v>30</v>
      </c>
      <c r="G740" t="s">
        <v>27</v>
      </c>
      <c r="H740">
        <v>91.56</v>
      </c>
      <c r="I740">
        <v>8</v>
      </c>
      <c r="J740">
        <v>36.624000000000002</v>
      </c>
      <c r="K740">
        <v>732.48</v>
      </c>
      <c r="L740" s="1">
        <v>44726</v>
      </c>
      <c r="M740" s="7">
        <f>DAY(Data[[#This Row],[Date]])</f>
        <v>14</v>
      </c>
      <c r="N740" s="7">
        <f>MONTH(Data[[#This Row],[Date]])</f>
        <v>6</v>
      </c>
      <c r="O740" s="7">
        <f>YEAR(Data[[#This Row],[Date]])</f>
        <v>2022</v>
      </c>
      <c r="P740" s="2">
        <v>0.76527777777777772</v>
      </c>
      <c r="Q740" t="s">
        <v>22</v>
      </c>
      <c r="R740">
        <v>512.73599999999999</v>
      </c>
      <c r="S740">
        <v>183.12</v>
      </c>
      <c r="T740">
        <v>6</v>
      </c>
    </row>
    <row r="741" spans="1:20" x14ac:dyDescent="0.55000000000000004">
      <c r="A741" t="s">
        <v>774</v>
      </c>
      <c r="B741" t="s">
        <v>17</v>
      </c>
      <c r="C741" t="s">
        <v>18</v>
      </c>
      <c r="D741" t="str">
        <f>"Br. "&amp;Data[[#This Row],[Branch]]&amp;" ("&amp;Data[[#This Row],[City]]&amp;")"</f>
        <v>Br. A (Yangon)</v>
      </c>
      <c r="E741" t="s">
        <v>26</v>
      </c>
      <c r="F741" t="s">
        <v>30</v>
      </c>
      <c r="G741" t="s">
        <v>31</v>
      </c>
      <c r="H741">
        <v>93.96</v>
      </c>
      <c r="I741">
        <v>9</v>
      </c>
      <c r="J741">
        <v>42.281999999999996</v>
      </c>
      <c r="K741">
        <v>845.64</v>
      </c>
      <c r="L741" s="1">
        <v>44726</v>
      </c>
      <c r="M741" s="7">
        <f>DAY(Data[[#This Row],[Date]])</f>
        <v>14</v>
      </c>
      <c r="N741" s="7">
        <f>MONTH(Data[[#This Row],[Date]])</f>
        <v>6</v>
      </c>
      <c r="O741" s="7">
        <f>YEAR(Data[[#This Row],[Date]])</f>
        <v>2022</v>
      </c>
      <c r="P741" s="2">
        <v>0.48055555555555557</v>
      </c>
      <c r="Q741" t="s">
        <v>28</v>
      </c>
      <c r="R741">
        <v>591.94799999999998</v>
      </c>
      <c r="S741">
        <v>211.41</v>
      </c>
      <c r="T741">
        <v>9.8000000000000007</v>
      </c>
    </row>
    <row r="742" spans="1:20" x14ac:dyDescent="0.55000000000000004">
      <c r="A742" t="s">
        <v>775</v>
      </c>
      <c r="B742" t="s">
        <v>24</v>
      </c>
      <c r="C742" t="s">
        <v>25</v>
      </c>
      <c r="D742" t="str">
        <f>"Br. "&amp;Data[[#This Row],[Branch]]&amp;" ("&amp;Data[[#This Row],[City]]&amp;")"</f>
        <v>Br. C (Naypyitaw)</v>
      </c>
      <c r="E742" t="s">
        <v>26</v>
      </c>
      <c r="F742" t="s">
        <v>30</v>
      </c>
      <c r="G742" t="s">
        <v>31</v>
      </c>
      <c r="H742">
        <v>55.61</v>
      </c>
      <c r="I742">
        <v>7</v>
      </c>
      <c r="J742">
        <v>19.4635</v>
      </c>
      <c r="K742">
        <v>389.27</v>
      </c>
      <c r="L742" s="1">
        <v>44726</v>
      </c>
      <c r="M742" s="7">
        <f>DAY(Data[[#This Row],[Date]])</f>
        <v>14</v>
      </c>
      <c r="N742" s="7">
        <f>MONTH(Data[[#This Row],[Date]])</f>
        <v>6</v>
      </c>
      <c r="O742" s="7">
        <f>YEAR(Data[[#This Row],[Date]])</f>
        <v>2022</v>
      </c>
      <c r="P742" s="2">
        <v>0.52847222222222223</v>
      </c>
      <c r="Q742" t="s">
        <v>28</v>
      </c>
      <c r="R742">
        <v>272.48899999999998</v>
      </c>
      <c r="S742">
        <v>97.317499999999995</v>
      </c>
      <c r="T742">
        <v>8.5</v>
      </c>
    </row>
    <row r="743" spans="1:20" x14ac:dyDescent="0.55000000000000004">
      <c r="A743" t="s">
        <v>776</v>
      </c>
      <c r="B743" t="s">
        <v>24</v>
      </c>
      <c r="C743" t="s">
        <v>25</v>
      </c>
      <c r="D743" t="str">
        <f>"Br. "&amp;Data[[#This Row],[Branch]]&amp;" ("&amp;Data[[#This Row],[City]]&amp;")"</f>
        <v>Br. C (Naypyitaw)</v>
      </c>
      <c r="E743" t="s">
        <v>26</v>
      </c>
      <c r="F743" t="s">
        <v>30</v>
      </c>
      <c r="G743" t="s">
        <v>43</v>
      </c>
      <c r="H743">
        <v>84.83</v>
      </c>
      <c r="I743">
        <v>1</v>
      </c>
      <c r="J743">
        <v>4.2415000000000003</v>
      </c>
      <c r="K743">
        <v>84.83</v>
      </c>
      <c r="L743" s="1">
        <v>44726</v>
      </c>
      <c r="M743" s="7">
        <f>DAY(Data[[#This Row],[Date]])</f>
        <v>14</v>
      </c>
      <c r="N743" s="7">
        <f>MONTH(Data[[#This Row],[Date]])</f>
        <v>6</v>
      </c>
      <c r="O743" s="7">
        <f>YEAR(Data[[#This Row],[Date]])</f>
        <v>2022</v>
      </c>
      <c r="P743" s="2">
        <v>0.63888888888888884</v>
      </c>
      <c r="Q743" t="s">
        <v>22</v>
      </c>
      <c r="R743">
        <v>59.381</v>
      </c>
      <c r="S743">
        <v>21.2075</v>
      </c>
      <c r="T743">
        <v>8.8000000000000007</v>
      </c>
    </row>
    <row r="744" spans="1:20" x14ac:dyDescent="0.55000000000000004">
      <c r="A744" t="s">
        <v>777</v>
      </c>
      <c r="B744" t="s">
        <v>17</v>
      </c>
      <c r="C744" t="s">
        <v>18</v>
      </c>
      <c r="D744" t="str">
        <f>"Br. "&amp;Data[[#This Row],[Branch]]&amp;" ("&amp;Data[[#This Row],[City]]&amp;")"</f>
        <v>Br. A (Yangon)</v>
      </c>
      <c r="E744" t="s">
        <v>19</v>
      </c>
      <c r="F744" t="s">
        <v>20</v>
      </c>
      <c r="G744" t="s">
        <v>35</v>
      </c>
      <c r="H744">
        <v>71.63</v>
      </c>
      <c r="I744">
        <v>2</v>
      </c>
      <c r="J744">
        <v>7.1630000000000003</v>
      </c>
      <c r="K744">
        <v>143.26</v>
      </c>
      <c r="L744" s="1">
        <v>44726</v>
      </c>
      <c r="M744" s="7">
        <f>DAY(Data[[#This Row],[Date]])</f>
        <v>14</v>
      </c>
      <c r="N744" s="7">
        <f>MONTH(Data[[#This Row],[Date]])</f>
        <v>6</v>
      </c>
      <c r="O744" s="7">
        <f>YEAR(Data[[#This Row],[Date]])</f>
        <v>2022</v>
      </c>
      <c r="P744" s="2">
        <v>0.60624999999999996</v>
      </c>
      <c r="Q744" t="s">
        <v>22</v>
      </c>
      <c r="R744">
        <v>100.282</v>
      </c>
      <c r="S744">
        <v>35.814999999999998</v>
      </c>
      <c r="T744">
        <v>8.8000000000000007</v>
      </c>
    </row>
    <row r="745" spans="1:20" x14ac:dyDescent="0.55000000000000004">
      <c r="A745" t="s">
        <v>778</v>
      </c>
      <c r="B745" t="s">
        <v>17</v>
      </c>
      <c r="C745" t="s">
        <v>18</v>
      </c>
      <c r="D745" t="str">
        <f>"Br. "&amp;Data[[#This Row],[Branch]]&amp;" ("&amp;Data[[#This Row],[City]]&amp;")"</f>
        <v>Br. A (Yangon)</v>
      </c>
      <c r="E745" t="s">
        <v>19</v>
      </c>
      <c r="F745" t="s">
        <v>30</v>
      </c>
      <c r="G745" t="s">
        <v>31</v>
      </c>
      <c r="H745">
        <v>37.69</v>
      </c>
      <c r="I745">
        <v>2</v>
      </c>
      <c r="J745">
        <v>3.7690000000000001</v>
      </c>
      <c r="K745">
        <v>75.38</v>
      </c>
      <c r="L745" s="1">
        <v>44726</v>
      </c>
      <c r="M745" s="7">
        <f>DAY(Data[[#This Row],[Date]])</f>
        <v>14</v>
      </c>
      <c r="N745" s="7">
        <f>MONTH(Data[[#This Row],[Date]])</f>
        <v>6</v>
      </c>
      <c r="O745" s="7">
        <f>YEAR(Data[[#This Row],[Date]])</f>
        <v>2022</v>
      </c>
      <c r="P745" s="2">
        <v>0.64513888888888893</v>
      </c>
      <c r="Q745" t="s">
        <v>22</v>
      </c>
      <c r="R745">
        <v>52.765999999999998</v>
      </c>
      <c r="S745">
        <v>18.844999999999999</v>
      </c>
      <c r="T745">
        <v>9.5</v>
      </c>
    </row>
    <row r="746" spans="1:20" x14ac:dyDescent="0.55000000000000004">
      <c r="A746" t="s">
        <v>779</v>
      </c>
      <c r="B746" t="s">
        <v>24</v>
      </c>
      <c r="C746" t="s">
        <v>25</v>
      </c>
      <c r="D746" t="str">
        <f>"Br. "&amp;Data[[#This Row],[Branch]]&amp;" ("&amp;Data[[#This Row],[City]]&amp;")"</f>
        <v>Br. C (Naypyitaw)</v>
      </c>
      <c r="E746" t="s">
        <v>19</v>
      </c>
      <c r="F746" t="s">
        <v>20</v>
      </c>
      <c r="G746" t="s">
        <v>35</v>
      </c>
      <c r="H746">
        <v>31.67</v>
      </c>
      <c r="I746">
        <v>8</v>
      </c>
      <c r="J746">
        <v>12.667999999999999</v>
      </c>
      <c r="K746">
        <v>253.36</v>
      </c>
      <c r="L746" s="1">
        <v>44726</v>
      </c>
      <c r="M746" s="7">
        <f>DAY(Data[[#This Row],[Date]])</f>
        <v>14</v>
      </c>
      <c r="N746" s="7">
        <f>MONTH(Data[[#This Row],[Date]])</f>
        <v>6</v>
      </c>
      <c r="O746" s="7">
        <f>YEAR(Data[[#This Row],[Date]])</f>
        <v>2022</v>
      </c>
      <c r="P746" s="2">
        <v>0.67986111111111114</v>
      </c>
      <c r="Q746" t="s">
        <v>32</v>
      </c>
      <c r="R746">
        <v>177.352</v>
      </c>
      <c r="S746">
        <v>63.34</v>
      </c>
      <c r="T746">
        <v>5.6</v>
      </c>
    </row>
    <row r="747" spans="1:20" x14ac:dyDescent="0.55000000000000004">
      <c r="A747" t="s">
        <v>780</v>
      </c>
      <c r="B747" t="s">
        <v>24</v>
      </c>
      <c r="C747" t="s">
        <v>25</v>
      </c>
      <c r="D747" t="str">
        <f>"Br. "&amp;Data[[#This Row],[Branch]]&amp;" ("&amp;Data[[#This Row],[City]]&amp;")"</f>
        <v>Br. C (Naypyitaw)</v>
      </c>
      <c r="E747" t="s">
        <v>19</v>
      </c>
      <c r="F747" t="s">
        <v>20</v>
      </c>
      <c r="G747" t="s">
        <v>43</v>
      </c>
      <c r="H747">
        <v>38.42</v>
      </c>
      <c r="I747">
        <v>1</v>
      </c>
      <c r="J747">
        <v>1.921</v>
      </c>
      <c r="K747">
        <v>38.42</v>
      </c>
      <c r="L747" s="1">
        <v>44726</v>
      </c>
      <c r="M747" s="7">
        <f>DAY(Data[[#This Row],[Date]])</f>
        <v>14</v>
      </c>
      <c r="N747" s="7">
        <f>MONTH(Data[[#This Row],[Date]])</f>
        <v>6</v>
      </c>
      <c r="O747" s="7">
        <f>YEAR(Data[[#This Row],[Date]])</f>
        <v>2022</v>
      </c>
      <c r="P747" s="2">
        <v>0.68958333333333333</v>
      </c>
      <c r="Q747" t="s">
        <v>28</v>
      </c>
      <c r="R747">
        <v>26.893999999999998</v>
      </c>
      <c r="S747">
        <v>9.6050000000000004</v>
      </c>
      <c r="T747">
        <v>8.6</v>
      </c>
    </row>
    <row r="748" spans="1:20" x14ac:dyDescent="0.55000000000000004">
      <c r="A748" t="s">
        <v>781</v>
      </c>
      <c r="B748" t="s">
        <v>41</v>
      </c>
      <c r="C748" t="s">
        <v>42</v>
      </c>
      <c r="D748" t="str">
        <f>"Br. "&amp;Data[[#This Row],[Branch]]&amp;" ("&amp;Data[[#This Row],[City]]&amp;")"</f>
        <v>Br. B (Mandalay)</v>
      </c>
      <c r="E748" t="s">
        <v>19</v>
      </c>
      <c r="F748" t="s">
        <v>30</v>
      </c>
      <c r="G748" t="s">
        <v>45</v>
      </c>
      <c r="H748">
        <v>65.23</v>
      </c>
      <c r="I748">
        <v>10</v>
      </c>
      <c r="J748">
        <v>32.615000000000002</v>
      </c>
      <c r="K748">
        <v>652.29999999999995</v>
      </c>
      <c r="L748" s="1">
        <v>44726</v>
      </c>
      <c r="M748" s="7">
        <f>DAY(Data[[#This Row],[Date]])</f>
        <v>14</v>
      </c>
      <c r="N748" s="7">
        <f>MONTH(Data[[#This Row],[Date]])</f>
        <v>6</v>
      </c>
      <c r="O748" s="7">
        <f>YEAR(Data[[#This Row],[Date]])</f>
        <v>2022</v>
      </c>
      <c r="P748" s="2">
        <v>0.79652777777777772</v>
      </c>
      <c r="Q748" t="s">
        <v>32</v>
      </c>
      <c r="R748">
        <v>456.61</v>
      </c>
      <c r="S748">
        <v>163.07499999999999</v>
      </c>
      <c r="T748">
        <v>5.2</v>
      </c>
    </row>
    <row r="749" spans="1:20" x14ac:dyDescent="0.55000000000000004">
      <c r="A749" t="s">
        <v>782</v>
      </c>
      <c r="B749" t="s">
        <v>24</v>
      </c>
      <c r="C749" t="s">
        <v>25</v>
      </c>
      <c r="D749" t="str">
        <f>"Br. "&amp;Data[[#This Row],[Branch]]&amp;" ("&amp;Data[[#This Row],[City]]&amp;")"</f>
        <v>Br. C (Naypyitaw)</v>
      </c>
      <c r="E749" t="s">
        <v>19</v>
      </c>
      <c r="F749" t="s">
        <v>20</v>
      </c>
      <c r="G749" t="s">
        <v>31</v>
      </c>
      <c r="H749">
        <v>10.53</v>
      </c>
      <c r="I749">
        <v>5</v>
      </c>
      <c r="J749">
        <v>2.6324999999999998</v>
      </c>
      <c r="K749">
        <v>52.65</v>
      </c>
      <c r="L749" s="1">
        <v>44726</v>
      </c>
      <c r="M749" s="7">
        <f>DAY(Data[[#This Row],[Date]])</f>
        <v>14</v>
      </c>
      <c r="N749" s="7">
        <f>MONTH(Data[[#This Row],[Date]])</f>
        <v>6</v>
      </c>
      <c r="O749" s="7">
        <f>YEAR(Data[[#This Row],[Date]])</f>
        <v>2022</v>
      </c>
      <c r="P749" s="2">
        <v>0.61319444444444449</v>
      </c>
      <c r="Q749" t="s">
        <v>32</v>
      </c>
      <c r="R749">
        <v>36.854999999999997</v>
      </c>
      <c r="S749">
        <v>13.1625</v>
      </c>
      <c r="T749">
        <v>5.8</v>
      </c>
    </row>
    <row r="750" spans="1:20" x14ac:dyDescent="0.55000000000000004">
      <c r="A750" t="s">
        <v>783</v>
      </c>
      <c r="B750" t="s">
        <v>41</v>
      </c>
      <c r="C750" t="s">
        <v>42</v>
      </c>
      <c r="D750" t="str">
        <f>"Br. "&amp;Data[[#This Row],[Branch]]&amp;" ("&amp;Data[[#This Row],[City]]&amp;")"</f>
        <v>Br. B (Mandalay)</v>
      </c>
      <c r="E750" t="s">
        <v>19</v>
      </c>
      <c r="F750" t="s">
        <v>20</v>
      </c>
      <c r="G750" t="s">
        <v>31</v>
      </c>
      <c r="H750">
        <v>12.29</v>
      </c>
      <c r="I750">
        <v>9</v>
      </c>
      <c r="J750">
        <v>5.5305</v>
      </c>
      <c r="K750">
        <v>110.61</v>
      </c>
      <c r="L750" s="1">
        <v>44726</v>
      </c>
      <c r="M750" s="7">
        <f>DAY(Data[[#This Row],[Date]])</f>
        <v>14</v>
      </c>
      <c r="N750" s="7">
        <f>MONTH(Data[[#This Row],[Date]])</f>
        <v>6</v>
      </c>
      <c r="O750" s="7">
        <f>YEAR(Data[[#This Row],[Date]])</f>
        <v>2022</v>
      </c>
      <c r="P750" s="2">
        <v>0.81111111111111112</v>
      </c>
      <c r="Q750" t="s">
        <v>32</v>
      </c>
      <c r="R750">
        <v>77.427000000000007</v>
      </c>
      <c r="S750">
        <v>27.6525</v>
      </c>
      <c r="T750">
        <v>8</v>
      </c>
    </row>
    <row r="751" spans="1:20" x14ac:dyDescent="0.55000000000000004">
      <c r="A751" t="s">
        <v>784</v>
      </c>
      <c r="B751" t="s">
        <v>24</v>
      </c>
      <c r="C751" t="s">
        <v>25</v>
      </c>
      <c r="D751" t="str">
        <f>"Br. "&amp;Data[[#This Row],[Branch]]&amp;" ("&amp;Data[[#This Row],[City]]&amp;")"</f>
        <v>Br. C (Naypyitaw)</v>
      </c>
      <c r="E751" t="s">
        <v>19</v>
      </c>
      <c r="F751" t="s">
        <v>30</v>
      </c>
      <c r="G751" t="s">
        <v>21</v>
      </c>
      <c r="H751">
        <v>81.23</v>
      </c>
      <c r="I751">
        <v>7</v>
      </c>
      <c r="J751">
        <v>28.430499999999999</v>
      </c>
      <c r="K751">
        <v>568.61</v>
      </c>
      <c r="L751" s="1">
        <v>44726</v>
      </c>
      <c r="M751" s="7">
        <f>DAY(Data[[#This Row],[Date]])</f>
        <v>14</v>
      </c>
      <c r="N751" s="7">
        <f>MONTH(Data[[#This Row],[Date]])</f>
        <v>6</v>
      </c>
      <c r="O751" s="7">
        <f>YEAR(Data[[#This Row],[Date]])</f>
        <v>2022</v>
      </c>
      <c r="P751" s="2">
        <v>0.86388888888888893</v>
      </c>
      <c r="Q751" t="s">
        <v>28</v>
      </c>
      <c r="R751">
        <v>398.02699999999999</v>
      </c>
      <c r="S751">
        <v>142.1525</v>
      </c>
      <c r="T751">
        <v>9</v>
      </c>
    </row>
    <row r="752" spans="1:20" x14ac:dyDescent="0.55000000000000004">
      <c r="A752" t="s">
        <v>785</v>
      </c>
      <c r="B752" t="s">
        <v>41</v>
      </c>
      <c r="C752" t="s">
        <v>42</v>
      </c>
      <c r="D752" t="str">
        <f>"Br. "&amp;Data[[#This Row],[Branch]]&amp;" ("&amp;Data[[#This Row],[City]]&amp;")"</f>
        <v>Br. B (Mandalay)</v>
      </c>
      <c r="E752" t="s">
        <v>19</v>
      </c>
      <c r="F752" t="s">
        <v>20</v>
      </c>
      <c r="G752" t="s">
        <v>45</v>
      </c>
      <c r="H752">
        <v>22.32</v>
      </c>
      <c r="I752">
        <v>4</v>
      </c>
      <c r="J752">
        <v>4.4640000000000004</v>
      </c>
      <c r="K752">
        <v>89.28</v>
      </c>
      <c r="L752" s="1">
        <v>44726</v>
      </c>
      <c r="M752" s="7">
        <f>DAY(Data[[#This Row],[Date]])</f>
        <v>14</v>
      </c>
      <c r="N752" s="7">
        <f>MONTH(Data[[#This Row],[Date]])</f>
        <v>6</v>
      </c>
      <c r="O752" s="7">
        <f>YEAR(Data[[#This Row],[Date]])</f>
        <v>2022</v>
      </c>
      <c r="P752" s="2">
        <v>0.46944444444444444</v>
      </c>
      <c r="Q752" t="s">
        <v>22</v>
      </c>
      <c r="R752">
        <v>62.496000000000002</v>
      </c>
      <c r="S752">
        <v>22.32</v>
      </c>
      <c r="T752">
        <v>4.0999999999999996</v>
      </c>
    </row>
    <row r="753" spans="1:20" x14ac:dyDescent="0.55000000000000004">
      <c r="A753" t="s">
        <v>786</v>
      </c>
      <c r="B753" t="s">
        <v>17</v>
      </c>
      <c r="C753" t="s">
        <v>18</v>
      </c>
      <c r="D753" t="str">
        <f>"Br. "&amp;Data[[#This Row],[Branch]]&amp;" ("&amp;Data[[#This Row],[City]]&amp;")"</f>
        <v>Br. A (Yangon)</v>
      </c>
      <c r="E753" t="s">
        <v>26</v>
      </c>
      <c r="F753" t="s">
        <v>20</v>
      </c>
      <c r="G753" t="s">
        <v>43</v>
      </c>
      <c r="H753">
        <v>27.28</v>
      </c>
      <c r="I753">
        <v>5</v>
      </c>
      <c r="J753">
        <v>6.82</v>
      </c>
      <c r="K753">
        <v>136.4</v>
      </c>
      <c r="L753" s="1">
        <v>44726</v>
      </c>
      <c r="M753" s="7">
        <f>DAY(Data[[#This Row],[Date]])</f>
        <v>14</v>
      </c>
      <c r="N753" s="7">
        <f>MONTH(Data[[#This Row],[Date]])</f>
        <v>6</v>
      </c>
      <c r="O753" s="7">
        <f>YEAR(Data[[#This Row],[Date]])</f>
        <v>2022</v>
      </c>
      <c r="P753" s="2">
        <v>0.43819444444444444</v>
      </c>
      <c r="Q753" t="s">
        <v>32</v>
      </c>
      <c r="R753">
        <v>95.48</v>
      </c>
      <c r="S753">
        <v>34.1</v>
      </c>
      <c r="T753">
        <v>8.6</v>
      </c>
    </row>
    <row r="754" spans="1:20" x14ac:dyDescent="0.55000000000000004">
      <c r="A754" t="s">
        <v>787</v>
      </c>
      <c r="B754" t="s">
        <v>17</v>
      </c>
      <c r="C754" t="s">
        <v>18</v>
      </c>
      <c r="D754" t="str">
        <f>"Br. "&amp;Data[[#This Row],[Branch]]&amp;" ("&amp;Data[[#This Row],[City]]&amp;")"</f>
        <v>Br. A (Yangon)</v>
      </c>
      <c r="E754" t="s">
        <v>19</v>
      </c>
      <c r="F754" t="s">
        <v>20</v>
      </c>
      <c r="G754" t="s">
        <v>27</v>
      </c>
      <c r="H754">
        <v>17.420000000000002</v>
      </c>
      <c r="I754">
        <v>10</v>
      </c>
      <c r="J754">
        <v>8.7100000000000009</v>
      </c>
      <c r="K754">
        <v>174.2</v>
      </c>
      <c r="L754" s="1">
        <v>44726</v>
      </c>
      <c r="M754" s="7">
        <f>DAY(Data[[#This Row],[Date]])</f>
        <v>14</v>
      </c>
      <c r="N754" s="7">
        <f>MONTH(Data[[#This Row],[Date]])</f>
        <v>6</v>
      </c>
      <c r="O754" s="7">
        <f>YEAR(Data[[#This Row],[Date]])</f>
        <v>2022</v>
      </c>
      <c r="P754" s="2">
        <v>0.52083333333333337</v>
      </c>
      <c r="Q754" t="s">
        <v>22</v>
      </c>
      <c r="R754">
        <v>121.94</v>
      </c>
      <c r="S754">
        <v>43.55</v>
      </c>
      <c r="T754">
        <v>7</v>
      </c>
    </row>
    <row r="755" spans="1:20" x14ac:dyDescent="0.55000000000000004">
      <c r="A755" t="s">
        <v>788</v>
      </c>
      <c r="B755" t="s">
        <v>41</v>
      </c>
      <c r="C755" t="s">
        <v>42</v>
      </c>
      <c r="D755" t="str">
        <f>"Br. "&amp;Data[[#This Row],[Branch]]&amp;" ("&amp;Data[[#This Row],[City]]&amp;")"</f>
        <v>Br. B (Mandalay)</v>
      </c>
      <c r="E755" t="s">
        <v>26</v>
      </c>
      <c r="F755" t="s">
        <v>30</v>
      </c>
      <c r="G755" t="s">
        <v>31</v>
      </c>
      <c r="H755">
        <v>73.28</v>
      </c>
      <c r="I755">
        <v>5</v>
      </c>
      <c r="J755">
        <v>18.32</v>
      </c>
      <c r="K755">
        <v>366.4</v>
      </c>
      <c r="L755" s="1">
        <v>44726</v>
      </c>
      <c r="M755" s="7">
        <f>DAY(Data[[#This Row],[Date]])</f>
        <v>14</v>
      </c>
      <c r="N755" s="7">
        <f>MONTH(Data[[#This Row],[Date]])</f>
        <v>6</v>
      </c>
      <c r="O755" s="7">
        <f>YEAR(Data[[#This Row],[Date]])</f>
        <v>2022</v>
      </c>
      <c r="P755" s="2">
        <v>0.62847222222222221</v>
      </c>
      <c r="Q755" t="s">
        <v>22</v>
      </c>
      <c r="R755">
        <v>256.48</v>
      </c>
      <c r="S755">
        <v>91.6</v>
      </c>
      <c r="T755">
        <v>8.4</v>
      </c>
    </row>
    <row r="756" spans="1:20" x14ac:dyDescent="0.55000000000000004">
      <c r="A756" t="s">
        <v>789</v>
      </c>
      <c r="B756" t="s">
        <v>24</v>
      </c>
      <c r="C756" t="s">
        <v>25</v>
      </c>
      <c r="D756" t="str">
        <f>"Br. "&amp;Data[[#This Row],[Branch]]&amp;" ("&amp;Data[[#This Row],[City]]&amp;")"</f>
        <v>Br. C (Naypyitaw)</v>
      </c>
      <c r="E756" t="s">
        <v>19</v>
      </c>
      <c r="F756" t="s">
        <v>20</v>
      </c>
      <c r="G756" t="s">
        <v>45</v>
      </c>
      <c r="H756">
        <v>84.87</v>
      </c>
      <c r="I756">
        <v>3</v>
      </c>
      <c r="J756">
        <v>12.730499999999999</v>
      </c>
      <c r="K756">
        <v>254.61</v>
      </c>
      <c r="L756" s="1">
        <v>44726</v>
      </c>
      <c r="M756" s="7">
        <f>DAY(Data[[#This Row],[Date]])</f>
        <v>14</v>
      </c>
      <c r="N756" s="7">
        <f>MONTH(Data[[#This Row],[Date]])</f>
        <v>6</v>
      </c>
      <c r="O756" s="7">
        <f>YEAR(Data[[#This Row],[Date]])</f>
        <v>2022</v>
      </c>
      <c r="P756" s="2">
        <v>0.77083333333333337</v>
      </c>
      <c r="Q756" t="s">
        <v>22</v>
      </c>
      <c r="R756">
        <v>178.227</v>
      </c>
      <c r="S756">
        <v>63.652500000000003</v>
      </c>
      <c r="T756">
        <v>7.4</v>
      </c>
    </row>
    <row r="757" spans="1:20" x14ac:dyDescent="0.55000000000000004">
      <c r="A757" t="s">
        <v>790</v>
      </c>
      <c r="B757" t="s">
        <v>17</v>
      </c>
      <c r="C757" t="s">
        <v>18</v>
      </c>
      <c r="D757" t="str">
        <f>"Br. "&amp;Data[[#This Row],[Branch]]&amp;" ("&amp;Data[[#This Row],[City]]&amp;")"</f>
        <v>Br. A (Yangon)</v>
      </c>
      <c r="E757" t="s">
        <v>26</v>
      </c>
      <c r="F757" t="s">
        <v>20</v>
      </c>
      <c r="G757" t="s">
        <v>45</v>
      </c>
      <c r="H757">
        <v>97.29</v>
      </c>
      <c r="I757">
        <v>8</v>
      </c>
      <c r="J757">
        <v>38.915999999999997</v>
      </c>
      <c r="K757">
        <v>778.32</v>
      </c>
      <c r="L757" s="1">
        <v>44726</v>
      </c>
      <c r="M757" s="7">
        <f>DAY(Data[[#This Row],[Date]])</f>
        <v>14</v>
      </c>
      <c r="N757" s="7">
        <f>MONTH(Data[[#This Row],[Date]])</f>
        <v>6</v>
      </c>
      <c r="O757" s="7">
        <f>YEAR(Data[[#This Row],[Date]])</f>
        <v>2022</v>
      </c>
      <c r="P757" s="2">
        <v>0.5541666666666667</v>
      </c>
      <c r="Q757" t="s">
        <v>32</v>
      </c>
      <c r="R757">
        <v>544.82399999999996</v>
      </c>
      <c r="S757">
        <v>194.58</v>
      </c>
      <c r="T757">
        <v>6.2</v>
      </c>
    </row>
    <row r="758" spans="1:20" x14ac:dyDescent="0.55000000000000004">
      <c r="A758" t="s">
        <v>791</v>
      </c>
      <c r="B758" t="s">
        <v>41</v>
      </c>
      <c r="C758" t="s">
        <v>42</v>
      </c>
      <c r="D758" t="str">
        <f>"Br. "&amp;Data[[#This Row],[Branch]]&amp;" ("&amp;Data[[#This Row],[City]]&amp;")"</f>
        <v>Br. B (Mandalay)</v>
      </c>
      <c r="E758" t="s">
        <v>19</v>
      </c>
      <c r="F758" t="s">
        <v>20</v>
      </c>
      <c r="G758" t="s">
        <v>27</v>
      </c>
      <c r="H758">
        <v>35.74</v>
      </c>
      <c r="I758">
        <v>8</v>
      </c>
      <c r="J758">
        <v>14.295999999999999</v>
      </c>
      <c r="K758">
        <v>285.92</v>
      </c>
      <c r="L758" s="1">
        <v>44726</v>
      </c>
      <c r="M758" s="7">
        <f>DAY(Data[[#This Row],[Date]])</f>
        <v>14</v>
      </c>
      <c r="N758" s="7">
        <f>MONTH(Data[[#This Row],[Date]])</f>
        <v>6</v>
      </c>
      <c r="O758" s="7">
        <f>YEAR(Data[[#This Row],[Date]])</f>
        <v>2022</v>
      </c>
      <c r="P758" s="2">
        <v>0.64444444444444449</v>
      </c>
      <c r="Q758" t="s">
        <v>22</v>
      </c>
      <c r="R758">
        <v>200.14400000000001</v>
      </c>
      <c r="S758">
        <v>71.48</v>
      </c>
      <c r="T758">
        <v>4.9000000000000004</v>
      </c>
    </row>
    <row r="759" spans="1:20" x14ac:dyDescent="0.55000000000000004">
      <c r="A759" t="s">
        <v>792</v>
      </c>
      <c r="B759" t="s">
        <v>17</v>
      </c>
      <c r="C759" t="s">
        <v>18</v>
      </c>
      <c r="D759" t="str">
        <f>"Br. "&amp;Data[[#This Row],[Branch]]&amp;" ("&amp;Data[[#This Row],[City]]&amp;")"</f>
        <v>Br. A (Yangon)</v>
      </c>
      <c r="E759" t="s">
        <v>26</v>
      </c>
      <c r="F759" t="s">
        <v>20</v>
      </c>
      <c r="G759" t="s">
        <v>31</v>
      </c>
      <c r="H759">
        <v>96.52</v>
      </c>
      <c r="I759">
        <v>6</v>
      </c>
      <c r="J759">
        <v>28.956</v>
      </c>
      <c r="K759">
        <v>579.12</v>
      </c>
      <c r="L759" s="1">
        <v>44726</v>
      </c>
      <c r="M759" s="7">
        <f>DAY(Data[[#This Row],[Date]])</f>
        <v>14</v>
      </c>
      <c r="N759" s="7">
        <f>MONTH(Data[[#This Row],[Date]])</f>
        <v>6</v>
      </c>
      <c r="O759" s="7">
        <f>YEAR(Data[[#This Row],[Date]])</f>
        <v>2022</v>
      </c>
      <c r="P759" s="2">
        <v>0.49444444444444446</v>
      </c>
      <c r="Q759" t="s">
        <v>28</v>
      </c>
      <c r="R759">
        <v>405.38400000000001</v>
      </c>
      <c r="S759">
        <v>144.78</v>
      </c>
      <c r="T759">
        <v>4.5</v>
      </c>
    </row>
    <row r="760" spans="1:20" x14ac:dyDescent="0.55000000000000004">
      <c r="A760" t="s">
        <v>793</v>
      </c>
      <c r="B760" t="s">
        <v>17</v>
      </c>
      <c r="C760" t="s">
        <v>18</v>
      </c>
      <c r="D760" t="str">
        <f>"Br. "&amp;Data[[#This Row],[Branch]]&amp;" ("&amp;Data[[#This Row],[City]]&amp;")"</f>
        <v>Br. A (Yangon)</v>
      </c>
      <c r="E760" t="s">
        <v>19</v>
      </c>
      <c r="F760" t="s">
        <v>30</v>
      </c>
      <c r="G760" t="s">
        <v>43</v>
      </c>
      <c r="H760">
        <v>18.850000000000001</v>
      </c>
      <c r="I760">
        <v>10</v>
      </c>
      <c r="J760">
        <v>9.4250000000000007</v>
      </c>
      <c r="K760">
        <v>188.5</v>
      </c>
      <c r="L760" s="1">
        <v>44726</v>
      </c>
      <c r="M760" s="7">
        <f>DAY(Data[[#This Row],[Date]])</f>
        <v>14</v>
      </c>
      <c r="N760" s="7">
        <f>MONTH(Data[[#This Row],[Date]])</f>
        <v>6</v>
      </c>
      <c r="O760" s="7">
        <f>YEAR(Data[[#This Row],[Date]])</f>
        <v>2022</v>
      </c>
      <c r="P760" s="2">
        <v>0.76666666666666672</v>
      </c>
      <c r="Q760" t="s">
        <v>22</v>
      </c>
      <c r="R760">
        <v>131.94999999999999</v>
      </c>
      <c r="S760">
        <v>47.125</v>
      </c>
      <c r="T760">
        <v>5.6</v>
      </c>
    </row>
    <row r="761" spans="1:20" x14ac:dyDescent="0.55000000000000004">
      <c r="A761" t="s">
        <v>794</v>
      </c>
      <c r="B761" t="s">
        <v>17</v>
      </c>
      <c r="C761" t="s">
        <v>18</v>
      </c>
      <c r="D761" t="str">
        <f>"Br. "&amp;Data[[#This Row],[Branch]]&amp;" ("&amp;Data[[#This Row],[City]]&amp;")"</f>
        <v>Br. A (Yangon)</v>
      </c>
      <c r="E761" t="s">
        <v>26</v>
      </c>
      <c r="F761" t="s">
        <v>20</v>
      </c>
      <c r="G761" t="s">
        <v>43</v>
      </c>
      <c r="H761">
        <v>55.39</v>
      </c>
      <c r="I761">
        <v>4</v>
      </c>
      <c r="J761">
        <v>11.077999999999999</v>
      </c>
      <c r="K761">
        <v>221.56</v>
      </c>
      <c r="L761" s="1">
        <v>44726</v>
      </c>
      <c r="M761" s="7">
        <f>DAY(Data[[#This Row],[Date]])</f>
        <v>14</v>
      </c>
      <c r="N761" s="7">
        <f>MONTH(Data[[#This Row],[Date]])</f>
        <v>6</v>
      </c>
      <c r="O761" s="7">
        <f>YEAR(Data[[#This Row],[Date]])</f>
        <v>2022</v>
      </c>
      <c r="P761" s="2">
        <v>0.6381944444444444</v>
      </c>
      <c r="Q761" t="s">
        <v>22</v>
      </c>
      <c r="R761">
        <v>155.09200000000001</v>
      </c>
      <c r="S761">
        <v>55.39</v>
      </c>
      <c r="T761">
        <v>8</v>
      </c>
    </row>
    <row r="762" spans="1:20" x14ac:dyDescent="0.55000000000000004">
      <c r="A762" t="s">
        <v>795</v>
      </c>
      <c r="B762" t="s">
        <v>41</v>
      </c>
      <c r="C762" t="s">
        <v>42</v>
      </c>
      <c r="D762" t="str">
        <f>"Br. "&amp;Data[[#This Row],[Branch]]&amp;" ("&amp;Data[[#This Row],[City]]&amp;")"</f>
        <v>Br. B (Mandalay)</v>
      </c>
      <c r="E762" t="s">
        <v>19</v>
      </c>
      <c r="F762" t="s">
        <v>20</v>
      </c>
      <c r="G762" t="s">
        <v>43</v>
      </c>
      <c r="H762">
        <v>77.2</v>
      </c>
      <c r="I762">
        <v>10</v>
      </c>
      <c r="J762">
        <v>38.6</v>
      </c>
      <c r="K762">
        <v>772</v>
      </c>
      <c r="L762" s="1">
        <v>44726</v>
      </c>
      <c r="M762" s="7">
        <f>DAY(Data[[#This Row],[Date]])</f>
        <v>14</v>
      </c>
      <c r="N762" s="7">
        <f>MONTH(Data[[#This Row],[Date]])</f>
        <v>6</v>
      </c>
      <c r="O762" s="7">
        <f>YEAR(Data[[#This Row],[Date]])</f>
        <v>2022</v>
      </c>
      <c r="P762" s="2">
        <v>0.44305555555555554</v>
      </c>
      <c r="Q762" t="s">
        <v>32</v>
      </c>
      <c r="R762">
        <v>540.4</v>
      </c>
      <c r="S762">
        <v>193</v>
      </c>
      <c r="T762">
        <v>5.6</v>
      </c>
    </row>
    <row r="763" spans="1:20" x14ac:dyDescent="0.55000000000000004">
      <c r="A763" t="s">
        <v>796</v>
      </c>
      <c r="B763" t="s">
        <v>41</v>
      </c>
      <c r="C763" t="s">
        <v>42</v>
      </c>
      <c r="D763" t="str">
        <f>"Br. "&amp;Data[[#This Row],[Branch]]&amp;" ("&amp;Data[[#This Row],[City]]&amp;")"</f>
        <v>Br. B (Mandalay)</v>
      </c>
      <c r="E763" t="s">
        <v>26</v>
      </c>
      <c r="F763" t="s">
        <v>30</v>
      </c>
      <c r="G763" t="s">
        <v>27</v>
      </c>
      <c r="H763">
        <v>72.13</v>
      </c>
      <c r="I763">
        <v>10</v>
      </c>
      <c r="J763">
        <v>36.064999999999998</v>
      </c>
      <c r="K763">
        <v>721.3</v>
      </c>
      <c r="L763" s="1">
        <v>44726</v>
      </c>
      <c r="M763" s="7">
        <f>DAY(Data[[#This Row],[Date]])</f>
        <v>14</v>
      </c>
      <c r="N763" s="7">
        <f>MONTH(Data[[#This Row],[Date]])</f>
        <v>6</v>
      </c>
      <c r="O763" s="7">
        <f>YEAR(Data[[#This Row],[Date]])</f>
        <v>2022</v>
      </c>
      <c r="P763" s="2">
        <v>0.6333333333333333</v>
      </c>
      <c r="Q763" t="s">
        <v>32</v>
      </c>
      <c r="R763">
        <v>504.91</v>
      </c>
      <c r="S763">
        <v>180.32499999999999</v>
      </c>
      <c r="T763">
        <v>4.2</v>
      </c>
    </row>
    <row r="764" spans="1:20" x14ac:dyDescent="0.55000000000000004">
      <c r="A764" t="s">
        <v>797</v>
      </c>
      <c r="B764" t="s">
        <v>17</v>
      </c>
      <c r="C764" t="s">
        <v>18</v>
      </c>
      <c r="D764" t="str">
        <f>"Br. "&amp;Data[[#This Row],[Branch]]&amp;" ("&amp;Data[[#This Row],[City]]&amp;")"</f>
        <v>Br. A (Yangon)</v>
      </c>
      <c r="E764" t="s">
        <v>19</v>
      </c>
      <c r="F764" t="s">
        <v>20</v>
      </c>
      <c r="G764" t="s">
        <v>45</v>
      </c>
      <c r="H764">
        <v>63.88</v>
      </c>
      <c r="I764">
        <v>8</v>
      </c>
      <c r="J764">
        <v>25.552</v>
      </c>
      <c r="K764">
        <v>511.04</v>
      </c>
      <c r="L764" s="1">
        <v>44726</v>
      </c>
      <c r="M764" s="7">
        <f>DAY(Data[[#This Row],[Date]])</f>
        <v>14</v>
      </c>
      <c r="N764" s="7">
        <f>MONTH(Data[[#This Row],[Date]])</f>
        <v>6</v>
      </c>
      <c r="O764" s="7">
        <f>YEAR(Data[[#This Row],[Date]])</f>
        <v>2022</v>
      </c>
      <c r="P764" s="2">
        <v>0.7416666666666667</v>
      </c>
      <c r="Q764" t="s">
        <v>22</v>
      </c>
      <c r="R764">
        <v>357.72800000000001</v>
      </c>
      <c r="S764">
        <v>127.76</v>
      </c>
      <c r="T764">
        <v>9.9</v>
      </c>
    </row>
    <row r="765" spans="1:20" x14ac:dyDescent="0.55000000000000004">
      <c r="A765" t="s">
        <v>798</v>
      </c>
      <c r="B765" t="s">
        <v>17</v>
      </c>
      <c r="C765" t="s">
        <v>18</v>
      </c>
      <c r="D765" t="str">
        <f>"Br. "&amp;Data[[#This Row],[Branch]]&amp;" ("&amp;Data[[#This Row],[City]]&amp;")"</f>
        <v>Br. A (Yangon)</v>
      </c>
      <c r="E765" t="s">
        <v>19</v>
      </c>
      <c r="F765" t="s">
        <v>20</v>
      </c>
      <c r="G765" t="s">
        <v>21</v>
      </c>
      <c r="H765">
        <v>10.69</v>
      </c>
      <c r="I765">
        <v>5</v>
      </c>
      <c r="J765">
        <v>2.6724999999999999</v>
      </c>
      <c r="K765">
        <v>53.45</v>
      </c>
      <c r="L765" s="1">
        <v>44726</v>
      </c>
      <c r="M765" s="7">
        <f>DAY(Data[[#This Row],[Date]])</f>
        <v>14</v>
      </c>
      <c r="N765" s="7">
        <f>MONTH(Data[[#This Row],[Date]])</f>
        <v>6</v>
      </c>
      <c r="O765" s="7">
        <f>YEAR(Data[[#This Row],[Date]])</f>
        <v>2022</v>
      </c>
      <c r="P765" s="2">
        <v>0.46319444444444446</v>
      </c>
      <c r="Q765" t="s">
        <v>22</v>
      </c>
      <c r="R765">
        <v>37.414999999999999</v>
      </c>
      <c r="S765">
        <v>13.362500000000001</v>
      </c>
      <c r="T765">
        <v>7.6</v>
      </c>
    </row>
    <row r="766" spans="1:20" x14ac:dyDescent="0.55000000000000004">
      <c r="A766" t="s">
        <v>799</v>
      </c>
      <c r="B766" t="s">
        <v>17</v>
      </c>
      <c r="C766" t="s">
        <v>18</v>
      </c>
      <c r="D766" t="str">
        <f>"Br. "&amp;Data[[#This Row],[Branch]]&amp;" ("&amp;Data[[#This Row],[City]]&amp;")"</f>
        <v>Br. A (Yangon)</v>
      </c>
      <c r="E766" t="s">
        <v>19</v>
      </c>
      <c r="F766" t="s">
        <v>30</v>
      </c>
      <c r="G766" t="s">
        <v>21</v>
      </c>
      <c r="H766">
        <v>55.5</v>
      </c>
      <c r="I766">
        <v>4</v>
      </c>
      <c r="J766">
        <v>11.1</v>
      </c>
      <c r="K766">
        <v>222</v>
      </c>
      <c r="L766" s="1">
        <v>44726</v>
      </c>
      <c r="M766" s="7">
        <f>DAY(Data[[#This Row],[Date]])</f>
        <v>14</v>
      </c>
      <c r="N766" s="7">
        <f>MONTH(Data[[#This Row],[Date]])</f>
        <v>6</v>
      </c>
      <c r="O766" s="7">
        <f>YEAR(Data[[#This Row],[Date]])</f>
        <v>2022</v>
      </c>
      <c r="P766" s="2">
        <v>0.65833333333333333</v>
      </c>
      <c r="Q766" t="s">
        <v>32</v>
      </c>
      <c r="R766">
        <v>155.4</v>
      </c>
      <c r="S766">
        <v>55.5</v>
      </c>
      <c r="T766">
        <v>6.6</v>
      </c>
    </row>
    <row r="767" spans="1:20" x14ac:dyDescent="0.55000000000000004">
      <c r="A767" t="s">
        <v>800</v>
      </c>
      <c r="B767" t="s">
        <v>41</v>
      </c>
      <c r="C767" t="s">
        <v>42</v>
      </c>
      <c r="D767" t="str">
        <f>"Br. "&amp;Data[[#This Row],[Branch]]&amp;" ("&amp;Data[[#This Row],[City]]&amp;")"</f>
        <v>Br. B (Mandalay)</v>
      </c>
      <c r="E767" t="s">
        <v>26</v>
      </c>
      <c r="F767" t="s">
        <v>20</v>
      </c>
      <c r="G767" t="s">
        <v>31</v>
      </c>
      <c r="H767">
        <v>95.46</v>
      </c>
      <c r="I767">
        <v>8</v>
      </c>
      <c r="J767">
        <v>38.183999999999997</v>
      </c>
      <c r="K767">
        <v>763.68</v>
      </c>
      <c r="L767" s="1">
        <v>44726</v>
      </c>
      <c r="M767" s="7">
        <f>DAY(Data[[#This Row],[Date]])</f>
        <v>14</v>
      </c>
      <c r="N767" s="7">
        <f>MONTH(Data[[#This Row],[Date]])</f>
        <v>6</v>
      </c>
      <c r="O767" s="7">
        <f>YEAR(Data[[#This Row],[Date]])</f>
        <v>2022</v>
      </c>
      <c r="P767" s="2">
        <v>0.81944444444444442</v>
      </c>
      <c r="Q767" t="s">
        <v>22</v>
      </c>
      <c r="R767">
        <v>534.57600000000002</v>
      </c>
      <c r="S767">
        <v>190.92</v>
      </c>
      <c r="T767">
        <v>4.7</v>
      </c>
    </row>
    <row r="768" spans="1:20" x14ac:dyDescent="0.55000000000000004">
      <c r="A768" t="s">
        <v>801</v>
      </c>
      <c r="B768" t="s">
        <v>24</v>
      </c>
      <c r="C768" t="s">
        <v>25</v>
      </c>
      <c r="D768" t="str">
        <f>"Br. "&amp;Data[[#This Row],[Branch]]&amp;" ("&amp;Data[[#This Row],[City]]&amp;")"</f>
        <v>Br. C (Naypyitaw)</v>
      </c>
      <c r="E768" t="s">
        <v>26</v>
      </c>
      <c r="F768" t="s">
        <v>20</v>
      </c>
      <c r="G768" t="s">
        <v>45</v>
      </c>
      <c r="H768">
        <v>76.06</v>
      </c>
      <c r="I768">
        <v>3</v>
      </c>
      <c r="J768">
        <v>11.409000000000001</v>
      </c>
      <c r="K768">
        <v>228.18</v>
      </c>
      <c r="L768" s="1">
        <v>44726</v>
      </c>
      <c r="M768" s="7">
        <f>DAY(Data[[#This Row],[Date]])</f>
        <v>14</v>
      </c>
      <c r="N768" s="7">
        <f>MONTH(Data[[#This Row],[Date]])</f>
        <v>6</v>
      </c>
      <c r="O768" s="7">
        <f>YEAR(Data[[#This Row],[Date]])</f>
        <v>2022</v>
      </c>
      <c r="P768" s="2">
        <v>0.85416666666666663</v>
      </c>
      <c r="Q768" t="s">
        <v>32</v>
      </c>
      <c r="R768">
        <v>159.726</v>
      </c>
      <c r="S768">
        <v>57.045000000000002</v>
      </c>
      <c r="T768">
        <v>9.8000000000000007</v>
      </c>
    </row>
    <row r="769" spans="1:20" x14ac:dyDescent="0.55000000000000004">
      <c r="A769" t="s">
        <v>802</v>
      </c>
      <c r="B769" t="s">
        <v>41</v>
      </c>
      <c r="C769" t="s">
        <v>42</v>
      </c>
      <c r="D769" t="str">
        <f>"Br. "&amp;Data[[#This Row],[Branch]]&amp;" ("&amp;Data[[#This Row],[City]]&amp;")"</f>
        <v>Br. B (Mandalay)</v>
      </c>
      <c r="E769" t="s">
        <v>26</v>
      </c>
      <c r="F769" t="s">
        <v>30</v>
      </c>
      <c r="G769" t="s">
        <v>35</v>
      </c>
      <c r="H769">
        <v>13.69</v>
      </c>
      <c r="I769">
        <v>6</v>
      </c>
      <c r="J769">
        <v>4.1070000000000002</v>
      </c>
      <c r="K769">
        <v>82.14</v>
      </c>
      <c r="L769" s="1">
        <v>44726</v>
      </c>
      <c r="M769" s="7">
        <f>DAY(Data[[#This Row],[Date]])</f>
        <v>14</v>
      </c>
      <c r="N769" s="7">
        <f>MONTH(Data[[#This Row],[Date]])</f>
        <v>6</v>
      </c>
      <c r="O769" s="7">
        <f>YEAR(Data[[#This Row],[Date]])</f>
        <v>2022</v>
      </c>
      <c r="P769" s="2">
        <v>0.58263888888888893</v>
      </c>
      <c r="Q769" t="s">
        <v>28</v>
      </c>
      <c r="R769">
        <v>57.497999999999998</v>
      </c>
      <c r="S769">
        <v>20.535</v>
      </c>
      <c r="T769">
        <v>6.3</v>
      </c>
    </row>
    <row r="770" spans="1:20" x14ac:dyDescent="0.55000000000000004">
      <c r="A770" t="s">
        <v>803</v>
      </c>
      <c r="B770" t="s">
        <v>41</v>
      </c>
      <c r="C770" t="s">
        <v>42</v>
      </c>
      <c r="D770" t="str">
        <f>"Br. "&amp;Data[[#This Row],[Branch]]&amp;" ("&amp;Data[[#This Row],[City]]&amp;")"</f>
        <v>Br. B (Mandalay)</v>
      </c>
      <c r="E770" t="s">
        <v>26</v>
      </c>
      <c r="F770" t="s">
        <v>20</v>
      </c>
      <c r="G770" t="s">
        <v>27</v>
      </c>
      <c r="H770">
        <v>95.64</v>
      </c>
      <c r="I770">
        <v>4</v>
      </c>
      <c r="J770">
        <v>19.128</v>
      </c>
      <c r="K770">
        <v>382.56</v>
      </c>
      <c r="L770" s="1">
        <v>44726</v>
      </c>
      <c r="M770" s="7">
        <f>DAY(Data[[#This Row],[Date]])</f>
        <v>14</v>
      </c>
      <c r="N770" s="7">
        <f>MONTH(Data[[#This Row],[Date]])</f>
        <v>6</v>
      </c>
      <c r="O770" s="7">
        <f>YEAR(Data[[#This Row],[Date]])</f>
        <v>2022</v>
      </c>
      <c r="P770" s="2">
        <v>0.78541666666666665</v>
      </c>
      <c r="Q770" t="s">
        <v>28</v>
      </c>
      <c r="R770">
        <v>267.79199999999997</v>
      </c>
      <c r="S770">
        <v>95.64</v>
      </c>
      <c r="T770">
        <v>7.9</v>
      </c>
    </row>
    <row r="771" spans="1:20" x14ac:dyDescent="0.55000000000000004">
      <c r="A771" t="s">
        <v>804</v>
      </c>
      <c r="B771" t="s">
        <v>17</v>
      </c>
      <c r="C771" t="s">
        <v>18</v>
      </c>
      <c r="D771" t="str">
        <f>"Br. "&amp;Data[[#This Row],[Branch]]&amp;" ("&amp;Data[[#This Row],[City]]&amp;")"</f>
        <v>Br. A (Yangon)</v>
      </c>
      <c r="E771" t="s">
        <v>26</v>
      </c>
      <c r="F771" t="s">
        <v>20</v>
      </c>
      <c r="G771" t="s">
        <v>31</v>
      </c>
      <c r="H771">
        <v>11.43</v>
      </c>
      <c r="I771">
        <v>6</v>
      </c>
      <c r="J771">
        <v>3.4289999999999998</v>
      </c>
      <c r="K771">
        <v>68.58</v>
      </c>
      <c r="L771" s="1">
        <v>44726</v>
      </c>
      <c r="M771" s="7">
        <f>DAY(Data[[#This Row],[Date]])</f>
        <v>14</v>
      </c>
      <c r="N771" s="7">
        <f>MONTH(Data[[#This Row],[Date]])</f>
        <v>6</v>
      </c>
      <c r="O771" s="7">
        <f>YEAR(Data[[#This Row],[Date]])</f>
        <v>2022</v>
      </c>
      <c r="P771" s="2">
        <v>0.72499999999999998</v>
      </c>
      <c r="Q771" t="s">
        <v>28</v>
      </c>
      <c r="R771">
        <v>48.006</v>
      </c>
      <c r="S771">
        <v>17.145</v>
      </c>
      <c r="T771">
        <v>7.7</v>
      </c>
    </row>
    <row r="772" spans="1:20" x14ac:dyDescent="0.55000000000000004">
      <c r="A772" t="s">
        <v>805</v>
      </c>
      <c r="B772" t="s">
        <v>41</v>
      </c>
      <c r="C772" t="s">
        <v>42</v>
      </c>
      <c r="D772" t="str">
        <f>"Br. "&amp;Data[[#This Row],[Branch]]&amp;" ("&amp;Data[[#This Row],[City]]&amp;")"</f>
        <v>Br. B (Mandalay)</v>
      </c>
      <c r="E772" t="s">
        <v>19</v>
      </c>
      <c r="F772" t="s">
        <v>20</v>
      </c>
      <c r="G772" t="s">
        <v>35</v>
      </c>
      <c r="H772">
        <v>95.54</v>
      </c>
      <c r="I772">
        <v>4</v>
      </c>
      <c r="J772">
        <v>19.108000000000001</v>
      </c>
      <c r="K772">
        <v>382.16</v>
      </c>
      <c r="L772" s="1">
        <v>44726</v>
      </c>
      <c r="M772" s="7">
        <f>DAY(Data[[#This Row],[Date]])</f>
        <v>14</v>
      </c>
      <c r="N772" s="7">
        <f>MONTH(Data[[#This Row],[Date]])</f>
        <v>6</v>
      </c>
      <c r="O772" s="7">
        <f>YEAR(Data[[#This Row],[Date]])</f>
        <v>2022</v>
      </c>
      <c r="P772" s="2">
        <v>0.49861111111111112</v>
      </c>
      <c r="Q772" t="s">
        <v>22</v>
      </c>
      <c r="R772">
        <v>267.512</v>
      </c>
      <c r="S772">
        <v>95.54</v>
      </c>
      <c r="T772">
        <v>4.5</v>
      </c>
    </row>
    <row r="773" spans="1:20" x14ac:dyDescent="0.55000000000000004">
      <c r="A773" t="s">
        <v>806</v>
      </c>
      <c r="B773" t="s">
        <v>24</v>
      </c>
      <c r="C773" t="s">
        <v>25</v>
      </c>
      <c r="D773" t="str">
        <f>"Br. "&amp;Data[[#This Row],[Branch]]&amp;" ("&amp;Data[[#This Row],[City]]&amp;")"</f>
        <v>Br. C (Naypyitaw)</v>
      </c>
      <c r="E773" t="s">
        <v>19</v>
      </c>
      <c r="F773" t="s">
        <v>20</v>
      </c>
      <c r="G773" t="s">
        <v>21</v>
      </c>
      <c r="H773">
        <v>85.87</v>
      </c>
      <c r="I773">
        <v>7</v>
      </c>
      <c r="J773">
        <v>30.054500000000001</v>
      </c>
      <c r="K773">
        <v>601.09</v>
      </c>
      <c r="L773" s="1">
        <v>44726</v>
      </c>
      <c r="M773" s="7">
        <f>DAY(Data[[#This Row],[Date]])</f>
        <v>14</v>
      </c>
      <c r="N773" s="7">
        <f>MONTH(Data[[#This Row],[Date]])</f>
        <v>6</v>
      </c>
      <c r="O773" s="7">
        <f>YEAR(Data[[#This Row],[Date]])</f>
        <v>2022</v>
      </c>
      <c r="P773" s="2">
        <v>0.79236111111111107</v>
      </c>
      <c r="Q773" t="s">
        <v>32</v>
      </c>
      <c r="R773">
        <v>420.76299999999998</v>
      </c>
      <c r="S773">
        <v>150.27250000000001</v>
      </c>
      <c r="T773">
        <v>8</v>
      </c>
    </row>
    <row r="774" spans="1:20" x14ac:dyDescent="0.55000000000000004">
      <c r="A774" t="s">
        <v>807</v>
      </c>
      <c r="B774" t="s">
        <v>24</v>
      </c>
      <c r="C774" t="s">
        <v>25</v>
      </c>
      <c r="D774" t="str">
        <f>"Br. "&amp;Data[[#This Row],[Branch]]&amp;" ("&amp;Data[[#This Row],[City]]&amp;")"</f>
        <v>Br. C (Naypyitaw)</v>
      </c>
      <c r="E774" t="s">
        <v>19</v>
      </c>
      <c r="F774" t="s">
        <v>20</v>
      </c>
      <c r="G774" t="s">
        <v>35</v>
      </c>
      <c r="H774">
        <v>67.989999999999995</v>
      </c>
      <c r="I774">
        <v>7</v>
      </c>
      <c r="J774">
        <v>23.796500000000002</v>
      </c>
      <c r="K774">
        <v>475.93</v>
      </c>
      <c r="L774" s="1">
        <v>44726</v>
      </c>
      <c r="M774" s="7">
        <f>DAY(Data[[#This Row],[Date]])</f>
        <v>14</v>
      </c>
      <c r="N774" s="7">
        <f>MONTH(Data[[#This Row],[Date]])</f>
        <v>6</v>
      </c>
      <c r="O774" s="7">
        <f>YEAR(Data[[#This Row],[Date]])</f>
        <v>2022</v>
      </c>
      <c r="P774" s="2">
        <v>0.70138888888888884</v>
      </c>
      <c r="Q774" t="s">
        <v>22</v>
      </c>
      <c r="R774">
        <v>333.15100000000001</v>
      </c>
      <c r="S774">
        <v>118.9825</v>
      </c>
      <c r="T774">
        <v>5.7</v>
      </c>
    </row>
    <row r="775" spans="1:20" x14ac:dyDescent="0.55000000000000004">
      <c r="A775" t="s">
        <v>808</v>
      </c>
      <c r="B775" t="s">
        <v>24</v>
      </c>
      <c r="C775" t="s">
        <v>25</v>
      </c>
      <c r="D775" t="str">
        <f>"Br. "&amp;Data[[#This Row],[Branch]]&amp;" ("&amp;Data[[#This Row],[City]]&amp;")"</f>
        <v>Br. C (Naypyitaw)</v>
      </c>
      <c r="E775" t="s">
        <v>26</v>
      </c>
      <c r="F775" t="s">
        <v>20</v>
      </c>
      <c r="G775" t="s">
        <v>43</v>
      </c>
      <c r="H775">
        <v>52.42</v>
      </c>
      <c r="I775">
        <v>1</v>
      </c>
      <c r="J775">
        <v>2.621</v>
      </c>
      <c r="K775">
        <v>52.42</v>
      </c>
      <c r="L775" s="1">
        <v>44726</v>
      </c>
      <c r="M775" s="7">
        <f>DAY(Data[[#This Row],[Date]])</f>
        <v>14</v>
      </c>
      <c r="N775" s="7">
        <f>MONTH(Data[[#This Row],[Date]])</f>
        <v>6</v>
      </c>
      <c r="O775" s="7">
        <f>YEAR(Data[[#This Row],[Date]])</f>
        <v>2022</v>
      </c>
      <c r="P775" s="2">
        <v>0.43194444444444446</v>
      </c>
      <c r="Q775" t="s">
        <v>32</v>
      </c>
      <c r="R775">
        <v>36.694000000000003</v>
      </c>
      <c r="S775">
        <v>13.105</v>
      </c>
      <c r="T775">
        <v>6.3</v>
      </c>
    </row>
    <row r="776" spans="1:20" x14ac:dyDescent="0.55000000000000004">
      <c r="A776" t="s">
        <v>809</v>
      </c>
      <c r="B776" t="s">
        <v>24</v>
      </c>
      <c r="C776" t="s">
        <v>25</v>
      </c>
      <c r="D776" t="str">
        <f>"Br. "&amp;Data[[#This Row],[Branch]]&amp;" ("&amp;Data[[#This Row],[City]]&amp;")"</f>
        <v>Br. C (Naypyitaw)</v>
      </c>
      <c r="E776" t="s">
        <v>19</v>
      </c>
      <c r="F776" t="s">
        <v>30</v>
      </c>
      <c r="G776" t="s">
        <v>43</v>
      </c>
      <c r="H776">
        <v>65.650000000000006</v>
      </c>
      <c r="I776">
        <v>2</v>
      </c>
      <c r="J776">
        <v>6.5650000000000004</v>
      </c>
      <c r="K776">
        <v>131.30000000000001</v>
      </c>
      <c r="L776" s="1">
        <v>44726</v>
      </c>
      <c r="M776" s="7">
        <f>DAY(Data[[#This Row],[Date]])</f>
        <v>14</v>
      </c>
      <c r="N776" s="7">
        <f>MONTH(Data[[#This Row],[Date]])</f>
        <v>6</v>
      </c>
      <c r="O776" s="7">
        <f>YEAR(Data[[#This Row],[Date]])</f>
        <v>2022</v>
      </c>
      <c r="P776" s="2">
        <v>0.69861111111111107</v>
      </c>
      <c r="Q776" t="s">
        <v>28</v>
      </c>
      <c r="R776">
        <v>91.91</v>
      </c>
      <c r="S776">
        <v>32.825000000000003</v>
      </c>
      <c r="T776">
        <v>6</v>
      </c>
    </row>
    <row r="777" spans="1:20" x14ac:dyDescent="0.55000000000000004">
      <c r="A777" t="s">
        <v>810</v>
      </c>
      <c r="B777" t="s">
        <v>41</v>
      </c>
      <c r="C777" t="s">
        <v>42</v>
      </c>
      <c r="D777" t="str">
        <f>"Br. "&amp;Data[[#This Row],[Branch]]&amp;" ("&amp;Data[[#This Row],[City]]&amp;")"</f>
        <v>Br. B (Mandalay)</v>
      </c>
      <c r="E777" t="s">
        <v>26</v>
      </c>
      <c r="F777" t="s">
        <v>20</v>
      </c>
      <c r="G777" t="s">
        <v>43</v>
      </c>
      <c r="H777">
        <v>28.86</v>
      </c>
      <c r="I777">
        <v>5</v>
      </c>
      <c r="J777">
        <v>7.2149999999999999</v>
      </c>
      <c r="K777">
        <v>144.30000000000001</v>
      </c>
      <c r="L777" s="1">
        <v>44726</v>
      </c>
      <c r="M777" s="7">
        <f>DAY(Data[[#This Row],[Date]])</f>
        <v>14</v>
      </c>
      <c r="N777" s="7">
        <f>MONTH(Data[[#This Row],[Date]])</f>
        <v>6</v>
      </c>
      <c r="O777" s="7">
        <f>YEAR(Data[[#This Row],[Date]])</f>
        <v>2022</v>
      </c>
      <c r="P777" s="2">
        <v>0.75555555555555554</v>
      </c>
      <c r="Q777" t="s">
        <v>32</v>
      </c>
      <c r="R777">
        <v>101.01</v>
      </c>
      <c r="S777">
        <v>36.075000000000003</v>
      </c>
      <c r="T777">
        <v>8</v>
      </c>
    </row>
    <row r="778" spans="1:20" x14ac:dyDescent="0.55000000000000004">
      <c r="A778" t="s">
        <v>811</v>
      </c>
      <c r="B778" t="s">
        <v>24</v>
      </c>
      <c r="C778" t="s">
        <v>25</v>
      </c>
      <c r="D778" t="str">
        <f>"Br. "&amp;Data[[#This Row],[Branch]]&amp;" ("&amp;Data[[#This Row],[City]]&amp;")"</f>
        <v>Br. C (Naypyitaw)</v>
      </c>
      <c r="E778" t="s">
        <v>19</v>
      </c>
      <c r="F778" t="s">
        <v>30</v>
      </c>
      <c r="G778" t="s">
        <v>21</v>
      </c>
      <c r="H778">
        <v>65.31</v>
      </c>
      <c r="I778">
        <v>7</v>
      </c>
      <c r="J778">
        <v>22.858499999999999</v>
      </c>
      <c r="K778">
        <v>457.17</v>
      </c>
      <c r="L778" s="1">
        <v>44726</v>
      </c>
      <c r="M778" s="7">
        <f>DAY(Data[[#This Row],[Date]])</f>
        <v>14</v>
      </c>
      <c r="N778" s="7">
        <f>MONTH(Data[[#This Row],[Date]])</f>
        <v>6</v>
      </c>
      <c r="O778" s="7">
        <f>YEAR(Data[[#This Row],[Date]])</f>
        <v>2022</v>
      </c>
      <c r="P778" s="2">
        <v>0.75138888888888888</v>
      </c>
      <c r="Q778" t="s">
        <v>32</v>
      </c>
      <c r="R778">
        <v>320.01900000000001</v>
      </c>
      <c r="S778">
        <v>114.2925</v>
      </c>
      <c r="T778">
        <v>4.2</v>
      </c>
    </row>
    <row r="779" spans="1:20" x14ac:dyDescent="0.55000000000000004">
      <c r="A779" t="s">
        <v>812</v>
      </c>
      <c r="B779" t="s">
        <v>41</v>
      </c>
      <c r="C779" t="s">
        <v>42</v>
      </c>
      <c r="D779" t="str">
        <f>"Br. "&amp;Data[[#This Row],[Branch]]&amp;" ("&amp;Data[[#This Row],[City]]&amp;")"</f>
        <v>Br. B (Mandalay)</v>
      </c>
      <c r="E779" t="s">
        <v>26</v>
      </c>
      <c r="F779" t="s">
        <v>30</v>
      </c>
      <c r="G779" t="s">
        <v>35</v>
      </c>
      <c r="H779">
        <v>93.38</v>
      </c>
      <c r="I779">
        <v>1</v>
      </c>
      <c r="J779">
        <v>4.6689999999999996</v>
      </c>
      <c r="K779">
        <v>93.38</v>
      </c>
      <c r="L779" s="1">
        <v>44726</v>
      </c>
      <c r="M779" s="7">
        <f>DAY(Data[[#This Row],[Date]])</f>
        <v>14</v>
      </c>
      <c r="N779" s="7">
        <f>MONTH(Data[[#This Row],[Date]])</f>
        <v>6</v>
      </c>
      <c r="O779" s="7">
        <f>YEAR(Data[[#This Row],[Date]])</f>
        <v>2022</v>
      </c>
      <c r="P779" s="2">
        <v>0.54652777777777772</v>
      </c>
      <c r="Q779" t="s">
        <v>28</v>
      </c>
      <c r="R779">
        <v>65.366</v>
      </c>
      <c r="S779">
        <v>23.344999999999999</v>
      </c>
      <c r="T779">
        <v>9.6</v>
      </c>
    </row>
    <row r="780" spans="1:20" x14ac:dyDescent="0.55000000000000004">
      <c r="A780" t="s">
        <v>813</v>
      </c>
      <c r="B780" t="s">
        <v>24</v>
      </c>
      <c r="C780" t="s">
        <v>25</v>
      </c>
      <c r="D780" t="str">
        <f>"Br. "&amp;Data[[#This Row],[Branch]]&amp;" ("&amp;Data[[#This Row],[City]]&amp;")"</f>
        <v>Br. C (Naypyitaw)</v>
      </c>
      <c r="E780" t="s">
        <v>19</v>
      </c>
      <c r="F780" t="s">
        <v>30</v>
      </c>
      <c r="G780" t="s">
        <v>35</v>
      </c>
      <c r="H780">
        <v>25.25</v>
      </c>
      <c r="I780">
        <v>5</v>
      </c>
      <c r="J780">
        <v>6.3125</v>
      </c>
      <c r="K780">
        <v>126.25</v>
      </c>
      <c r="L780" s="1">
        <v>44726</v>
      </c>
      <c r="M780" s="7">
        <f>DAY(Data[[#This Row],[Date]])</f>
        <v>14</v>
      </c>
      <c r="N780" s="7">
        <f>MONTH(Data[[#This Row],[Date]])</f>
        <v>6</v>
      </c>
      <c r="O780" s="7">
        <f>YEAR(Data[[#This Row],[Date]])</f>
        <v>2022</v>
      </c>
      <c r="P780" s="2">
        <v>0.74444444444444446</v>
      </c>
      <c r="Q780" t="s">
        <v>28</v>
      </c>
      <c r="R780">
        <v>88.375</v>
      </c>
      <c r="S780">
        <v>31.5625</v>
      </c>
      <c r="T780">
        <v>6.1</v>
      </c>
    </row>
    <row r="781" spans="1:20" x14ac:dyDescent="0.55000000000000004">
      <c r="A781" t="s">
        <v>814</v>
      </c>
      <c r="B781" t="s">
        <v>41</v>
      </c>
      <c r="C781" t="s">
        <v>42</v>
      </c>
      <c r="D781" t="str">
        <f>"Br. "&amp;Data[[#This Row],[Branch]]&amp;" ("&amp;Data[[#This Row],[City]]&amp;")"</f>
        <v>Br. B (Mandalay)</v>
      </c>
      <c r="E781" t="s">
        <v>19</v>
      </c>
      <c r="F781" t="s">
        <v>30</v>
      </c>
      <c r="G781" t="s">
        <v>27</v>
      </c>
      <c r="H781">
        <v>87.87</v>
      </c>
      <c r="I781">
        <v>9</v>
      </c>
      <c r="J781">
        <v>39.541499999999999</v>
      </c>
      <c r="K781">
        <v>790.83</v>
      </c>
      <c r="L781" s="1">
        <v>44726</v>
      </c>
      <c r="M781" s="7">
        <f>DAY(Data[[#This Row],[Date]])</f>
        <v>14</v>
      </c>
      <c r="N781" s="7">
        <f>MONTH(Data[[#This Row],[Date]])</f>
        <v>6</v>
      </c>
      <c r="O781" s="7">
        <f>YEAR(Data[[#This Row],[Date]])</f>
        <v>2022</v>
      </c>
      <c r="P781" s="2">
        <v>0.85555555555555551</v>
      </c>
      <c r="Q781" t="s">
        <v>22</v>
      </c>
      <c r="R781">
        <v>553.58100000000002</v>
      </c>
      <c r="S781">
        <v>197.70750000000001</v>
      </c>
      <c r="T781">
        <v>5.6</v>
      </c>
    </row>
    <row r="782" spans="1:20" x14ac:dyDescent="0.55000000000000004">
      <c r="A782" t="s">
        <v>815</v>
      </c>
      <c r="B782" t="s">
        <v>24</v>
      </c>
      <c r="C782" t="s">
        <v>25</v>
      </c>
      <c r="D782" t="str">
        <f>"Br. "&amp;Data[[#This Row],[Branch]]&amp;" ("&amp;Data[[#This Row],[City]]&amp;")"</f>
        <v>Br. C (Naypyitaw)</v>
      </c>
      <c r="E782" t="s">
        <v>26</v>
      </c>
      <c r="F782" t="s">
        <v>30</v>
      </c>
      <c r="G782" t="s">
        <v>21</v>
      </c>
      <c r="H782">
        <v>21.8</v>
      </c>
      <c r="I782">
        <v>8</v>
      </c>
      <c r="J782">
        <v>8.7200000000000006</v>
      </c>
      <c r="K782">
        <v>174.4</v>
      </c>
      <c r="L782" s="1">
        <v>44726</v>
      </c>
      <c r="M782" s="7">
        <f>DAY(Data[[#This Row],[Date]])</f>
        <v>14</v>
      </c>
      <c r="N782" s="7">
        <f>MONTH(Data[[#This Row],[Date]])</f>
        <v>6</v>
      </c>
      <c r="O782" s="7">
        <f>YEAR(Data[[#This Row],[Date]])</f>
        <v>2022</v>
      </c>
      <c r="P782" s="2">
        <v>0.80833333333333335</v>
      </c>
      <c r="Q782" t="s">
        <v>28</v>
      </c>
      <c r="R782">
        <v>122.08</v>
      </c>
      <c r="S782">
        <v>43.6</v>
      </c>
      <c r="T782">
        <v>8.3000000000000007</v>
      </c>
    </row>
    <row r="783" spans="1:20" x14ac:dyDescent="0.55000000000000004">
      <c r="A783" t="s">
        <v>816</v>
      </c>
      <c r="B783" t="s">
        <v>17</v>
      </c>
      <c r="C783" t="s">
        <v>18</v>
      </c>
      <c r="D783" t="str">
        <f>"Br. "&amp;Data[[#This Row],[Branch]]&amp;" ("&amp;Data[[#This Row],[City]]&amp;")"</f>
        <v>Br. A (Yangon)</v>
      </c>
      <c r="E783" t="s">
        <v>26</v>
      </c>
      <c r="F783" t="s">
        <v>20</v>
      </c>
      <c r="G783" t="s">
        <v>35</v>
      </c>
      <c r="H783">
        <v>94.76</v>
      </c>
      <c r="I783">
        <v>4</v>
      </c>
      <c r="J783">
        <v>18.952000000000002</v>
      </c>
      <c r="K783">
        <v>379.04</v>
      </c>
      <c r="L783" s="1">
        <v>44726</v>
      </c>
      <c r="M783" s="7">
        <f>DAY(Data[[#This Row],[Date]])</f>
        <v>14</v>
      </c>
      <c r="N783" s="7">
        <f>MONTH(Data[[#This Row],[Date]])</f>
        <v>6</v>
      </c>
      <c r="O783" s="7">
        <f>YEAR(Data[[#This Row],[Date]])</f>
        <v>2022</v>
      </c>
      <c r="P783" s="2">
        <v>0.67083333333333328</v>
      </c>
      <c r="Q783" t="s">
        <v>22</v>
      </c>
      <c r="R783">
        <v>265.32799999999997</v>
      </c>
      <c r="S783">
        <v>94.76</v>
      </c>
      <c r="T783">
        <v>7.8</v>
      </c>
    </row>
    <row r="784" spans="1:20" x14ac:dyDescent="0.55000000000000004">
      <c r="A784" t="s">
        <v>817</v>
      </c>
      <c r="B784" t="s">
        <v>17</v>
      </c>
      <c r="C784" t="s">
        <v>18</v>
      </c>
      <c r="D784" t="str">
        <f>"Br. "&amp;Data[[#This Row],[Branch]]&amp;" ("&amp;Data[[#This Row],[City]]&amp;")"</f>
        <v>Br. A (Yangon)</v>
      </c>
      <c r="E784" t="s">
        <v>19</v>
      </c>
      <c r="F784" t="s">
        <v>20</v>
      </c>
      <c r="G784" t="s">
        <v>45</v>
      </c>
      <c r="H784">
        <v>30.62</v>
      </c>
      <c r="I784">
        <v>1</v>
      </c>
      <c r="J784">
        <v>1.5309999999999999</v>
      </c>
      <c r="K784">
        <v>30.62</v>
      </c>
      <c r="L784" s="1">
        <v>44726</v>
      </c>
      <c r="M784" s="7">
        <f>DAY(Data[[#This Row],[Date]])</f>
        <v>14</v>
      </c>
      <c r="N784" s="7">
        <f>MONTH(Data[[#This Row],[Date]])</f>
        <v>6</v>
      </c>
      <c r="O784" s="7">
        <f>YEAR(Data[[#This Row],[Date]])</f>
        <v>2022</v>
      </c>
      <c r="P784" s="2">
        <v>0.59305555555555556</v>
      </c>
      <c r="Q784" t="s">
        <v>32</v>
      </c>
      <c r="R784">
        <v>21.434000000000001</v>
      </c>
      <c r="S784">
        <v>7.6550000000000002</v>
      </c>
      <c r="T784">
        <v>4.0999999999999996</v>
      </c>
    </row>
    <row r="785" spans="1:20" x14ac:dyDescent="0.55000000000000004">
      <c r="A785" t="s">
        <v>818</v>
      </c>
      <c r="B785" t="s">
        <v>24</v>
      </c>
      <c r="C785" t="s">
        <v>25</v>
      </c>
      <c r="D785" t="str">
        <f>"Br. "&amp;Data[[#This Row],[Branch]]&amp;" ("&amp;Data[[#This Row],[City]]&amp;")"</f>
        <v>Br. C (Naypyitaw)</v>
      </c>
      <c r="E785" t="s">
        <v>26</v>
      </c>
      <c r="F785" t="s">
        <v>20</v>
      </c>
      <c r="G785" t="s">
        <v>31</v>
      </c>
      <c r="H785">
        <v>44.01</v>
      </c>
      <c r="I785">
        <v>8</v>
      </c>
      <c r="J785">
        <v>17.603999999999999</v>
      </c>
      <c r="K785">
        <v>352.08</v>
      </c>
      <c r="L785" s="1">
        <v>44726</v>
      </c>
      <c r="M785" s="7">
        <f>DAY(Data[[#This Row],[Date]])</f>
        <v>14</v>
      </c>
      <c r="N785" s="7">
        <f>MONTH(Data[[#This Row],[Date]])</f>
        <v>6</v>
      </c>
      <c r="O785" s="7">
        <f>YEAR(Data[[#This Row],[Date]])</f>
        <v>2022</v>
      </c>
      <c r="P785" s="2">
        <v>0.73333333333333328</v>
      </c>
      <c r="Q785" t="s">
        <v>28</v>
      </c>
      <c r="R785">
        <v>246.45599999999999</v>
      </c>
      <c r="S785">
        <v>88.02</v>
      </c>
      <c r="T785">
        <v>8.8000000000000007</v>
      </c>
    </row>
    <row r="786" spans="1:20" x14ac:dyDescent="0.55000000000000004">
      <c r="A786" t="s">
        <v>819</v>
      </c>
      <c r="B786" t="s">
        <v>24</v>
      </c>
      <c r="C786" t="s">
        <v>25</v>
      </c>
      <c r="D786" t="str">
        <f>"Br. "&amp;Data[[#This Row],[Branch]]&amp;" ("&amp;Data[[#This Row],[City]]&amp;")"</f>
        <v>Br. C (Naypyitaw)</v>
      </c>
      <c r="E786" t="s">
        <v>19</v>
      </c>
      <c r="F786" t="s">
        <v>20</v>
      </c>
      <c r="G786" t="s">
        <v>21</v>
      </c>
      <c r="H786">
        <v>10.16</v>
      </c>
      <c r="I786">
        <v>5</v>
      </c>
      <c r="J786">
        <v>2.54</v>
      </c>
      <c r="K786">
        <v>50.8</v>
      </c>
      <c r="L786" s="1">
        <v>44726</v>
      </c>
      <c r="M786" s="7">
        <f>DAY(Data[[#This Row],[Date]])</f>
        <v>14</v>
      </c>
      <c r="N786" s="7">
        <f>MONTH(Data[[#This Row],[Date]])</f>
        <v>6</v>
      </c>
      <c r="O786" s="7">
        <f>YEAR(Data[[#This Row],[Date]])</f>
        <v>2022</v>
      </c>
      <c r="P786" s="2">
        <v>0.54722222222222228</v>
      </c>
      <c r="Q786" t="s">
        <v>22</v>
      </c>
      <c r="R786">
        <v>35.56</v>
      </c>
      <c r="S786">
        <v>12.7</v>
      </c>
      <c r="T786">
        <v>4.0999999999999996</v>
      </c>
    </row>
    <row r="787" spans="1:20" x14ac:dyDescent="0.55000000000000004">
      <c r="A787" t="s">
        <v>820</v>
      </c>
      <c r="B787" t="s">
        <v>17</v>
      </c>
      <c r="C787" t="s">
        <v>18</v>
      </c>
      <c r="D787" t="str">
        <f>"Br. "&amp;Data[[#This Row],[Branch]]&amp;" ("&amp;Data[[#This Row],[City]]&amp;")"</f>
        <v>Br. A (Yangon)</v>
      </c>
      <c r="E787" t="s">
        <v>26</v>
      </c>
      <c r="F787" t="s">
        <v>30</v>
      </c>
      <c r="G787" t="s">
        <v>27</v>
      </c>
      <c r="H787">
        <v>74.58</v>
      </c>
      <c r="I787">
        <v>7</v>
      </c>
      <c r="J787">
        <v>26.103000000000002</v>
      </c>
      <c r="K787">
        <v>522.05999999999995</v>
      </c>
      <c r="L787" s="1">
        <v>44726</v>
      </c>
      <c r="M787" s="7">
        <f>DAY(Data[[#This Row],[Date]])</f>
        <v>14</v>
      </c>
      <c r="N787" s="7">
        <f>MONTH(Data[[#This Row],[Date]])</f>
        <v>6</v>
      </c>
      <c r="O787" s="7">
        <f>YEAR(Data[[#This Row],[Date]])</f>
        <v>2022</v>
      </c>
      <c r="P787" s="2">
        <v>0.67291666666666672</v>
      </c>
      <c r="Q787" t="s">
        <v>32</v>
      </c>
      <c r="R787">
        <v>365.44200000000001</v>
      </c>
      <c r="S787">
        <v>130.51499999999999</v>
      </c>
      <c r="T787">
        <v>9</v>
      </c>
    </row>
    <row r="788" spans="1:20" x14ac:dyDescent="0.55000000000000004">
      <c r="A788" t="s">
        <v>821</v>
      </c>
      <c r="B788" t="s">
        <v>24</v>
      </c>
      <c r="C788" t="s">
        <v>25</v>
      </c>
      <c r="D788" t="str">
        <f>"Br. "&amp;Data[[#This Row],[Branch]]&amp;" ("&amp;Data[[#This Row],[City]]&amp;")"</f>
        <v>Br. C (Naypyitaw)</v>
      </c>
      <c r="E788" t="s">
        <v>26</v>
      </c>
      <c r="F788" t="s">
        <v>30</v>
      </c>
      <c r="G788" t="s">
        <v>27</v>
      </c>
      <c r="H788">
        <v>71.89</v>
      </c>
      <c r="I788">
        <v>8</v>
      </c>
      <c r="J788">
        <v>28.756</v>
      </c>
      <c r="K788">
        <v>575.12</v>
      </c>
      <c r="L788" s="1">
        <v>44726</v>
      </c>
      <c r="M788" s="7">
        <f>DAY(Data[[#This Row],[Date]])</f>
        <v>14</v>
      </c>
      <c r="N788" s="7">
        <f>MONTH(Data[[#This Row],[Date]])</f>
        <v>6</v>
      </c>
      <c r="O788" s="7">
        <f>YEAR(Data[[#This Row],[Date]])</f>
        <v>2022</v>
      </c>
      <c r="P788" s="2">
        <v>0.48125000000000001</v>
      </c>
      <c r="Q788" t="s">
        <v>22</v>
      </c>
      <c r="R788">
        <v>402.584</v>
      </c>
      <c r="S788">
        <v>143.78</v>
      </c>
      <c r="T788">
        <v>5.5</v>
      </c>
    </row>
    <row r="789" spans="1:20" x14ac:dyDescent="0.55000000000000004">
      <c r="A789" t="s">
        <v>822</v>
      </c>
      <c r="B789" t="s">
        <v>24</v>
      </c>
      <c r="C789" t="s">
        <v>25</v>
      </c>
      <c r="D789" t="str">
        <f>"Br. "&amp;Data[[#This Row],[Branch]]&amp;" ("&amp;Data[[#This Row],[City]]&amp;")"</f>
        <v>Br. C (Naypyitaw)</v>
      </c>
      <c r="E789" t="s">
        <v>26</v>
      </c>
      <c r="F789" t="s">
        <v>20</v>
      </c>
      <c r="G789" t="s">
        <v>21</v>
      </c>
      <c r="H789">
        <v>10.99</v>
      </c>
      <c r="I789">
        <v>5</v>
      </c>
      <c r="J789">
        <v>2.7475000000000001</v>
      </c>
      <c r="K789">
        <v>54.95</v>
      </c>
      <c r="L789" s="1">
        <v>44726</v>
      </c>
      <c r="M789" s="7">
        <f>DAY(Data[[#This Row],[Date]])</f>
        <v>14</v>
      </c>
      <c r="N789" s="7">
        <f>MONTH(Data[[#This Row],[Date]])</f>
        <v>6</v>
      </c>
      <c r="O789" s="7">
        <f>YEAR(Data[[#This Row],[Date]])</f>
        <v>2022</v>
      </c>
      <c r="P789" s="2">
        <v>0.42916666666666664</v>
      </c>
      <c r="Q789" t="s">
        <v>32</v>
      </c>
      <c r="R789">
        <v>38.465000000000003</v>
      </c>
      <c r="S789">
        <v>13.737500000000001</v>
      </c>
      <c r="T789">
        <v>9.3000000000000007</v>
      </c>
    </row>
    <row r="790" spans="1:20" x14ac:dyDescent="0.55000000000000004">
      <c r="A790" t="s">
        <v>823</v>
      </c>
      <c r="B790" t="s">
        <v>24</v>
      </c>
      <c r="C790" t="s">
        <v>25</v>
      </c>
      <c r="D790" t="str">
        <f>"Br. "&amp;Data[[#This Row],[Branch]]&amp;" ("&amp;Data[[#This Row],[City]]&amp;")"</f>
        <v>Br. C (Naypyitaw)</v>
      </c>
      <c r="E790" t="s">
        <v>19</v>
      </c>
      <c r="F790" t="s">
        <v>30</v>
      </c>
      <c r="G790" t="s">
        <v>21</v>
      </c>
      <c r="H790">
        <v>60.47</v>
      </c>
      <c r="I790">
        <v>3</v>
      </c>
      <c r="J790">
        <v>9.0704999999999991</v>
      </c>
      <c r="K790">
        <v>181.41</v>
      </c>
      <c r="L790" s="1">
        <v>44726</v>
      </c>
      <c r="M790" s="7">
        <f>DAY(Data[[#This Row],[Date]])</f>
        <v>14</v>
      </c>
      <c r="N790" s="7">
        <f>MONTH(Data[[#This Row],[Date]])</f>
        <v>6</v>
      </c>
      <c r="O790" s="7">
        <f>YEAR(Data[[#This Row],[Date]])</f>
        <v>2022</v>
      </c>
      <c r="P790" s="2">
        <v>0.4548611111111111</v>
      </c>
      <c r="Q790" t="s">
        <v>32</v>
      </c>
      <c r="R790">
        <v>126.98699999999999</v>
      </c>
      <c r="S790">
        <v>45.352499999999999</v>
      </c>
      <c r="T790">
        <v>5.6</v>
      </c>
    </row>
    <row r="791" spans="1:20" x14ac:dyDescent="0.55000000000000004">
      <c r="A791" t="s">
        <v>824</v>
      </c>
      <c r="B791" t="s">
        <v>17</v>
      </c>
      <c r="C791" t="s">
        <v>18</v>
      </c>
      <c r="D791" t="str">
        <f>"Br. "&amp;Data[[#This Row],[Branch]]&amp;" ("&amp;Data[[#This Row],[City]]&amp;")"</f>
        <v>Br. A (Yangon)</v>
      </c>
      <c r="E791" t="s">
        <v>26</v>
      </c>
      <c r="F791" t="s">
        <v>30</v>
      </c>
      <c r="G791" t="s">
        <v>35</v>
      </c>
      <c r="H791">
        <v>58.91</v>
      </c>
      <c r="I791">
        <v>7</v>
      </c>
      <c r="J791">
        <v>20.618500000000001</v>
      </c>
      <c r="K791">
        <v>412.37</v>
      </c>
      <c r="L791" s="1">
        <v>44726</v>
      </c>
      <c r="M791" s="7">
        <f>DAY(Data[[#This Row],[Date]])</f>
        <v>14</v>
      </c>
      <c r="N791" s="7">
        <f>MONTH(Data[[#This Row],[Date]])</f>
        <v>6</v>
      </c>
      <c r="O791" s="7">
        <f>YEAR(Data[[#This Row],[Date]])</f>
        <v>2022</v>
      </c>
      <c r="P791" s="2">
        <v>0.63541666666666663</v>
      </c>
      <c r="Q791" t="s">
        <v>22</v>
      </c>
      <c r="R791">
        <v>288.65899999999999</v>
      </c>
      <c r="S791">
        <v>103.0925</v>
      </c>
      <c r="T791">
        <v>9.6999999999999993</v>
      </c>
    </row>
    <row r="792" spans="1:20" x14ac:dyDescent="0.55000000000000004">
      <c r="A792" t="s">
        <v>825</v>
      </c>
      <c r="B792" t="s">
        <v>17</v>
      </c>
      <c r="C792" t="s">
        <v>18</v>
      </c>
      <c r="D792" t="str">
        <f>"Br. "&amp;Data[[#This Row],[Branch]]&amp;" ("&amp;Data[[#This Row],[City]]&amp;")"</f>
        <v>Br. A (Yangon)</v>
      </c>
      <c r="E792" t="s">
        <v>26</v>
      </c>
      <c r="F792" t="s">
        <v>30</v>
      </c>
      <c r="G792" t="s">
        <v>45</v>
      </c>
      <c r="H792">
        <v>46.41</v>
      </c>
      <c r="I792">
        <v>1</v>
      </c>
      <c r="J792">
        <v>2.3205</v>
      </c>
      <c r="K792">
        <v>46.41</v>
      </c>
      <c r="L792" s="1">
        <v>44726</v>
      </c>
      <c r="M792" s="7">
        <f>DAY(Data[[#This Row],[Date]])</f>
        <v>14</v>
      </c>
      <c r="N792" s="7">
        <f>MONTH(Data[[#This Row],[Date]])</f>
        <v>6</v>
      </c>
      <c r="O792" s="7">
        <f>YEAR(Data[[#This Row],[Date]])</f>
        <v>2022</v>
      </c>
      <c r="P792" s="2">
        <v>0.83750000000000002</v>
      </c>
      <c r="Q792" t="s">
        <v>32</v>
      </c>
      <c r="R792">
        <v>32.487000000000002</v>
      </c>
      <c r="S792">
        <v>11.602499999999999</v>
      </c>
      <c r="T792">
        <v>4</v>
      </c>
    </row>
    <row r="793" spans="1:20" x14ac:dyDescent="0.55000000000000004">
      <c r="A793" t="s">
        <v>826</v>
      </c>
      <c r="B793" t="s">
        <v>24</v>
      </c>
      <c r="C793" t="s">
        <v>25</v>
      </c>
      <c r="D793" t="str">
        <f>"Br. "&amp;Data[[#This Row],[Branch]]&amp;" ("&amp;Data[[#This Row],[City]]&amp;")"</f>
        <v>Br. C (Naypyitaw)</v>
      </c>
      <c r="E793" t="s">
        <v>19</v>
      </c>
      <c r="F793" t="s">
        <v>30</v>
      </c>
      <c r="G793" t="s">
        <v>21</v>
      </c>
      <c r="H793">
        <v>68.55</v>
      </c>
      <c r="I793">
        <v>4</v>
      </c>
      <c r="J793">
        <v>13.71</v>
      </c>
      <c r="K793">
        <v>274.2</v>
      </c>
      <c r="L793" s="1">
        <v>44726</v>
      </c>
      <c r="M793" s="7">
        <f>DAY(Data[[#This Row],[Date]])</f>
        <v>14</v>
      </c>
      <c r="N793" s="7">
        <f>MONTH(Data[[#This Row],[Date]])</f>
        <v>6</v>
      </c>
      <c r="O793" s="7">
        <f>YEAR(Data[[#This Row],[Date]])</f>
        <v>2022</v>
      </c>
      <c r="P793" s="2">
        <v>0.84791666666666665</v>
      </c>
      <c r="Q793" t="s">
        <v>32</v>
      </c>
      <c r="R793">
        <v>191.94</v>
      </c>
      <c r="S793">
        <v>68.55</v>
      </c>
      <c r="T793">
        <v>9.1999999999999993</v>
      </c>
    </row>
    <row r="794" spans="1:20" x14ac:dyDescent="0.55000000000000004">
      <c r="A794" t="s">
        <v>827</v>
      </c>
      <c r="B794" t="s">
        <v>41</v>
      </c>
      <c r="C794" t="s">
        <v>42</v>
      </c>
      <c r="D794" t="str">
        <f>"Br. "&amp;Data[[#This Row],[Branch]]&amp;" ("&amp;Data[[#This Row],[City]]&amp;")"</f>
        <v>Br. B (Mandalay)</v>
      </c>
      <c r="E794" t="s">
        <v>26</v>
      </c>
      <c r="F794" t="s">
        <v>20</v>
      </c>
      <c r="G794" t="s">
        <v>31</v>
      </c>
      <c r="H794">
        <v>97.37</v>
      </c>
      <c r="I794">
        <v>10</v>
      </c>
      <c r="J794">
        <v>48.685000000000002</v>
      </c>
      <c r="K794">
        <v>973.7</v>
      </c>
      <c r="L794" s="1">
        <v>44726</v>
      </c>
      <c r="M794" s="7">
        <f>DAY(Data[[#This Row],[Date]])</f>
        <v>14</v>
      </c>
      <c r="N794" s="7">
        <f>MONTH(Data[[#This Row],[Date]])</f>
        <v>6</v>
      </c>
      <c r="O794" s="7">
        <f>YEAR(Data[[#This Row],[Date]])</f>
        <v>2022</v>
      </c>
      <c r="P794" s="2">
        <v>0.57499999999999996</v>
      </c>
      <c r="Q794" t="s">
        <v>32</v>
      </c>
      <c r="R794">
        <v>681.59</v>
      </c>
      <c r="S794">
        <v>243.42500000000001</v>
      </c>
      <c r="T794">
        <v>4.9000000000000004</v>
      </c>
    </row>
    <row r="795" spans="1:20" x14ac:dyDescent="0.55000000000000004">
      <c r="A795" t="s">
        <v>828</v>
      </c>
      <c r="B795" t="s">
        <v>17</v>
      </c>
      <c r="C795" t="s">
        <v>18</v>
      </c>
      <c r="D795" t="str">
        <f>"Br. "&amp;Data[[#This Row],[Branch]]&amp;" ("&amp;Data[[#This Row],[City]]&amp;")"</f>
        <v>Br. A (Yangon)</v>
      </c>
      <c r="E795" t="s">
        <v>19</v>
      </c>
      <c r="F795" t="s">
        <v>30</v>
      </c>
      <c r="G795" t="s">
        <v>27</v>
      </c>
      <c r="H795">
        <v>92.6</v>
      </c>
      <c r="I795">
        <v>7</v>
      </c>
      <c r="J795">
        <v>32.409999999999997</v>
      </c>
      <c r="K795">
        <v>648.20000000000005</v>
      </c>
      <c r="L795" s="1">
        <v>44726</v>
      </c>
      <c r="M795" s="7">
        <f>DAY(Data[[#This Row],[Date]])</f>
        <v>14</v>
      </c>
      <c r="N795" s="7">
        <f>MONTH(Data[[#This Row],[Date]])</f>
        <v>6</v>
      </c>
      <c r="O795" s="7">
        <f>YEAR(Data[[#This Row],[Date]])</f>
        <v>2022</v>
      </c>
      <c r="P795" s="2">
        <v>0.53611111111111109</v>
      </c>
      <c r="Q795" t="s">
        <v>32</v>
      </c>
      <c r="R795">
        <v>453.74</v>
      </c>
      <c r="S795">
        <v>162.05000000000001</v>
      </c>
      <c r="T795">
        <v>9.3000000000000007</v>
      </c>
    </row>
    <row r="796" spans="1:20" x14ac:dyDescent="0.55000000000000004">
      <c r="A796" t="s">
        <v>829</v>
      </c>
      <c r="B796" t="s">
        <v>17</v>
      </c>
      <c r="C796" t="s">
        <v>18</v>
      </c>
      <c r="D796" t="str">
        <f>"Br. "&amp;Data[[#This Row],[Branch]]&amp;" ("&amp;Data[[#This Row],[City]]&amp;")"</f>
        <v>Br. A (Yangon)</v>
      </c>
      <c r="E796" t="s">
        <v>26</v>
      </c>
      <c r="F796" t="s">
        <v>20</v>
      </c>
      <c r="G796" t="s">
        <v>27</v>
      </c>
      <c r="H796">
        <v>46.61</v>
      </c>
      <c r="I796">
        <v>2</v>
      </c>
      <c r="J796">
        <v>4.6609999999999996</v>
      </c>
      <c r="K796">
        <v>93.22</v>
      </c>
      <c r="L796" s="1">
        <v>44726</v>
      </c>
      <c r="M796" s="7">
        <f>DAY(Data[[#This Row],[Date]])</f>
        <v>14</v>
      </c>
      <c r="N796" s="7">
        <f>MONTH(Data[[#This Row],[Date]])</f>
        <v>6</v>
      </c>
      <c r="O796" s="7">
        <f>YEAR(Data[[#This Row],[Date]])</f>
        <v>2022</v>
      </c>
      <c r="P796" s="2">
        <v>0.51944444444444449</v>
      </c>
      <c r="Q796" t="s">
        <v>32</v>
      </c>
      <c r="R796">
        <v>65.254000000000005</v>
      </c>
      <c r="S796">
        <v>23.305</v>
      </c>
      <c r="T796">
        <v>6.6</v>
      </c>
    </row>
    <row r="797" spans="1:20" x14ac:dyDescent="0.55000000000000004">
      <c r="A797" t="s">
        <v>830</v>
      </c>
      <c r="B797" t="s">
        <v>41</v>
      </c>
      <c r="C797" t="s">
        <v>42</v>
      </c>
      <c r="D797" t="str">
        <f>"Br. "&amp;Data[[#This Row],[Branch]]&amp;" ("&amp;Data[[#This Row],[City]]&amp;")"</f>
        <v>Br. B (Mandalay)</v>
      </c>
      <c r="E797" t="s">
        <v>26</v>
      </c>
      <c r="F797" t="s">
        <v>30</v>
      </c>
      <c r="G797" t="s">
        <v>45</v>
      </c>
      <c r="H797">
        <v>27.18</v>
      </c>
      <c r="I797">
        <v>2</v>
      </c>
      <c r="J797">
        <v>2.718</v>
      </c>
      <c r="K797">
        <v>54.36</v>
      </c>
      <c r="L797" s="1">
        <v>44726</v>
      </c>
      <c r="M797" s="7">
        <f>DAY(Data[[#This Row],[Date]])</f>
        <v>14</v>
      </c>
      <c r="N797" s="7">
        <f>MONTH(Data[[#This Row],[Date]])</f>
        <v>6</v>
      </c>
      <c r="O797" s="7">
        <f>YEAR(Data[[#This Row],[Date]])</f>
        <v>2022</v>
      </c>
      <c r="P797" s="2">
        <v>0.68472222222222223</v>
      </c>
      <c r="Q797" t="s">
        <v>22</v>
      </c>
      <c r="R797">
        <v>38.052</v>
      </c>
      <c r="S797">
        <v>13.59</v>
      </c>
      <c r="T797">
        <v>4.3</v>
      </c>
    </row>
    <row r="798" spans="1:20" x14ac:dyDescent="0.55000000000000004">
      <c r="A798" t="s">
        <v>831</v>
      </c>
      <c r="B798" t="s">
        <v>24</v>
      </c>
      <c r="C798" t="s">
        <v>25</v>
      </c>
      <c r="D798" t="str">
        <f>"Br. "&amp;Data[[#This Row],[Branch]]&amp;" ("&amp;Data[[#This Row],[City]]&amp;")"</f>
        <v>Br. C (Naypyitaw)</v>
      </c>
      <c r="E798" t="s">
        <v>19</v>
      </c>
      <c r="F798" t="s">
        <v>20</v>
      </c>
      <c r="G798" t="s">
        <v>31</v>
      </c>
      <c r="H798">
        <v>60.87</v>
      </c>
      <c r="I798">
        <v>1</v>
      </c>
      <c r="J798">
        <v>3.0434999999999999</v>
      </c>
      <c r="K798">
        <v>60.87</v>
      </c>
      <c r="L798" s="1">
        <v>44726</v>
      </c>
      <c r="M798" s="7">
        <f>DAY(Data[[#This Row],[Date]])</f>
        <v>14</v>
      </c>
      <c r="N798" s="7">
        <f>MONTH(Data[[#This Row],[Date]])</f>
        <v>6</v>
      </c>
      <c r="O798" s="7">
        <f>YEAR(Data[[#This Row],[Date]])</f>
        <v>2022</v>
      </c>
      <c r="P798" s="2">
        <v>0.55833333333333335</v>
      </c>
      <c r="Q798" t="s">
        <v>28</v>
      </c>
      <c r="R798">
        <v>42.609000000000002</v>
      </c>
      <c r="S798">
        <v>15.217499999999999</v>
      </c>
      <c r="T798">
        <v>5.5</v>
      </c>
    </row>
    <row r="799" spans="1:20" x14ac:dyDescent="0.55000000000000004">
      <c r="A799" t="s">
        <v>832</v>
      </c>
      <c r="B799" t="s">
        <v>17</v>
      </c>
      <c r="C799" t="s">
        <v>18</v>
      </c>
      <c r="D799" t="str">
        <f>"Br. "&amp;Data[[#This Row],[Branch]]&amp;" ("&amp;Data[[#This Row],[City]]&amp;")"</f>
        <v>Br. A (Yangon)</v>
      </c>
      <c r="E799" t="s">
        <v>19</v>
      </c>
      <c r="F799" t="s">
        <v>20</v>
      </c>
      <c r="G799" t="s">
        <v>35</v>
      </c>
      <c r="H799">
        <v>24.49</v>
      </c>
      <c r="I799">
        <v>10</v>
      </c>
      <c r="J799">
        <v>12.244999999999999</v>
      </c>
      <c r="K799">
        <v>244.9</v>
      </c>
      <c r="L799" s="1">
        <v>44726</v>
      </c>
      <c r="M799" s="7">
        <f>DAY(Data[[#This Row],[Date]])</f>
        <v>14</v>
      </c>
      <c r="N799" s="7">
        <f>MONTH(Data[[#This Row],[Date]])</f>
        <v>6</v>
      </c>
      <c r="O799" s="7">
        <f>YEAR(Data[[#This Row],[Date]])</f>
        <v>2022</v>
      </c>
      <c r="P799" s="2">
        <v>0.63541666666666663</v>
      </c>
      <c r="Q799" t="s">
        <v>28</v>
      </c>
      <c r="R799">
        <v>171.43</v>
      </c>
      <c r="S799">
        <v>61.225000000000001</v>
      </c>
      <c r="T799">
        <v>8.1</v>
      </c>
    </row>
    <row r="800" spans="1:20" x14ac:dyDescent="0.55000000000000004">
      <c r="A800" t="s">
        <v>833</v>
      </c>
      <c r="B800" t="s">
        <v>41</v>
      </c>
      <c r="C800" t="s">
        <v>42</v>
      </c>
      <c r="D800" t="str">
        <f>"Br. "&amp;Data[[#This Row],[Branch]]&amp;" ("&amp;Data[[#This Row],[City]]&amp;")"</f>
        <v>Br. B (Mandalay)</v>
      </c>
      <c r="E800" t="s">
        <v>26</v>
      </c>
      <c r="F800" t="s">
        <v>30</v>
      </c>
      <c r="G800" t="s">
        <v>21</v>
      </c>
      <c r="H800">
        <v>92.78</v>
      </c>
      <c r="I800">
        <v>1</v>
      </c>
      <c r="J800">
        <v>4.6390000000000002</v>
      </c>
      <c r="K800">
        <v>92.78</v>
      </c>
      <c r="L800" s="1">
        <v>44726</v>
      </c>
      <c r="M800" s="7">
        <f>DAY(Data[[#This Row],[Date]])</f>
        <v>14</v>
      </c>
      <c r="N800" s="7">
        <f>MONTH(Data[[#This Row],[Date]])</f>
        <v>6</v>
      </c>
      <c r="O800" s="7">
        <f>YEAR(Data[[#This Row],[Date]])</f>
        <v>2022</v>
      </c>
      <c r="P800" s="2">
        <v>0.4513888888888889</v>
      </c>
      <c r="Q800" t="s">
        <v>32</v>
      </c>
      <c r="R800">
        <v>64.945999999999998</v>
      </c>
      <c r="S800">
        <v>23.195</v>
      </c>
      <c r="T800">
        <v>9.8000000000000007</v>
      </c>
    </row>
    <row r="801" spans="1:20" x14ac:dyDescent="0.55000000000000004">
      <c r="A801" t="s">
        <v>834</v>
      </c>
      <c r="B801" t="s">
        <v>24</v>
      </c>
      <c r="C801" t="s">
        <v>25</v>
      </c>
      <c r="D801" t="str">
        <f>"Br. "&amp;Data[[#This Row],[Branch]]&amp;" ("&amp;Data[[#This Row],[City]]&amp;")"</f>
        <v>Br. C (Naypyitaw)</v>
      </c>
      <c r="E801" t="s">
        <v>19</v>
      </c>
      <c r="F801" t="s">
        <v>30</v>
      </c>
      <c r="G801" t="s">
        <v>31</v>
      </c>
      <c r="H801">
        <v>86.69</v>
      </c>
      <c r="I801">
        <v>5</v>
      </c>
      <c r="J801">
        <v>21.672499999999999</v>
      </c>
      <c r="K801">
        <v>433.45</v>
      </c>
      <c r="L801" s="1">
        <v>44726</v>
      </c>
      <c r="M801" s="7">
        <f>DAY(Data[[#This Row],[Date]])</f>
        <v>14</v>
      </c>
      <c r="N801" s="7">
        <f>MONTH(Data[[#This Row],[Date]])</f>
        <v>6</v>
      </c>
      <c r="O801" s="7">
        <f>YEAR(Data[[#This Row],[Date]])</f>
        <v>2022</v>
      </c>
      <c r="P801" s="2">
        <v>0.77638888888888891</v>
      </c>
      <c r="Q801" t="s">
        <v>22</v>
      </c>
      <c r="R801">
        <v>303.41500000000002</v>
      </c>
      <c r="S801">
        <v>108.3625</v>
      </c>
      <c r="T801">
        <v>9.4</v>
      </c>
    </row>
    <row r="802" spans="1:20" x14ac:dyDescent="0.55000000000000004">
      <c r="A802" t="s">
        <v>835</v>
      </c>
      <c r="B802" t="s">
        <v>41</v>
      </c>
      <c r="C802" t="s">
        <v>42</v>
      </c>
      <c r="D802" t="str">
        <f>"Br. "&amp;Data[[#This Row],[Branch]]&amp;" ("&amp;Data[[#This Row],[City]]&amp;")"</f>
        <v>Br. B (Mandalay)</v>
      </c>
      <c r="E802" t="s">
        <v>26</v>
      </c>
      <c r="F802" t="s">
        <v>30</v>
      </c>
      <c r="G802" t="s">
        <v>35</v>
      </c>
      <c r="H802">
        <v>23.01</v>
      </c>
      <c r="I802">
        <v>6</v>
      </c>
      <c r="J802">
        <v>6.9029999999999996</v>
      </c>
      <c r="K802">
        <v>138.06</v>
      </c>
      <c r="L802" s="1">
        <v>44726</v>
      </c>
      <c r="M802" s="7">
        <f>DAY(Data[[#This Row],[Date]])</f>
        <v>14</v>
      </c>
      <c r="N802" s="7">
        <f>MONTH(Data[[#This Row],[Date]])</f>
        <v>6</v>
      </c>
      <c r="O802" s="7">
        <f>YEAR(Data[[#This Row],[Date]])</f>
        <v>2022</v>
      </c>
      <c r="P802" s="2">
        <v>0.69791666666666663</v>
      </c>
      <c r="Q802" t="s">
        <v>22</v>
      </c>
      <c r="R802">
        <v>96.641999999999996</v>
      </c>
      <c r="S802">
        <v>34.515000000000001</v>
      </c>
      <c r="T802">
        <v>7.9</v>
      </c>
    </row>
    <row r="803" spans="1:20" x14ac:dyDescent="0.55000000000000004">
      <c r="A803" t="s">
        <v>836</v>
      </c>
      <c r="B803" t="s">
        <v>24</v>
      </c>
      <c r="C803" t="s">
        <v>25</v>
      </c>
      <c r="D803" t="str">
        <f>"Br. "&amp;Data[[#This Row],[Branch]]&amp;" ("&amp;Data[[#This Row],[City]]&amp;")"</f>
        <v>Br. C (Naypyitaw)</v>
      </c>
      <c r="E803" t="s">
        <v>19</v>
      </c>
      <c r="F803" t="s">
        <v>20</v>
      </c>
      <c r="G803" t="s">
        <v>27</v>
      </c>
      <c r="H803">
        <v>30.2</v>
      </c>
      <c r="I803">
        <v>8</v>
      </c>
      <c r="J803">
        <v>12.08</v>
      </c>
      <c r="K803">
        <v>241.6</v>
      </c>
      <c r="L803" s="1">
        <v>44726</v>
      </c>
      <c r="M803" s="7">
        <f>DAY(Data[[#This Row],[Date]])</f>
        <v>14</v>
      </c>
      <c r="N803" s="7">
        <f>MONTH(Data[[#This Row],[Date]])</f>
        <v>6</v>
      </c>
      <c r="O803" s="7">
        <f>YEAR(Data[[#This Row],[Date]])</f>
        <v>2022</v>
      </c>
      <c r="P803" s="2">
        <v>0.8125</v>
      </c>
      <c r="Q803" t="s">
        <v>22</v>
      </c>
      <c r="R803">
        <v>169.12</v>
      </c>
      <c r="S803">
        <v>60.4</v>
      </c>
      <c r="T803">
        <v>5.0999999999999996</v>
      </c>
    </row>
    <row r="804" spans="1:20" x14ac:dyDescent="0.55000000000000004">
      <c r="A804" t="s">
        <v>837</v>
      </c>
      <c r="B804" t="s">
        <v>24</v>
      </c>
      <c r="C804" t="s">
        <v>25</v>
      </c>
      <c r="D804" t="str">
        <f>"Br. "&amp;Data[[#This Row],[Branch]]&amp;" ("&amp;Data[[#This Row],[City]]&amp;")"</f>
        <v>Br. C (Naypyitaw)</v>
      </c>
      <c r="E804" t="s">
        <v>19</v>
      </c>
      <c r="F804" t="s">
        <v>30</v>
      </c>
      <c r="G804" t="s">
        <v>45</v>
      </c>
      <c r="H804">
        <v>67.39</v>
      </c>
      <c r="I804">
        <v>7</v>
      </c>
      <c r="J804">
        <v>23.586500000000001</v>
      </c>
      <c r="K804">
        <v>471.73</v>
      </c>
      <c r="L804" s="1">
        <v>44726</v>
      </c>
      <c r="M804" s="7">
        <f>DAY(Data[[#This Row],[Date]])</f>
        <v>14</v>
      </c>
      <c r="N804" s="7">
        <f>MONTH(Data[[#This Row],[Date]])</f>
        <v>6</v>
      </c>
      <c r="O804" s="7">
        <f>YEAR(Data[[#This Row],[Date]])</f>
        <v>2022</v>
      </c>
      <c r="P804" s="2">
        <v>0.55763888888888891</v>
      </c>
      <c r="Q804" t="s">
        <v>22</v>
      </c>
      <c r="R804">
        <v>330.21100000000001</v>
      </c>
      <c r="S804">
        <v>117.9325</v>
      </c>
      <c r="T804">
        <v>6.9</v>
      </c>
    </row>
    <row r="805" spans="1:20" x14ac:dyDescent="0.55000000000000004">
      <c r="A805" t="s">
        <v>838</v>
      </c>
      <c r="B805" t="s">
        <v>17</v>
      </c>
      <c r="C805" t="s">
        <v>18</v>
      </c>
      <c r="D805" t="str">
        <f>"Br. "&amp;Data[[#This Row],[Branch]]&amp;" ("&amp;Data[[#This Row],[City]]&amp;")"</f>
        <v>Br. A (Yangon)</v>
      </c>
      <c r="E805" t="s">
        <v>19</v>
      </c>
      <c r="F805" t="s">
        <v>20</v>
      </c>
      <c r="G805" t="s">
        <v>45</v>
      </c>
      <c r="H805">
        <v>48.96</v>
      </c>
      <c r="I805">
        <v>9</v>
      </c>
      <c r="J805">
        <v>22.032</v>
      </c>
      <c r="K805">
        <v>440.64</v>
      </c>
      <c r="L805" s="1">
        <v>44726</v>
      </c>
      <c r="M805" s="7">
        <f>DAY(Data[[#This Row],[Date]])</f>
        <v>14</v>
      </c>
      <c r="N805" s="7">
        <f>MONTH(Data[[#This Row],[Date]])</f>
        <v>6</v>
      </c>
      <c r="O805" s="7">
        <f>YEAR(Data[[#This Row],[Date]])</f>
        <v>2022</v>
      </c>
      <c r="P805" s="2">
        <v>0.47708333333333336</v>
      </c>
      <c r="Q805" t="s">
        <v>28</v>
      </c>
      <c r="R805">
        <v>308.44799999999998</v>
      </c>
      <c r="S805">
        <v>110.16</v>
      </c>
      <c r="T805">
        <v>8</v>
      </c>
    </row>
    <row r="806" spans="1:20" x14ac:dyDescent="0.55000000000000004">
      <c r="A806" t="s">
        <v>839</v>
      </c>
      <c r="B806" t="s">
        <v>41</v>
      </c>
      <c r="C806" t="s">
        <v>42</v>
      </c>
      <c r="D806" t="str">
        <f>"Br. "&amp;Data[[#This Row],[Branch]]&amp;" ("&amp;Data[[#This Row],[City]]&amp;")"</f>
        <v>Br. B (Mandalay)</v>
      </c>
      <c r="E806" t="s">
        <v>19</v>
      </c>
      <c r="F806" t="s">
        <v>20</v>
      </c>
      <c r="G806" t="s">
        <v>27</v>
      </c>
      <c r="H806">
        <v>75.59</v>
      </c>
      <c r="I806">
        <v>9</v>
      </c>
      <c r="J806">
        <v>34.015500000000003</v>
      </c>
      <c r="K806">
        <v>680.31</v>
      </c>
      <c r="L806" s="1">
        <v>44726</v>
      </c>
      <c r="M806" s="7">
        <f>DAY(Data[[#This Row],[Date]])</f>
        <v>14</v>
      </c>
      <c r="N806" s="7">
        <f>MONTH(Data[[#This Row],[Date]])</f>
        <v>6</v>
      </c>
      <c r="O806" s="7">
        <f>YEAR(Data[[#This Row],[Date]])</f>
        <v>2022</v>
      </c>
      <c r="P806" s="2">
        <v>0.46666666666666667</v>
      </c>
      <c r="Q806" t="s">
        <v>28</v>
      </c>
      <c r="R806">
        <v>476.21699999999998</v>
      </c>
      <c r="S806">
        <v>170.07749999999999</v>
      </c>
      <c r="T806">
        <v>8</v>
      </c>
    </row>
    <row r="807" spans="1:20" x14ac:dyDescent="0.55000000000000004">
      <c r="A807" t="s">
        <v>840</v>
      </c>
      <c r="B807" t="s">
        <v>17</v>
      </c>
      <c r="C807" t="s">
        <v>18</v>
      </c>
      <c r="D807" t="str">
        <f>"Br. "&amp;Data[[#This Row],[Branch]]&amp;" ("&amp;Data[[#This Row],[City]]&amp;")"</f>
        <v>Br. A (Yangon)</v>
      </c>
      <c r="E807" t="s">
        <v>26</v>
      </c>
      <c r="F807" t="s">
        <v>20</v>
      </c>
      <c r="G807" t="s">
        <v>31</v>
      </c>
      <c r="H807">
        <v>77.47</v>
      </c>
      <c r="I807">
        <v>4</v>
      </c>
      <c r="J807">
        <v>15.494</v>
      </c>
      <c r="K807">
        <v>309.88</v>
      </c>
      <c r="L807" s="1">
        <v>44726</v>
      </c>
      <c r="M807" s="7">
        <f>DAY(Data[[#This Row],[Date]])</f>
        <v>14</v>
      </c>
      <c r="N807" s="7">
        <f>MONTH(Data[[#This Row],[Date]])</f>
        <v>6</v>
      </c>
      <c r="O807" s="7">
        <f>YEAR(Data[[#This Row],[Date]])</f>
        <v>2022</v>
      </c>
      <c r="P807" s="2">
        <v>0.69166666666666665</v>
      </c>
      <c r="Q807" t="s">
        <v>28</v>
      </c>
      <c r="R807">
        <v>216.916</v>
      </c>
      <c r="S807">
        <v>77.47</v>
      </c>
      <c r="T807">
        <v>4.2</v>
      </c>
    </row>
    <row r="808" spans="1:20" x14ac:dyDescent="0.55000000000000004">
      <c r="A808" t="s">
        <v>841</v>
      </c>
      <c r="B808" t="s">
        <v>17</v>
      </c>
      <c r="C808" t="s">
        <v>18</v>
      </c>
      <c r="D808" t="str">
        <f>"Br. "&amp;Data[[#This Row],[Branch]]&amp;" ("&amp;Data[[#This Row],[City]]&amp;")"</f>
        <v>Br. A (Yangon)</v>
      </c>
      <c r="E808" t="s">
        <v>26</v>
      </c>
      <c r="F808" t="s">
        <v>20</v>
      </c>
      <c r="G808" t="s">
        <v>35</v>
      </c>
      <c r="H808">
        <v>93.18</v>
      </c>
      <c r="I808">
        <v>2</v>
      </c>
      <c r="J808">
        <v>9.3179999999999996</v>
      </c>
      <c r="K808">
        <v>186.36</v>
      </c>
      <c r="L808" s="1">
        <v>44726</v>
      </c>
      <c r="M808" s="7">
        <f>DAY(Data[[#This Row],[Date]])</f>
        <v>14</v>
      </c>
      <c r="N808" s="7">
        <f>MONTH(Data[[#This Row],[Date]])</f>
        <v>6</v>
      </c>
      <c r="O808" s="7">
        <f>YEAR(Data[[#This Row],[Date]])</f>
        <v>2022</v>
      </c>
      <c r="P808" s="2">
        <v>0.77847222222222223</v>
      </c>
      <c r="Q808" t="s">
        <v>32</v>
      </c>
      <c r="R808">
        <v>130.452</v>
      </c>
      <c r="S808">
        <v>46.59</v>
      </c>
      <c r="T808">
        <v>8.5</v>
      </c>
    </row>
    <row r="809" spans="1:20" x14ac:dyDescent="0.55000000000000004">
      <c r="A809" t="s">
        <v>842</v>
      </c>
      <c r="B809" t="s">
        <v>17</v>
      </c>
      <c r="C809" t="s">
        <v>18</v>
      </c>
      <c r="D809" t="str">
        <f>"Br. "&amp;Data[[#This Row],[Branch]]&amp;" ("&amp;Data[[#This Row],[City]]&amp;")"</f>
        <v>Br. A (Yangon)</v>
      </c>
      <c r="E809" t="s">
        <v>26</v>
      </c>
      <c r="F809" t="s">
        <v>20</v>
      </c>
      <c r="G809" t="s">
        <v>27</v>
      </c>
      <c r="H809">
        <v>50.23</v>
      </c>
      <c r="I809">
        <v>4</v>
      </c>
      <c r="J809">
        <v>10.045999999999999</v>
      </c>
      <c r="K809">
        <v>200.92</v>
      </c>
      <c r="L809" s="1">
        <v>44726</v>
      </c>
      <c r="M809" s="7">
        <f>DAY(Data[[#This Row],[Date]])</f>
        <v>14</v>
      </c>
      <c r="N809" s="7">
        <f>MONTH(Data[[#This Row],[Date]])</f>
        <v>6</v>
      </c>
      <c r="O809" s="7">
        <f>YEAR(Data[[#This Row],[Date]])</f>
        <v>2022</v>
      </c>
      <c r="P809" s="2">
        <v>0.71666666666666667</v>
      </c>
      <c r="Q809" t="s">
        <v>28</v>
      </c>
      <c r="R809">
        <v>140.64400000000001</v>
      </c>
      <c r="S809">
        <v>50.23</v>
      </c>
      <c r="T809">
        <v>9</v>
      </c>
    </row>
    <row r="810" spans="1:20" x14ac:dyDescent="0.55000000000000004">
      <c r="A810" t="s">
        <v>843</v>
      </c>
      <c r="B810" t="s">
        <v>41</v>
      </c>
      <c r="C810" t="s">
        <v>42</v>
      </c>
      <c r="D810" t="str">
        <f>"Br. "&amp;Data[[#This Row],[Branch]]&amp;" ("&amp;Data[[#This Row],[City]]&amp;")"</f>
        <v>Br. B (Mandalay)</v>
      </c>
      <c r="E810" t="s">
        <v>26</v>
      </c>
      <c r="F810" t="s">
        <v>20</v>
      </c>
      <c r="G810" t="s">
        <v>21</v>
      </c>
      <c r="H810">
        <v>17.75</v>
      </c>
      <c r="I810">
        <v>1</v>
      </c>
      <c r="J810">
        <v>0.88749999999999996</v>
      </c>
      <c r="K810">
        <v>17.75</v>
      </c>
      <c r="L810" s="1">
        <v>44726</v>
      </c>
      <c r="M810" s="7">
        <f>DAY(Data[[#This Row],[Date]])</f>
        <v>14</v>
      </c>
      <c r="N810" s="7">
        <f>MONTH(Data[[#This Row],[Date]])</f>
        <v>6</v>
      </c>
      <c r="O810" s="7">
        <f>YEAR(Data[[#This Row],[Date]])</f>
        <v>2022</v>
      </c>
      <c r="P810" s="2">
        <v>0.44305555555555554</v>
      </c>
      <c r="Q810" t="s">
        <v>28</v>
      </c>
      <c r="R810">
        <v>12.425000000000001</v>
      </c>
      <c r="S810">
        <v>4.4375</v>
      </c>
      <c r="T810">
        <v>8.6</v>
      </c>
    </row>
    <row r="811" spans="1:20" x14ac:dyDescent="0.55000000000000004">
      <c r="A811" t="s">
        <v>844</v>
      </c>
      <c r="B811" t="s">
        <v>24</v>
      </c>
      <c r="C811" t="s">
        <v>25</v>
      </c>
      <c r="D811" t="str">
        <f>"Br. "&amp;Data[[#This Row],[Branch]]&amp;" ("&amp;Data[[#This Row],[City]]&amp;")"</f>
        <v>Br. C (Naypyitaw)</v>
      </c>
      <c r="E811" t="s">
        <v>26</v>
      </c>
      <c r="F811" t="s">
        <v>20</v>
      </c>
      <c r="G811" t="s">
        <v>45</v>
      </c>
      <c r="H811">
        <v>62.18</v>
      </c>
      <c r="I811">
        <v>10</v>
      </c>
      <c r="J811">
        <v>31.09</v>
      </c>
      <c r="K811">
        <v>621.79999999999995</v>
      </c>
      <c r="L811" s="1">
        <v>44726</v>
      </c>
      <c r="M811" s="7">
        <f>DAY(Data[[#This Row],[Date]])</f>
        <v>14</v>
      </c>
      <c r="N811" s="7">
        <f>MONTH(Data[[#This Row],[Date]])</f>
        <v>6</v>
      </c>
      <c r="O811" s="7">
        <f>YEAR(Data[[#This Row],[Date]])</f>
        <v>2022</v>
      </c>
      <c r="P811" s="2">
        <v>0.43958333333333333</v>
      </c>
      <c r="Q811" t="s">
        <v>22</v>
      </c>
      <c r="R811">
        <v>435.26</v>
      </c>
      <c r="S811">
        <v>155.44999999999999</v>
      </c>
      <c r="T811">
        <v>6</v>
      </c>
    </row>
    <row r="812" spans="1:20" x14ac:dyDescent="0.55000000000000004">
      <c r="A812" t="s">
        <v>845</v>
      </c>
      <c r="B812" t="s">
        <v>41</v>
      </c>
      <c r="C812" t="s">
        <v>42</v>
      </c>
      <c r="D812" t="str">
        <f>"Br. "&amp;Data[[#This Row],[Branch]]&amp;" ("&amp;Data[[#This Row],[City]]&amp;")"</f>
        <v>Br. B (Mandalay)</v>
      </c>
      <c r="E812" t="s">
        <v>26</v>
      </c>
      <c r="F812" t="s">
        <v>30</v>
      </c>
      <c r="G812" t="s">
        <v>21</v>
      </c>
      <c r="H812">
        <v>10.75</v>
      </c>
      <c r="I812">
        <v>8</v>
      </c>
      <c r="J812">
        <v>4.3</v>
      </c>
      <c r="K812">
        <v>86</v>
      </c>
      <c r="L812" s="1">
        <v>44726</v>
      </c>
      <c r="M812" s="7">
        <f>DAY(Data[[#This Row],[Date]])</f>
        <v>14</v>
      </c>
      <c r="N812" s="7">
        <f>MONTH(Data[[#This Row],[Date]])</f>
        <v>6</v>
      </c>
      <c r="O812" s="7">
        <f>YEAR(Data[[#This Row],[Date]])</f>
        <v>2022</v>
      </c>
      <c r="P812" s="2">
        <v>0.60972222222222228</v>
      </c>
      <c r="Q812" t="s">
        <v>22</v>
      </c>
      <c r="R812">
        <v>60.2</v>
      </c>
      <c r="S812">
        <v>21.5</v>
      </c>
      <c r="T812">
        <v>6.2</v>
      </c>
    </row>
    <row r="813" spans="1:20" x14ac:dyDescent="0.55000000000000004">
      <c r="A813" t="s">
        <v>846</v>
      </c>
      <c r="B813" t="s">
        <v>17</v>
      </c>
      <c r="C813" t="s">
        <v>18</v>
      </c>
      <c r="D813" t="str">
        <f>"Br. "&amp;Data[[#This Row],[Branch]]&amp;" ("&amp;Data[[#This Row],[City]]&amp;")"</f>
        <v>Br. A (Yangon)</v>
      </c>
      <c r="E813" t="s">
        <v>26</v>
      </c>
      <c r="F813" t="s">
        <v>20</v>
      </c>
      <c r="G813" t="s">
        <v>27</v>
      </c>
      <c r="H813">
        <v>40.26</v>
      </c>
      <c r="I813">
        <v>10</v>
      </c>
      <c r="J813">
        <v>20.13</v>
      </c>
      <c r="K813">
        <v>402.6</v>
      </c>
      <c r="L813" s="1">
        <v>44726</v>
      </c>
      <c r="M813" s="7">
        <f>DAY(Data[[#This Row],[Date]])</f>
        <v>14</v>
      </c>
      <c r="N813" s="7">
        <f>MONTH(Data[[#This Row],[Date]])</f>
        <v>6</v>
      </c>
      <c r="O813" s="7">
        <f>YEAR(Data[[#This Row],[Date]])</f>
        <v>2022</v>
      </c>
      <c r="P813" s="2">
        <v>0.75416666666666665</v>
      </c>
      <c r="Q813" t="s">
        <v>32</v>
      </c>
      <c r="R813">
        <v>281.82</v>
      </c>
      <c r="S813">
        <v>100.65</v>
      </c>
      <c r="T813">
        <v>5</v>
      </c>
    </row>
    <row r="814" spans="1:20" x14ac:dyDescent="0.55000000000000004">
      <c r="A814" t="s">
        <v>847</v>
      </c>
      <c r="B814" t="s">
        <v>24</v>
      </c>
      <c r="C814" t="s">
        <v>25</v>
      </c>
      <c r="D814" t="str">
        <f>"Br. "&amp;Data[[#This Row],[Branch]]&amp;" ("&amp;Data[[#This Row],[City]]&amp;")"</f>
        <v>Br. C (Naypyitaw)</v>
      </c>
      <c r="E814" t="s">
        <v>19</v>
      </c>
      <c r="F814" t="s">
        <v>20</v>
      </c>
      <c r="G814" t="s">
        <v>35</v>
      </c>
      <c r="H814">
        <v>64.97</v>
      </c>
      <c r="I814">
        <v>5</v>
      </c>
      <c r="J814">
        <v>16.2425</v>
      </c>
      <c r="K814">
        <v>324.85000000000002</v>
      </c>
      <c r="L814" s="1">
        <v>44726</v>
      </c>
      <c r="M814" s="7">
        <f>DAY(Data[[#This Row],[Date]])</f>
        <v>14</v>
      </c>
      <c r="N814" s="7">
        <f>MONTH(Data[[#This Row],[Date]])</f>
        <v>6</v>
      </c>
      <c r="O814" s="7">
        <f>YEAR(Data[[#This Row],[Date]])</f>
        <v>2022</v>
      </c>
      <c r="P814" s="2">
        <v>0.53611111111111109</v>
      </c>
      <c r="Q814" t="s">
        <v>32</v>
      </c>
      <c r="R814">
        <v>227.39500000000001</v>
      </c>
      <c r="S814">
        <v>81.212500000000006</v>
      </c>
      <c r="T814">
        <v>6.5</v>
      </c>
    </row>
    <row r="815" spans="1:20" x14ac:dyDescent="0.55000000000000004">
      <c r="A815" t="s">
        <v>848</v>
      </c>
      <c r="B815" t="s">
        <v>17</v>
      </c>
      <c r="C815" t="s">
        <v>18</v>
      </c>
      <c r="D815" t="str">
        <f>"Br. "&amp;Data[[#This Row],[Branch]]&amp;" ("&amp;Data[[#This Row],[City]]&amp;")"</f>
        <v>Br. A (Yangon)</v>
      </c>
      <c r="E815" t="s">
        <v>26</v>
      </c>
      <c r="F815" t="s">
        <v>30</v>
      </c>
      <c r="G815" t="s">
        <v>27</v>
      </c>
      <c r="H815">
        <v>95.15</v>
      </c>
      <c r="I815">
        <v>1</v>
      </c>
      <c r="J815">
        <v>4.7575000000000003</v>
      </c>
      <c r="K815">
        <v>95.15</v>
      </c>
      <c r="L815" s="1">
        <v>44726</v>
      </c>
      <c r="M815" s="7">
        <f>DAY(Data[[#This Row],[Date]])</f>
        <v>14</v>
      </c>
      <c r="N815" s="7">
        <f>MONTH(Data[[#This Row],[Date]])</f>
        <v>6</v>
      </c>
      <c r="O815" s="7">
        <f>YEAR(Data[[#This Row],[Date]])</f>
        <v>2022</v>
      </c>
      <c r="P815" s="2">
        <v>0.58333333333333337</v>
      </c>
      <c r="Q815" t="s">
        <v>28</v>
      </c>
      <c r="R815">
        <v>66.605000000000004</v>
      </c>
      <c r="S815">
        <v>23.787500000000001</v>
      </c>
      <c r="T815">
        <v>6</v>
      </c>
    </row>
    <row r="816" spans="1:20" x14ac:dyDescent="0.55000000000000004">
      <c r="A816" t="s">
        <v>849</v>
      </c>
      <c r="B816" t="s">
        <v>17</v>
      </c>
      <c r="C816" t="s">
        <v>18</v>
      </c>
      <c r="D816" t="str">
        <f>"Br. "&amp;Data[[#This Row],[Branch]]&amp;" ("&amp;Data[[#This Row],[City]]&amp;")"</f>
        <v>Br. A (Yangon)</v>
      </c>
      <c r="E816" t="s">
        <v>19</v>
      </c>
      <c r="F816" t="s">
        <v>20</v>
      </c>
      <c r="G816" t="s">
        <v>27</v>
      </c>
      <c r="H816">
        <v>48.62</v>
      </c>
      <c r="I816">
        <v>8</v>
      </c>
      <c r="J816">
        <v>19.448</v>
      </c>
      <c r="K816">
        <v>388.96</v>
      </c>
      <c r="L816" s="1">
        <v>44726</v>
      </c>
      <c r="M816" s="7">
        <f>DAY(Data[[#This Row],[Date]])</f>
        <v>14</v>
      </c>
      <c r="N816" s="7">
        <f>MONTH(Data[[#This Row],[Date]])</f>
        <v>6</v>
      </c>
      <c r="O816" s="7">
        <f>YEAR(Data[[#This Row],[Date]])</f>
        <v>2022</v>
      </c>
      <c r="P816" s="2">
        <v>0.45624999999999999</v>
      </c>
      <c r="Q816" t="s">
        <v>28</v>
      </c>
      <c r="R816">
        <v>272.27199999999999</v>
      </c>
      <c r="S816">
        <v>97.24</v>
      </c>
      <c r="T816">
        <v>5</v>
      </c>
    </row>
    <row r="817" spans="1:20" x14ac:dyDescent="0.55000000000000004">
      <c r="A817" t="s">
        <v>850</v>
      </c>
      <c r="B817" t="s">
        <v>41</v>
      </c>
      <c r="C817" t="s">
        <v>42</v>
      </c>
      <c r="D817" t="str">
        <f>"Br. "&amp;Data[[#This Row],[Branch]]&amp;" ("&amp;Data[[#This Row],[City]]&amp;")"</f>
        <v>Br. B (Mandalay)</v>
      </c>
      <c r="E817" t="s">
        <v>26</v>
      </c>
      <c r="F817" t="s">
        <v>20</v>
      </c>
      <c r="G817" t="s">
        <v>43</v>
      </c>
      <c r="H817">
        <v>53.21</v>
      </c>
      <c r="I817">
        <v>8</v>
      </c>
      <c r="J817">
        <v>21.283999999999999</v>
      </c>
      <c r="K817">
        <v>425.68</v>
      </c>
      <c r="L817" s="1">
        <v>44726</v>
      </c>
      <c r="M817" s="7">
        <f>DAY(Data[[#This Row],[Date]])</f>
        <v>14</v>
      </c>
      <c r="N817" s="7">
        <f>MONTH(Data[[#This Row],[Date]])</f>
        <v>6</v>
      </c>
      <c r="O817" s="7">
        <f>YEAR(Data[[#This Row],[Date]])</f>
        <v>2022</v>
      </c>
      <c r="P817" s="2">
        <v>0.69791666666666663</v>
      </c>
      <c r="Q817" t="s">
        <v>22</v>
      </c>
      <c r="R817">
        <v>297.976</v>
      </c>
      <c r="S817">
        <v>106.42</v>
      </c>
      <c r="T817">
        <v>5</v>
      </c>
    </row>
    <row r="818" spans="1:20" x14ac:dyDescent="0.55000000000000004">
      <c r="A818" t="s">
        <v>851</v>
      </c>
      <c r="B818" t="s">
        <v>24</v>
      </c>
      <c r="C818" t="s">
        <v>25</v>
      </c>
      <c r="D818" t="str">
        <f>"Br. "&amp;Data[[#This Row],[Branch]]&amp;" ("&amp;Data[[#This Row],[City]]&amp;")"</f>
        <v>Br. C (Naypyitaw)</v>
      </c>
      <c r="E818" t="s">
        <v>26</v>
      </c>
      <c r="F818" t="s">
        <v>20</v>
      </c>
      <c r="G818" t="s">
        <v>45</v>
      </c>
      <c r="H818">
        <v>45.44</v>
      </c>
      <c r="I818">
        <v>7</v>
      </c>
      <c r="J818">
        <v>15.904</v>
      </c>
      <c r="K818">
        <v>318.08</v>
      </c>
      <c r="L818" s="1">
        <v>44726</v>
      </c>
      <c r="M818" s="7">
        <f>DAY(Data[[#This Row],[Date]])</f>
        <v>14</v>
      </c>
      <c r="N818" s="7">
        <f>MONTH(Data[[#This Row],[Date]])</f>
        <v>6</v>
      </c>
      <c r="O818" s="7">
        <f>YEAR(Data[[#This Row],[Date]])</f>
        <v>2022</v>
      </c>
      <c r="P818" s="2">
        <v>0.46875</v>
      </c>
      <c r="Q818" t="s">
        <v>28</v>
      </c>
      <c r="R818">
        <v>222.65600000000001</v>
      </c>
      <c r="S818">
        <v>79.52</v>
      </c>
      <c r="T818">
        <v>9.1999999999999993</v>
      </c>
    </row>
    <row r="819" spans="1:20" x14ac:dyDescent="0.55000000000000004">
      <c r="A819" t="s">
        <v>852</v>
      </c>
      <c r="B819" t="s">
        <v>17</v>
      </c>
      <c r="C819" t="s">
        <v>18</v>
      </c>
      <c r="D819" t="str">
        <f>"Br. "&amp;Data[[#This Row],[Branch]]&amp;" ("&amp;Data[[#This Row],[City]]&amp;")"</f>
        <v>Br. A (Yangon)</v>
      </c>
      <c r="E819" t="s">
        <v>26</v>
      </c>
      <c r="F819" t="s">
        <v>30</v>
      </c>
      <c r="G819" t="s">
        <v>43</v>
      </c>
      <c r="H819">
        <v>33.880000000000003</v>
      </c>
      <c r="I819">
        <v>8</v>
      </c>
      <c r="J819">
        <v>13.552</v>
      </c>
      <c r="K819">
        <v>271.04000000000002</v>
      </c>
      <c r="L819" s="1">
        <v>44726</v>
      </c>
      <c r="M819" s="7">
        <f>DAY(Data[[#This Row],[Date]])</f>
        <v>14</v>
      </c>
      <c r="N819" s="7">
        <f>MONTH(Data[[#This Row],[Date]])</f>
        <v>6</v>
      </c>
      <c r="O819" s="7">
        <f>YEAR(Data[[#This Row],[Date]])</f>
        <v>2022</v>
      </c>
      <c r="P819" s="2">
        <v>0.85347222222222219</v>
      </c>
      <c r="Q819" t="s">
        <v>22</v>
      </c>
      <c r="R819">
        <v>189.72800000000001</v>
      </c>
      <c r="S819">
        <v>67.760000000000005</v>
      </c>
      <c r="T819">
        <v>9.6</v>
      </c>
    </row>
    <row r="820" spans="1:20" x14ac:dyDescent="0.55000000000000004">
      <c r="A820" t="s">
        <v>853</v>
      </c>
      <c r="B820" t="s">
        <v>41</v>
      </c>
      <c r="C820" t="s">
        <v>42</v>
      </c>
      <c r="D820" t="str">
        <f>"Br. "&amp;Data[[#This Row],[Branch]]&amp;" ("&amp;Data[[#This Row],[City]]&amp;")"</f>
        <v>Br. B (Mandalay)</v>
      </c>
      <c r="E820" t="s">
        <v>19</v>
      </c>
      <c r="F820" t="s">
        <v>30</v>
      </c>
      <c r="G820" t="s">
        <v>21</v>
      </c>
      <c r="H820">
        <v>96.16</v>
      </c>
      <c r="I820">
        <v>4</v>
      </c>
      <c r="J820">
        <v>19.231999999999999</v>
      </c>
      <c r="K820">
        <v>384.64</v>
      </c>
      <c r="L820" s="1">
        <v>44726</v>
      </c>
      <c r="M820" s="7">
        <f>DAY(Data[[#This Row],[Date]])</f>
        <v>14</v>
      </c>
      <c r="N820" s="7">
        <f>MONTH(Data[[#This Row],[Date]])</f>
        <v>6</v>
      </c>
      <c r="O820" s="7">
        <f>YEAR(Data[[#This Row],[Date]])</f>
        <v>2022</v>
      </c>
      <c r="P820" s="2">
        <v>0.8354166666666667</v>
      </c>
      <c r="Q820" t="s">
        <v>32</v>
      </c>
      <c r="R820">
        <v>269.24799999999999</v>
      </c>
      <c r="S820">
        <v>96.16</v>
      </c>
      <c r="T820">
        <v>8.4</v>
      </c>
    </row>
    <row r="821" spans="1:20" x14ac:dyDescent="0.55000000000000004">
      <c r="A821" t="s">
        <v>854</v>
      </c>
      <c r="B821" t="s">
        <v>41</v>
      </c>
      <c r="C821" t="s">
        <v>42</v>
      </c>
      <c r="D821" t="str">
        <f>"Br. "&amp;Data[[#This Row],[Branch]]&amp;" ("&amp;Data[[#This Row],[City]]&amp;")"</f>
        <v>Br. B (Mandalay)</v>
      </c>
      <c r="E821" t="s">
        <v>19</v>
      </c>
      <c r="F821" t="s">
        <v>30</v>
      </c>
      <c r="G821" t="s">
        <v>43</v>
      </c>
      <c r="H821">
        <v>47.16</v>
      </c>
      <c r="I821">
        <v>5</v>
      </c>
      <c r="J821">
        <v>11.79</v>
      </c>
      <c r="K821">
        <v>235.8</v>
      </c>
      <c r="L821" s="1">
        <v>44726</v>
      </c>
      <c r="M821" s="7">
        <f>DAY(Data[[#This Row],[Date]])</f>
        <v>14</v>
      </c>
      <c r="N821" s="7">
        <f>MONTH(Data[[#This Row],[Date]])</f>
        <v>6</v>
      </c>
      <c r="O821" s="7">
        <f>YEAR(Data[[#This Row],[Date]])</f>
        <v>2022</v>
      </c>
      <c r="P821" s="2">
        <v>0.60763888888888884</v>
      </c>
      <c r="Q821" t="s">
        <v>32</v>
      </c>
      <c r="R821">
        <v>165.06</v>
      </c>
      <c r="S821">
        <v>58.95</v>
      </c>
      <c r="T821">
        <v>6</v>
      </c>
    </row>
    <row r="822" spans="1:20" x14ac:dyDescent="0.55000000000000004">
      <c r="A822" t="s">
        <v>855</v>
      </c>
      <c r="B822" t="s">
        <v>41</v>
      </c>
      <c r="C822" t="s">
        <v>42</v>
      </c>
      <c r="D822" t="str">
        <f>"Br. "&amp;Data[[#This Row],[Branch]]&amp;" ("&amp;Data[[#This Row],[City]]&amp;")"</f>
        <v>Br. B (Mandalay)</v>
      </c>
      <c r="E822" t="s">
        <v>26</v>
      </c>
      <c r="F822" t="s">
        <v>30</v>
      </c>
      <c r="G822" t="s">
        <v>27</v>
      </c>
      <c r="H822">
        <v>52.89</v>
      </c>
      <c r="I822">
        <v>4</v>
      </c>
      <c r="J822">
        <v>10.577999999999999</v>
      </c>
      <c r="K822">
        <v>211.56</v>
      </c>
      <c r="L822" s="1">
        <v>44726</v>
      </c>
      <c r="M822" s="7">
        <f>DAY(Data[[#This Row],[Date]])</f>
        <v>14</v>
      </c>
      <c r="N822" s="7">
        <f>MONTH(Data[[#This Row],[Date]])</f>
        <v>6</v>
      </c>
      <c r="O822" s="7">
        <f>YEAR(Data[[#This Row],[Date]])</f>
        <v>2022</v>
      </c>
      <c r="P822" s="2">
        <v>0.68888888888888888</v>
      </c>
      <c r="Q822" t="s">
        <v>22</v>
      </c>
      <c r="R822">
        <v>148.09200000000001</v>
      </c>
      <c r="S822">
        <v>52.89</v>
      </c>
      <c r="T822">
        <v>6.7</v>
      </c>
    </row>
    <row r="823" spans="1:20" x14ac:dyDescent="0.55000000000000004">
      <c r="A823" t="s">
        <v>856</v>
      </c>
      <c r="B823" t="s">
        <v>17</v>
      </c>
      <c r="C823" t="s">
        <v>18</v>
      </c>
      <c r="D823" t="str">
        <f>"Br. "&amp;Data[[#This Row],[Branch]]&amp;" ("&amp;Data[[#This Row],[City]]&amp;")"</f>
        <v>Br. A (Yangon)</v>
      </c>
      <c r="E823" t="s">
        <v>19</v>
      </c>
      <c r="F823" t="s">
        <v>20</v>
      </c>
      <c r="G823" t="s">
        <v>31</v>
      </c>
      <c r="H823">
        <v>47.68</v>
      </c>
      <c r="I823">
        <v>2</v>
      </c>
      <c r="J823">
        <v>4.7679999999999998</v>
      </c>
      <c r="K823">
        <v>95.36</v>
      </c>
      <c r="L823" s="1">
        <v>44726</v>
      </c>
      <c r="M823" s="7">
        <f>DAY(Data[[#This Row],[Date]])</f>
        <v>14</v>
      </c>
      <c r="N823" s="7">
        <f>MONTH(Data[[#This Row],[Date]])</f>
        <v>6</v>
      </c>
      <c r="O823" s="7">
        <f>YEAR(Data[[#This Row],[Date]])</f>
        <v>2022</v>
      </c>
      <c r="P823" s="2">
        <v>0.4236111111111111</v>
      </c>
      <c r="Q823" t="s">
        <v>32</v>
      </c>
      <c r="R823">
        <v>66.751999999999995</v>
      </c>
      <c r="S823">
        <v>23.84</v>
      </c>
      <c r="T823">
        <v>4.0999999999999996</v>
      </c>
    </row>
    <row r="824" spans="1:20" x14ac:dyDescent="0.55000000000000004">
      <c r="A824" t="s">
        <v>857</v>
      </c>
      <c r="B824" t="s">
        <v>24</v>
      </c>
      <c r="C824" t="s">
        <v>25</v>
      </c>
      <c r="D824" t="str">
        <f>"Br. "&amp;Data[[#This Row],[Branch]]&amp;" ("&amp;Data[[#This Row],[City]]&amp;")"</f>
        <v>Br. C (Naypyitaw)</v>
      </c>
      <c r="E824" t="s">
        <v>19</v>
      </c>
      <c r="F824" t="s">
        <v>30</v>
      </c>
      <c r="G824" t="s">
        <v>35</v>
      </c>
      <c r="H824">
        <v>10.17</v>
      </c>
      <c r="I824">
        <v>1</v>
      </c>
      <c r="J824">
        <v>0.50849999999999995</v>
      </c>
      <c r="K824">
        <v>10.17</v>
      </c>
      <c r="L824" s="1">
        <v>44726</v>
      </c>
      <c r="M824" s="7">
        <f>DAY(Data[[#This Row],[Date]])</f>
        <v>14</v>
      </c>
      <c r="N824" s="7">
        <f>MONTH(Data[[#This Row],[Date]])</f>
        <v>6</v>
      </c>
      <c r="O824" s="7">
        <f>YEAR(Data[[#This Row],[Date]])</f>
        <v>2022</v>
      </c>
      <c r="P824" s="2">
        <v>0.59375</v>
      </c>
      <c r="Q824" t="s">
        <v>28</v>
      </c>
      <c r="R824">
        <v>7.1189999999999998</v>
      </c>
      <c r="S824">
        <v>2.5425</v>
      </c>
      <c r="T824">
        <v>5.9</v>
      </c>
    </row>
    <row r="825" spans="1:20" x14ac:dyDescent="0.55000000000000004">
      <c r="A825" t="s">
        <v>858</v>
      </c>
      <c r="B825" t="s">
        <v>17</v>
      </c>
      <c r="C825" t="s">
        <v>18</v>
      </c>
      <c r="D825" t="str">
        <f>"Br. "&amp;Data[[#This Row],[Branch]]&amp;" ("&amp;Data[[#This Row],[City]]&amp;")"</f>
        <v>Br. A (Yangon)</v>
      </c>
      <c r="E825" t="s">
        <v>26</v>
      </c>
      <c r="F825" t="s">
        <v>20</v>
      </c>
      <c r="G825" t="s">
        <v>21</v>
      </c>
      <c r="H825">
        <v>68.709999999999994</v>
      </c>
      <c r="I825">
        <v>3</v>
      </c>
      <c r="J825">
        <v>10.3065</v>
      </c>
      <c r="K825">
        <v>206.13</v>
      </c>
      <c r="L825" s="1">
        <v>44726</v>
      </c>
      <c r="M825" s="7">
        <f>DAY(Data[[#This Row],[Date]])</f>
        <v>14</v>
      </c>
      <c r="N825" s="7">
        <f>MONTH(Data[[#This Row],[Date]])</f>
        <v>6</v>
      </c>
      <c r="O825" s="7">
        <f>YEAR(Data[[#This Row],[Date]])</f>
        <v>2022</v>
      </c>
      <c r="P825" s="2">
        <v>0.4201388888888889</v>
      </c>
      <c r="Q825" t="s">
        <v>28</v>
      </c>
      <c r="R825">
        <v>144.291</v>
      </c>
      <c r="S825">
        <v>51.532499999999999</v>
      </c>
      <c r="T825">
        <v>8.6999999999999993</v>
      </c>
    </row>
    <row r="826" spans="1:20" x14ac:dyDescent="0.55000000000000004">
      <c r="A826" t="s">
        <v>859</v>
      </c>
      <c r="B826" t="s">
        <v>41</v>
      </c>
      <c r="C826" t="s">
        <v>42</v>
      </c>
      <c r="D826" t="str">
        <f>"Br. "&amp;Data[[#This Row],[Branch]]&amp;" ("&amp;Data[[#This Row],[City]]&amp;")"</f>
        <v>Br. B (Mandalay)</v>
      </c>
      <c r="E826" t="s">
        <v>19</v>
      </c>
      <c r="F826" t="s">
        <v>20</v>
      </c>
      <c r="G826" t="s">
        <v>35</v>
      </c>
      <c r="H826">
        <v>60.08</v>
      </c>
      <c r="I826">
        <v>7</v>
      </c>
      <c r="J826">
        <v>21.027999999999999</v>
      </c>
      <c r="K826">
        <v>420.56</v>
      </c>
      <c r="L826" s="1">
        <v>44726</v>
      </c>
      <c r="M826" s="7">
        <f>DAY(Data[[#This Row],[Date]])</f>
        <v>14</v>
      </c>
      <c r="N826" s="7">
        <f>MONTH(Data[[#This Row],[Date]])</f>
        <v>6</v>
      </c>
      <c r="O826" s="7">
        <f>YEAR(Data[[#This Row],[Date]])</f>
        <v>2022</v>
      </c>
      <c r="P826" s="2">
        <v>0.48333333333333334</v>
      </c>
      <c r="Q826" t="s">
        <v>32</v>
      </c>
      <c r="R826">
        <v>294.392</v>
      </c>
      <c r="S826">
        <v>105.14</v>
      </c>
      <c r="T826">
        <v>4.5</v>
      </c>
    </row>
    <row r="827" spans="1:20" x14ac:dyDescent="0.55000000000000004">
      <c r="A827" t="s">
        <v>860</v>
      </c>
      <c r="B827" t="s">
        <v>17</v>
      </c>
      <c r="C827" t="s">
        <v>18</v>
      </c>
      <c r="D827" t="str">
        <f>"Br. "&amp;Data[[#This Row],[Branch]]&amp;" ("&amp;Data[[#This Row],[City]]&amp;")"</f>
        <v>Br. A (Yangon)</v>
      </c>
      <c r="E827" t="s">
        <v>19</v>
      </c>
      <c r="F827" t="s">
        <v>20</v>
      </c>
      <c r="G827" t="s">
        <v>35</v>
      </c>
      <c r="H827">
        <v>22.01</v>
      </c>
      <c r="I827">
        <v>4</v>
      </c>
      <c r="J827">
        <v>4.4020000000000001</v>
      </c>
      <c r="K827">
        <v>88.04</v>
      </c>
      <c r="L827" s="1">
        <v>44726</v>
      </c>
      <c r="M827" s="7">
        <f>DAY(Data[[#This Row],[Date]])</f>
        <v>14</v>
      </c>
      <c r="N827" s="7">
        <f>MONTH(Data[[#This Row],[Date]])</f>
        <v>6</v>
      </c>
      <c r="O827" s="7">
        <f>YEAR(Data[[#This Row],[Date]])</f>
        <v>2022</v>
      </c>
      <c r="P827" s="2">
        <v>0.76041666666666663</v>
      </c>
      <c r="Q827" t="s">
        <v>32</v>
      </c>
      <c r="R827">
        <v>61.628</v>
      </c>
      <c r="S827">
        <v>22.01</v>
      </c>
      <c r="T827">
        <v>6.6</v>
      </c>
    </row>
    <row r="828" spans="1:20" x14ac:dyDescent="0.55000000000000004">
      <c r="A828" t="s">
        <v>861</v>
      </c>
      <c r="B828" t="s">
        <v>41</v>
      </c>
      <c r="C828" t="s">
        <v>42</v>
      </c>
      <c r="D828" t="str">
        <f>"Br. "&amp;Data[[#This Row],[Branch]]&amp;" ("&amp;Data[[#This Row],[City]]&amp;")"</f>
        <v>Br. B (Mandalay)</v>
      </c>
      <c r="E828" t="s">
        <v>19</v>
      </c>
      <c r="F828" t="s">
        <v>20</v>
      </c>
      <c r="G828" t="s">
        <v>21</v>
      </c>
      <c r="H828">
        <v>72.11</v>
      </c>
      <c r="I828">
        <v>9</v>
      </c>
      <c r="J828">
        <v>32.4495</v>
      </c>
      <c r="K828">
        <v>648.99</v>
      </c>
      <c r="L828" s="1">
        <v>44726</v>
      </c>
      <c r="M828" s="7">
        <f>DAY(Data[[#This Row],[Date]])</f>
        <v>14</v>
      </c>
      <c r="N828" s="7">
        <f>MONTH(Data[[#This Row],[Date]])</f>
        <v>6</v>
      </c>
      <c r="O828" s="7">
        <f>YEAR(Data[[#This Row],[Date]])</f>
        <v>2022</v>
      </c>
      <c r="P828" s="2">
        <v>0.57847222222222228</v>
      </c>
      <c r="Q828" t="s">
        <v>32</v>
      </c>
      <c r="R828">
        <v>454.29300000000001</v>
      </c>
      <c r="S828">
        <v>162.2475</v>
      </c>
      <c r="T828">
        <v>7.7</v>
      </c>
    </row>
    <row r="829" spans="1:20" x14ac:dyDescent="0.55000000000000004">
      <c r="A829" t="s">
        <v>862</v>
      </c>
      <c r="B829" t="s">
        <v>17</v>
      </c>
      <c r="C829" t="s">
        <v>18</v>
      </c>
      <c r="D829" t="str">
        <f>"Br. "&amp;Data[[#This Row],[Branch]]&amp;" ("&amp;Data[[#This Row],[City]]&amp;")"</f>
        <v>Br. A (Yangon)</v>
      </c>
      <c r="E829" t="s">
        <v>19</v>
      </c>
      <c r="F829" t="s">
        <v>30</v>
      </c>
      <c r="G829" t="s">
        <v>45</v>
      </c>
      <c r="H829">
        <v>41.28</v>
      </c>
      <c r="I829">
        <v>3</v>
      </c>
      <c r="J829">
        <v>6.1920000000000002</v>
      </c>
      <c r="K829">
        <v>123.84</v>
      </c>
      <c r="L829" s="1">
        <v>44726</v>
      </c>
      <c r="M829" s="7">
        <f>DAY(Data[[#This Row],[Date]])</f>
        <v>14</v>
      </c>
      <c r="N829" s="7">
        <f>MONTH(Data[[#This Row],[Date]])</f>
        <v>6</v>
      </c>
      <c r="O829" s="7">
        <f>YEAR(Data[[#This Row],[Date]])</f>
        <v>2022</v>
      </c>
      <c r="P829" s="2">
        <v>0.77569444444444446</v>
      </c>
      <c r="Q829" t="s">
        <v>32</v>
      </c>
      <c r="R829">
        <v>86.688000000000002</v>
      </c>
      <c r="S829">
        <v>30.96</v>
      </c>
      <c r="T829">
        <v>8.5</v>
      </c>
    </row>
    <row r="830" spans="1:20" x14ac:dyDescent="0.55000000000000004">
      <c r="A830" t="s">
        <v>863</v>
      </c>
      <c r="B830" t="s">
        <v>24</v>
      </c>
      <c r="C830" t="s">
        <v>25</v>
      </c>
      <c r="D830" t="str">
        <f>"Br. "&amp;Data[[#This Row],[Branch]]&amp;" ("&amp;Data[[#This Row],[City]]&amp;")"</f>
        <v>Br. C (Naypyitaw)</v>
      </c>
      <c r="E830" t="s">
        <v>26</v>
      </c>
      <c r="F830" t="s">
        <v>30</v>
      </c>
      <c r="G830" t="s">
        <v>27</v>
      </c>
      <c r="H830">
        <v>64.95</v>
      </c>
      <c r="I830">
        <v>10</v>
      </c>
      <c r="J830">
        <v>32.475000000000001</v>
      </c>
      <c r="K830">
        <v>649.5</v>
      </c>
      <c r="L830" s="1">
        <v>44726</v>
      </c>
      <c r="M830" s="7">
        <f>DAY(Data[[#This Row],[Date]])</f>
        <v>14</v>
      </c>
      <c r="N830" s="7">
        <f>MONTH(Data[[#This Row],[Date]])</f>
        <v>6</v>
      </c>
      <c r="O830" s="7">
        <f>YEAR(Data[[#This Row],[Date]])</f>
        <v>2022</v>
      </c>
      <c r="P830" s="2">
        <v>0.76875000000000004</v>
      </c>
      <c r="Q830" t="s">
        <v>28</v>
      </c>
      <c r="R830">
        <v>454.65</v>
      </c>
      <c r="S830">
        <v>162.375</v>
      </c>
      <c r="T830">
        <v>5.2</v>
      </c>
    </row>
    <row r="831" spans="1:20" x14ac:dyDescent="0.55000000000000004">
      <c r="A831" t="s">
        <v>864</v>
      </c>
      <c r="B831" t="s">
        <v>17</v>
      </c>
      <c r="C831" t="s">
        <v>18</v>
      </c>
      <c r="D831" t="str">
        <f>"Br. "&amp;Data[[#This Row],[Branch]]&amp;" ("&amp;Data[[#This Row],[City]]&amp;")"</f>
        <v>Br. A (Yangon)</v>
      </c>
      <c r="E831" t="s">
        <v>19</v>
      </c>
      <c r="F831" t="s">
        <v>20</v>
      </c>
      <c r="G831" t="s">
        <v>27</v>
      </c>
      <c r="H831">
        <v>74.22</v>
      </c>
      <c r="I831">
        <v>10</v>
      </c>
      <c r="J831">
        <v>37.11</v>
      </c>
      <c r="K831">
        <v>742.2</v>
      </c>
      <c r="L831" s="1">
        <v>44726</v>
      </c>
      <c r="M831" s="7">
        <f>DAY(Data[[#This Row],[Date]])</f>
        <v>14</v>
      </c>
      <c r="N831" s="7">
        <f>MONTH(Data[[#This Row],[Date]])</f>
        <v>6</v>
      </c>
      <c r="O831" s="7">
        <f>YEAR(Data[[#This Row],[Date]])</f>
        <v>2022</v>
      </c>
      <c r="P831" s="2">
        <v>0.61250000000000004</v>
      </c>
      <c r="Q831" t="s">
        <v>32</v>
      </c>
      <c r="R831">
        <v>519.54</v>
      </c>
      <c r="S831">
        <v>185.55</v>
      </c>
      <c r="T831">
        <v>4.3</v>
      </c>
    </row>
    <row r="832" spans="1:20" x14ac:dyDescent="0.55000000000000004">
      <c r="A832" t="s">
        <v>865</v>
      </c>
      <c r="B832" t="s">
        <v>17</v>
      </c>
      <c r="C832" t="s">
        <v>18</v>
      </c>
      <c r="D832" t="str">
        <f>"Br. "&amp;Data[[#This Row],[Branch]]&amp;" ("&amp;Data[[#This Row],[City]]&amp;")"</f>
        <v>Br. A (Yangon)</v>
      </c>
      <c r="E832" t="s">
        <v>26</v>
      </c>
      <c r="F832" t="s">
        <v>30</v>
      </c>
      <c r="G832" t="s">
        <v>27</v>
      </c>
      <c r="H832">
        <v>10.56</v>
      </c>
      <c r="I832">
        <v>8</v>
      </c>
      <c r="J832">
        <v>4.2240000000000002</v>
      </c>
      <c r="K832">
        <v>84.48</v>
      </c>
      <c r="L832" s="1">
        <v>44726</v>
      </c>
      <c r="M832" s="7">
        <f>DAY(Data[[#This Row],[Date]])</f>
        <v>14</v>
      </c>
      <c r="N832" s="7">
        <f>MONTH(Data[[#This Row],[Date]])</f>
        <v>6</v>
      </c>
      <c r="O832" s="7">
        <f>YEAR(Data[[#This Row],[Date]])</f>
        <v>2022</v>
      </c>
      <c r="P832" s="2">
        <v>0.73819444444444449</v>
      </c>
      <c r="Q832" t="s">
        <v>28</v>
      </c>
      <c r="R832">
        <v>59.136000000000003</v>
      </c>
      <c r="S832">
        <v>21.12</v>
      </c>
      <c r="T832">
        <v>7.6</v>
      </c>
    </row>
    <row r="833" spans="1:20" x14ac:dyDescent="0.55000000000000004">
      <c r="A833" t="s">
        <v>866</v>
      </c>
      <c r="B833" t="s">
        <v>41</v>
      </c>
      <c r="C833" t="s">
        <v>42</v>
      </c>
      <c r="D833" t="str">
        <f>"Br. "&amp;Data[[#This Row],[Branch]]&amp;" ("&amp;Data[[#This Row],[City]]&amp;")"</f>
        <v>Br. B (Mandalay)</v>
      </c>
      <c r="E833" t="s">
        <v>26</v>
      </c>
      <c r="F833" t="s">
        <v>30</v>
      </c>
      <c r="G833" t="s">
        <v>21</v>
      </c>
      <c r="H833">
        <v>62.57</v>
      </c>
      <c r="I833">
        <v>4</v>
      </c>
      <c r="J833">
        <v>12.513999999999999</v>
      </c>
      <c r="K833">
        <v>250.28</v>
      </c>
      <c r="L833" s="1">
        <v>44726</v>
      </c>
      <c r="M833" s="7">
        <f>DAY(Data[[#This Row],[Date]])</f>
        <v>14</v>
      </c>
      <c r="N833" s="7">
        <f>MONTH(Data[[#This Row],[Date]])</f>
        <v>6</v>
      </c>
      <c r="O833" s="7">
        <f>YEAR(Data[[#This Row],[Date]])</f>
        <v>2022</v>
      </c>
      <c r="P833" s="2">
        <v>0.77569444444444446</v>
      </c>
      <c r="Q833" t="s">
        <v>28</v>
      </c>
      <c r="R833">
        <v>175.196</v>
      </c>
      <c r="S833">
        <v>62.57</v>
      </c>
      <c r="T833">
        <v>9.5</v>
      </c>
    </row>
    <row r="834" spans="1:20" x14ac:dyDescent="0.55000000000000004">
      <c r="A834" t="s">
        <v>867</v>
      </c>
      <c r="B834" t="s">
        <v>41</v>
      </c>
      <c r="C834" t="s">
        <v>42</v>
      </c>
      <c r="D834" t="str">
        <f>"Br. "&amp;Data[[#This Row],[Branch]]&amp;" ("&amp;Data[[#This Row],[City]]&amp;")"</f>
        <v>Br. B (Mandalay)</v>
      </c>
      <c r="E834" t="s">
        <v>19</v>
      </c>
      <c r="F834" t="s">
        <v>20</v>
      </c>
      <c r="G834" t="s">
        <v>35</v>
      </c>
      <c r="H834">
        <v>11.85</v>
      </c>
      <c r="I834">
        <v>8</v>
      </c>
      <c r="J834">
        <v>4.74</v>
      </c>
      <c r="K834">
        <v>94.8</v>
      </c>
      <c r="L834" s="1">
        <v>44726</v>
      </c>
      <c r="M834" s="7">
        <f>DAY(Data[[#This Row],[Date]])</f>
        <v>14</v>
      </c>
      <c r="N834" s="7">
        <f>MONTH(Data[[#This Row],[Date]])</f>
        <v>6</v>
      </c>
      <c r="O834" s="7">
        <f>YEAR(Data[[#This Row],[Date]])</f>
        <v>2022</v>
      </c>
      <c r="P834" s="2">
        <v>0.69027777777777777</v>
      </c>
      <c r="Q834" t="s">
        <v>28</v>
      </c>
      <c r="R834">
        <v>66.36</v>
      </c>
      <c r="S834">
        <v>23.7</v>
      </c>
      <c r="T834">
        <v>4.0999999999999996</v>
      </c>
    </row>
    <row r="835" spans="1:20" x14ac:dyDescent="0.55000000000000004">
      <c r="A835" t="s">
        <v>868</v>
      </c>
      <c r="B835" t="s">
        <v>17</v>
      </c>
      <c r="C835" t="s">
        <v>18</v>
      </c>
      <c r="D835" t="str">
        <f>"Br. "&amp;Data[[#This Row],[Branch]]&amp;" ("&amp;Data[[#This Row],[City]]&amp;")"</f>
        <v>Br. A (Yangon)</v>
      </c>
      <c r="E835" t="s">
        <v>19</v>
      </c>
      <c r="F835" t="s">
        <v>30</v>
      </c>
      <c r="G835" t="s">
        <v>21</v>
      </c>
      <c r="H835">
        <v>91.3</v>
      </c>
      <c r="I835">
        <v>1</v>
      </c>
      <c r="J835">
        <v>4.5650000000000004</v>
      </c>
      <c r="K835">
        <v>91.3</v>
      </c>
      <c r="L835" s="1">
        <v>44726</v>
      </c>
      <c r="M835" s="7">
        <f>DAY(Data[[#This Row],[Date]])</f>
        <v>14</v>
      </c>
      <c r="N835" s="7">
        <f>MONTH(Data[[#This Row],[Date]])</f>
        <v>6</v>
      </c>
      <c r="O835" s="7">
        <f>YEAR(Data[[#This Row],[Date]])</f>
        <v>2022</v>
      </c>
      <c r="P835" s="2">
        <v>0.61250000000000004</v>
      </c>
      <c r="Q835" t="s">
        <v>22</v>
      </c>
      <c r="R835">
        <v>63.91</v>
      </c>
      <c r="S835">
        <v>22.824999999999999</v>
      </c>
      <c r="T835">
        <v>9.1999999999999993</v>
      </c>
    </row>
    <row r="836" spans="1:20" x14ac:dyDescent="0.55000000000000004">
      <c r="A836" t="s">
        <v>869</v>
      </c>
      <c r="B836" t="s">
        <v>41</v>
      </c>
      <c r="C836" t="s">
        <v>42</v>
      </c>
      <c r="D836" t="str">
        <f>"Br. "&amp;Data[[#This Row],[Branch]]&amp;" ("&amp;Data[[#This Row],[City]]&amp;")"</f>
        <v>Br. B (Mandalay)</v>
      </c>
      <c r="E836" t="s">
        <v>19</v>
      </c>
      <c r="F836" t="s">
        <v>20</v>
      </c>
      <c r="G836" t="s">
        <v>31</v>
      </c>
      <c r="H836">
        <v>40.729999999999997</v>
      </c>
      <c r="I836">
        <v>7</v>
      </c>
      <c r="J836">
        <v>14.2555</v>
      </c>
      <c r="K836">
        <v>285.11</v>
      </c>
      <c r="L836" s="1">
        <v>44726</v>
      </c>
      <c r="M836" s="7">
        <f>DAY(Data[[#This Row],[Date]])</f>
        <v>14</v>
      </c>
      <c r="N836" s="7">
        <f>MONTH(Data[[#This Row],[Date]])</f>
        <v>6</v>
      </c>
      <c r="O836" s="7">
        <f>YEAR(Data[[#This Row],[Date]])</f>
        <v>2022</v>
      </c>
      <c r="P836" s="2">
        <v>0.45902777777777776</v>
      </c>
      <c r="Q836" t="s">
        <v>22</v>
      </c>
      <c r="R836">
        <v>199.577</v>
      </c>
      <c r="S836">
        <v>71.277500000000003</v>
      </c>
      <c r="T836">
        <v>5.4</v>
      </c>
    </row>
    <row r="837" spans="1:20" x14ac:dyDescent="0.55000000000000004">
      <c r="A837" t="s">
        <v>870</v>
      </c>
      <c r="B837" t="s">
        <v>17</v>
      </c>
      <c r="C837" t="s">
        <v>18</v>
      </c>
      <c r="D837" t="str">
        <f>"Br. "&amp;Data[[#This Row],[Branch]]&amp;" ("&amp;Data[[#This Row],[City]]&amp;")"</f>
        <v>Br. A (Yangon)</v>
      </c>
      <c r="E837" t="s">
        <v>26</v>
      </c>
      <c r="F837" t="s">
        <v>30</v>
      </c>
      <c r="G837" t="s">
        <v>45</v>
      </c>
      <c r="H837">
        <v>52.38</v>
      </c>
      <c r="I837">
        <v>1</v>
      </c>
      <c r="J837">
        <v>2.6190000000000002</v>
      </c>
      <c r="K837">
        <v>52.38</v>
      </c>
      <c r="L837" s="1">
        <v>44726</v>
      </c>
      <c r="M837" s="7">
        <f>DAY(Data[[#This Row],[Date]])</f>
        <v>14</v>
      </c>
      <c r="N837" s="7">
        <f>MONTH(Data[[#This Row],[Date]])</f>
        <v>6</v>
      </c>
      <c r="O837" s="7">
        <f>YEAR(Data[[#This Row],[Date]])</f>
        <v>2022</v>
      </c>
      <c r="P837" s="2">
        <v>0.82222222222222219</v>
      </c>
      <c r="Q837" t="s">
        <v>28</v>
      </c>
      <c r="R837">
        <v>36.665999999999997</v>
      </c>
      <c r="S837">
        <v>13.095000000000001</v>
      </c>
      <c r="T837">
        <v>5.8</v>
      </c>
    </row>
    <row r="838" spans="1:20" x14ac:dyDescent="0.55000000000000004">
      <c r="A838" t="s">
        <v>871</v>
      </c>
      <c r="B838" t="s">
        <v>17</v>
      </c>
      <c r="C838" t="s">
        <v>18</v>
      </c>
      <c r="D838" t="str">
        <f>"Br. "&amp;Data[[#This Row],[Branch]]&amp;" ("&amp;Data[[#This Row],[City]]&amp;")"</f>
        <v>Br. A (Yangon)</v>
      </c>
      <c r="E838" t="s">
        <v>19</v>
      </c>
      <c r="F838" t="s">
        <v>30</v>
      </c>
      <c r="G838" t="s">
        <v>45</v>
      </c>
      <c r="H838">
        <v>38.54</v>
      </c>
      <c r="I838">
        <v>5</v>
      </c>
      <c r="J838">
        <v>9.6349999999999998</v>
      </c>
      <c r="K838">
        <v>192.7</v>
      </c>
      <c r="L838" s="1">
        <v>44726</v>
      </c>
      <c r="M838" s="7">
        <f>DAY(Data[[#This Row],[Date]])</f>
        <v>14</v>
      </c>
      <c r="N838" s="7">
        <f>MONTH(Data[[#This Row],[Date]])</f>
        <v>6</v>
      </c>
      <c r="O838" s="7">
        <f>YEAR(Data[[#This Row],[Date]])</f>
        <v>2022</v>
      </c>
      <c r="P838" s="2">
        <v>0.56527777777777777</v>
      </c>
      <c r="Q838" t="s">
        <v>22</v>
      </c>
      <c r="R838">
        <v>134.88999999999999</v>
      </c>
      <c r="S838">
        <v>48.174999999999997</v>
      </c>
      <c r="T838">
        <v>5.6</v>
      </c>
    </row>
    <row r="839" spans="1:20" x14ac:dyDescent="0.55000000000000004">
      <c r="A839" t="s">
        <v>872</v>
      </c>
      <c r="B839" t="s">
        <v>41</v>
      </c>
      <c r="C839" t="s">
        <v>42</v>
      </c>
      <c r="D839" t="str">
        <f>"Br. "&amp;Data[[#This Row],[Branch]]&amp;" ("&amp;Data[[#This Row],[City]]&amp;")"</f>
        <v>Br. B (Mandalay)</v>
      </c>
      <c r="E839" t="s">
        <v>26</v>
      </c>
      <c r="F839" t="s">
        <v>30</v>
      </c>
      <c r="G839" t="s">
        <v>35</v>
      </c>
      <c r="H839">
        <v>44.63</v>
      </c>
      <c r="I839">
        <v>6</v>
      </c>
      <c r="J839">
        <v>13.388999999999999</v>
      </c>
      <c r="K839">
        <v>267.77999999999997</v>
      </c>
      <c r="L839" s="1">
        <v>44726</v>
      </c>
      <c r="M839" s="7">
        <f>DAY(Data[[#This Row],[Date]])</f>
        <v>14</v>
      </c>
      <c r="N839" s="7">
        <f>MONTH(Data[[#This Row],[Date]])</f>
        <v>6</v>
      </c>
      <c r="O839" s="7">
        <f>YEAR(Data[[#This Row],[Date]])</f>
        <v>2022</v>
      </c>
      <c r="P839" s="2">
        <v>0.83888888888888891</v>
      </c>
      <c r="Q839" t="s">
        <v>32</v>
      </c>
      <c r="R839">
        <v>187.446</v>
      </c>
      <c r="S839">
        <v>66.944999999999993</v>
      </c>
      <c r="T839">
        <v>5.0999999999999996</v>
      </c>
    </row>
    <row r="840" spans="1:20" x14ac:dyDescent="0.55000000000000004">
      <c r="A840" t="s">
        <v>873</v>
      </c>
      <c r="B840" t="s">
        <v>24</v>
      </c>
      <c r="C840" t="s">
        <v>25</v>
      </c>
      <c r="D840" t="str">
        <f>"Br. "&amp;Data[[#This Row],[Branch]]&amp;" ("&amp;Data[[#This Row],[City]]&amp;")"</f>
        <v>Br. C (Naypyitaw)</v>
      </c>
      <c r="E840" t="s">
        <v>26</v>
      </c>
      <c r="F840" t="s">
        <v>30</v>
      </c>
      <c r="G840" t="s">
        <v>27</v>
      </c>
      <c r="H840">
        <v>55.87</v>
      </c>
      <c r="I840">
        <v>10</v>
      </c>
      <c r="J840">
        <v>27.934999999999999</v>
      </c>
      <c r="K840">
        <v>558.70000000000005</v>
      </c>
      <c r="L840" s="1">
        <v>44726</v>
      </c>
      <c r="M840" s="7">
        <f>DAY(Data[[#This Row],[Date]])</f>
        <v>14</v>
      </c>
      <c r="N840" s="7">
        <f>MONTH(Data[[#This Row],[Date]])</f>
        <v>6</v>
      </c>
      <c r="O840" s="7">
        <f>YEAR(Data[[#This Row],[Date]])</f>
        <v>2022</v>
      </c>
      <c r="P840" s="2">
        <v>0.62569444444444444</v>
      </c>
      <c r="Q840" t="s">
        <v>28</v>
      </c>
      <c r="R840">
        <v>391.09</v>
      </c>
      <c r="S840">
        <v>139.67500000000001</v>
      </c>
      <c r="T840">
        <v>5.8</v>
      </c>
    </row>
    <row r="841" spans="1:20" x14ac:dyDescent="0.55000000000000004">
      <c r="A841" t="s">
        <v>874</v>
      </c>
      <c r="B841" t="s">
        <v>24</v>
      </c>
      <c r="C841" t="s">
        <v>25</v>
      </c>
      <c r="D841" t="str">
        <f>"Br. "&amp;Data[[#This Row],[Branch]]&amp;" ("&amp;Data[[#This Row],[City]]&amp;")"</f>
        <v>Br. C (Naypyitaw)</v>
      </c>
      <c r="E841" t="s">
        <v>19</v>
      </c>
      <c r="F841" t="s">
        <v>20</v>
      </c>
      <c r="G841" t="s">
        <v>35</v>
      </c>
      <c r="H841">
        <v>29.22</v>
      </c>
      <c r="I841">
        <v>6</v>
      </c>
      <c r="J841">
        <v>8.766</v>
      </c>
      <c r="K841">
        <v>175.32</v>
      </c>
      <c r="L841" s="1">
        <v>44726</v>
      </c>
      <c r="M841" s="7">
        <f>DAY(Data[[#This Row],[Date]])</f>
        <v>14</v>
      </c>
      <c r="N841" s="7">
        <f>MONTH(Data[[#This Row],[Date]])</f>
        <v>6</v>
      </c>
      <c r="O841" s="7">
        <f>YEAR(Data[[#This Row],[Date]])</f>
        <v>2022</v>
      </c>
      <c r="P841" s="2">
        <v>0.4861111111111111</v>
      </c>
      <c r="Q841" t="s">
        <v>22</v>
      </c>
      <c r="R841">
        <v>122.724</v>
      </c>
      <c r="S841">
        <v>43.83</v>
      </c>
      <c r="T841">
        <v>5</v>
      </c>
    </row>
    <row r="842" spans="1:20" x14ac:dyDescent="0.55000000000000004">
      <c r="A842" t="s">
        <v>875</v>
      </c>
      <c r="B842" t="s">
        <v>17</v>
      </c>
      <c r="C842" t="s">
        <v>18</v>
      </c>
      <c r="D842" t="str">
        <f>"Br. "&amp;Data[[#This Row],[Branch]]&amp;" ("&amp;Data[[#This Row],[City]]&amp;")"</f>
        <v>Br. A (Yangon)</v>
      </c>
      <c r="E842" t="s">
        <v>26</v>
      </c>
      <c r="F842" t="s">
        <v>30</v>
      </c>
      <c r="G842" t="s">
        <v>45</v>
      </c>
      <c r="H842">
        <v>51.94</v>
      </c>
      <c r="I842">
        <v>3</v>
      </c>
      <c r="J842">
        <v>7.7910000000000004</v>
      </c>
      <c r="K842">
        <v>155.82</v>
      </c>
      <c r="L842" s="1">
        <v>44726</v>
      </c>
      <c r="M842" s="7">
        <f>DAY(Data[[#This Row],[Date]])</f>
        <v>14</v>
      </c>
      <c r="N842" s="7">
        <f>MONTH(Data[[#This Row],[Date]])</f>
        <v>6</v>
      </c>
      <c r="O842" s="7">
        <f>YEAR(Data[[#This Row],[Date]])</f>
        <v>2022</v>
      </c>
      <c r="P842" s="2">
        <v>0.63958333333333328</v>
      </c>
      <c r="Q842" t="s">
        <v>28</v>
      </c>
      <c r="R842">
        <v>109.074</v>
      </c>
      <c r="S842">
        <v>38.954999999999998</v>
      </c>
      <c r="T842">
        <v>7.9</v>
      </c>
    </row>
    <row r="843" spans="1:20" x14ac:dyDescent="0.55000000000000004">
      <c r="A843" t="s">
        <v>876</v>
      </c>
      <c r="B843" t="s">
        <v>41</v>
      </c>
      <c r="C843" t="s">
        <v>42</v>
      </c>
      <c r="D843" t="str">
        <f>"Br. "&amp;Data[[#This Row],[Branch]]&amp;" ("&amp;Data[[#This Row],[City]]&amp;")"</f>
        <v>Br. B (Mandalay)</v>
      </c>
      <c r="E843" t="s">
        <v>26</v>
      </c>
      <c r="F843" t="s">
        <v>30</v>
      </c>
      <c r="G843" t="s">
        <v>27</v>
      </c>
      <c r="H843">
        <v>60.3</v>
      </c>
      <c r="I843">
        <v>1</v>
      </c>
      <c r="J843">
        <v>3.0150000000000001</v>
      </c>
      <c r="K843">
        <v>60.3</v>
      </c>
      <c r="L843" s="1">
        <v>44726</v>
      </c>
      <c r="M843" s="7">
        <f>DAY(Data[[#This Row],[Date]])</f>
        <v>14</v>
      </c>
      <c r="N843" s="7">
        <f>MONTH(Data[[#This Row],[Date]])</f>
        <v>6</v>
      </c>
      <c r="O843" s="7">
        <f>YEAR(Data[[#This Row],[Date]])</f>
        <v>2022</v>
      </c>
      <c r="P843" s="2">
        <v>0.73472222222222228</v>
      </c>
      <c r="Q843" t="s">
        <v>28</v>
      </c>
      <c r="R843">
        <v>42.21</v>
      </c>
      <c r="S843">
        <v>15.074999999999999</v>
      </c>
      <c r="T843">
        <v>6</v>
      </c>
    </row>
    <row r="844" spans="1:20" x14ac:dyDescent="0.55000000000000004">
      <c r="A844" t="s">
        <v>877</v>
      </c>
      <c r="B844" t="s">
        <v>17</v>
      </c>
      <c r="C844" t="s">
        <v>18</v>
      </c>
      <c r="D844" t="str">
        <f>"Br. "&amp;Data[[#This Row],[Branch]]&amp;" ("&amp;Data[[#This Row],[City]]&amp;")"</f>
        <v>Br. A (Yangon)</v>
      </c>
      <c r="E844" t="s">
        <v>19</v>
      </c>
      <c r="F844" t="s">
        <v>20</v>
      </c>
      <c r="G844" t="s">
        <v>35</v>
      </c>
      <c r="H844">
        <v>39.47</v>
      </c>
      <c r="I844">
        <v>2</v>
      </c>
      <c r="J844">
        <v>3.9470000000000001</v>
      </c>
      <c r="K844">
        <v>78.94</v>
      </c>
      <c r="L844" s="1">
        <v>44726</v>
      </c>
      <c r="M844" s="7">
        <f>DAY(Data[[#This Row],[Date]])</f>
        <v>14</v>
      </c>
      <c r="N844" s="7">
        <f>MONTH(Data[[#This Row],[Date]])</f>
        <v>6</v>
      </c>
      <c r="O844" s="7">
        <f>YEAR(Data[[#This Row],[Date]])</f>
        <v>2022</v>
      </c>
      <c r="P844" s="2">
        <v>0.67777777777777781</v>
      </c>
      <c r="Q844" t="s">
        <v>32</v>
      </c>
      <c r="R844">
        <v>55.258000000000003</v>
      </c>
      <c r="S844">
        <v>19.734999999999999</v>
      </c>
      <c r="T844">
        <v>5</v>
      </c>
    </row>
    <row r="845" spans="1:20" x14ac:dyDescent="0.55000000000000004">
      <c r="A845" t="s">
        <v>878</v>
      </c>
      <c r="B845" t="s">
        <v>24</v>
      </c>
      <c r="C845" t="s">
        <v>25</v>
      </c>
      <c r="D845" t="str">
        <f>"Br. "&amp;Data[[#This Row],[Branch]]&amp;" ("&amp;Data[[#This Row],[City]]&amp;")"</f>
        <v>Br. C (Naypyitaw)</v>
      </c>
      <c r="E845" t="s">
        <v>19</v>
      </c>
      <c r="F845" t="s">
        <v>20</v>
      </c>
      <c r="G845" t="s">
        <v>43</v>
      </c>
      <c r="H845">
        <v>14.87</v>
      </c>
      <c r="I845">
        <v>2</v>
      </c>
      <c r="J845">
        <v>1.4870000000000001</v>
      </c>
      <c r="K845">
        <v>29.74</v>
      </c>
      <c r="L845" s="1">
        <v>44726</v>
      </c>
      <c r="M845" s="7">
        <f>DAY(Data[[#This Row],[Date]])</f>
        <v>14</v>
      </c>
      <c r="N845" s="7">
        <f>MONTH(Data[[#This Row],[Date]])</f>
        <v>6</v>
      </c>
      <c r="O845" s="7">
        <f>YEAR(Data[[#This Row],[Date]])</f>
        <v>2022</v>
      </c>
      <c r="P845" s="2">
        <v>0.76041666666666663</v>
      </c>
      <c r="Q845" t="s">
        <v>32</v>
      </c>
      <c r="R845">
        <v>20.818000000000001</v>
      </c>
      <c r="S845">
        <v>7.4349999999999996</v>
      </c>
      <c r="T845">
        <v>8.9</v>
      </c>
    </row>
    <row r="846" spans="1:20" x14ac:dyDescent="0.55000000000000004">
      <c r="A846" t="s">
        <v>879</v>
      </c>
      <c r="B846" t="s">
        <v>17</v>
      </c>
      <c r="C846" t="s">
        <v>18</v>
      </c>
      <c r="D846" t="str">
        <f>"Br. "&amp;Data[[#This Row],[Branch]]&amp;" ("&amp;Data[[#This Row],[City]]&amp;")"</f>
        <v>Br. A (Yangon)</v>
      </c>
      <c r="E846" t="s">
        <v>26</v>
      </c>
      <c r="F846" t="s">
        <v>30</v>
      </c>
      <c r="G846" t="s">
        <v>45</v>
      </c>
      <c r="H846">
        <v>21.32</v>
      </c>
      <c r="I846">
        <v>1</v>
      </c>
      <c r="J846">
        <v>1.0660000000000001</v>
      </c>
      <c r="K846">
        <v>21.32</v>
      </c>
      <c r="L846" s="1">
        <v>44726</v>
      </c>
      <c r="M846" s="7">
        <f>DAY(Data[[#This Row],[Date]])</f>
        <v>14</v>
      </c>
      <c r="N846" s="7">
        <f>MONTH(Data[[#This Row],[Date]])</f>
        <v>6</v>
      </c>
      <c r="O846" s="7">
        <f>YEAR(Data[[#This Row],[Date]])</f>
        <v>2022</v>
      </c>
      <c r="P846" s="2">
        <v>0.52986111111111112</v>
      </c>
      <c r="Q846" t="s">
        <v>28</v>
      </c>
      <c r="R846">
        <v>14.923999999999999</v>
      </c>
      <c r="S846">
        <v>5.33</v>
      </c>
      <c r="T846">
        <v>5.9</v>
      </c>
    </row>
    <row r="847" spans="1:20" x14ac:dyDescent="0.55000000000000004">
      <c r="A847" t="s">
        <v>880</v>
      </c>
      <c r="B847" t="s">
        <v>17</v>
      </c>
      <c r="C847" t="s">
        <v>18</v>
      </c>
      <c r="D847" t="str">
        <f>"Br. "&amp;Data[[#This Row],[Branch]]&amp;" ("&amp;Data[[#This Row],[City]]&amp;")"</f>
        <v>Br. A (Yangon)</v>
      </c>
      <c r="E847" t="s">
        <v>19</v>
      </c>
      <c r="F847" t="s">
        <v>30</v>
      </c>
      <c r="G847" t="s">
        <v>27</v>
      </c>
      <c r="H847">
        <v>93.78</v>
      </c>
      <c r="I847">
        <v>3</v>
      </c>
      <c r="J847">
        <v>14.067</v>
      </c>
      <c r="K847">
        <v>281.33999999999997</v>
      </c>
      <c r="L847" s="1">
        <v>44726</v>
      </c>
      <c r="M847" s="7">
        <f>DAY(Data[[#This Row],[Date]])</f>
        <v>14</v>
      </c>
      <c r="N847" s="7">
        <f>MONTH(Data[[#This Row],[Date]])</f>
        <v>6</v>
      </c>
      <c r="O847" s="7">
        <f>YEAR(Data[[#This Row],[Date]])</f>
        <v>2022</v>
      </c>
      <c r="P847" s="2">
        <v>0.48055555555555557</v>
      </c>
      <c r="Q847" t="s">
        <v>32</v>
      </c>
      <c r="R847">
        <v>196.93799999999999</v>
      </c>
      <c r="S847">
        <v>70.334999999999994</v>
      </c>
      <c r="T847">
        <v>5.9</v>
      </c>
    </row>
    <row r="848" spans="1:20" x14ac:dyDescent="0.55000000000000004">
      <c r="A848" t="s">
        <v>881</v>
      </c>
      <c r="B848" t="s">
        <v>17</v>
      </c>
      <c r="C848" t="s">
        <v>18</v>
      </c>
      <c r="D848" t="str">
        <f>"Br. "&amp;Data[[#This Row],[Branch]]&amp;" ("&amp;Data[[#This Row],[City]]&amp;")"</f>
        <v>Br. A (Yangon)</v>
      </c>
      <c r="E848" t="s">
        <v>19</v>
      </c>
      <c r="F848" t="s">
        <v>30</v>
      </c>
      <c r="G848" t="s">
        <v>27</v>
      </c>
      <c r="H848">
        <v>73.260000000000005</v>
      </c>
      <c r="I848">
        <v>1</v>
      </c>
      <c r="J848">
        <v>3.6629999999999998</v>
      </c>
      <c r="K848">
        <v>73.260000000000005</v>
      </c>
      <c r="L848" s="1">
        <v>44726</v>
      </c>
      <c r="M848" s="7">
        <f>DAY(Data[[#This Row],[Date]])</f>
        <v>14</v>
      </c>
      <c r="N848" s="7">
        <f>MONTH(Data[[#This Row],[Date]])</f>
        <v>6</v>
      </c>
      <c r="O848" s="7">
        <f>YEAR(Data[[#This Row],[Date]])</f>
        <v>2022</v>
      </c>
      <c r="P848" s="2">
        <v>0.75555555555555554</v>
      </c>
      <c r="Q848" t="s">
        <v>22</v>
      </c>
      <c r="R848">
        <v>51.281999999999996</v>
      </c>
      <c r="S848">
        <v>18.315000000000001</v>
      </c>
      <c r="T848">
        <v>9.6999999999999993</v>
      </c>
    </row>
    <row r="849" spans="1:20" x14ac:dyDescent="0.55000000000000004">
      <c r="A849" t="s">
        <v>882</v>
      </c>
      <c r="B849" t="s">
        <v>24</v>
      </c>
      <c r="C849" t="s">
        <v>25</v>
      </c>
      <c r="D849" t="str">
        <f>"Br. "&amp;Data[[#This Row],[Branch]]&amp;" ("&amp;Data[[#This Row],[City]]&amp;")"</f>
        <v>Br. C (Naypyitaw)</v>
      </c>
      <c r="E849" t="s">
        <v>26</v>
      </c>
      <c r="F849" t="s">
        <v>20</v>
      </c>
      <c r="G849" t="s">
        <v>35</v>
      </c>
      <c r="H849">
        <v>22.38</v>
      </c>
      <c r="I849">
        <v>1</v>
      </c>
      <c r="J849">
        <v>1.119</v>
      </c>
      <c r="K849">
        <v>22.38</v>
      </c>
      <c r="L849" s="1">
        <v>44726</v>
      </c>
      <c r="M849" s="7">
        <f>DAY(Data[[#This Row],[Date]])</f>
        <v>14</v>
      </c>
      <c r="N849" s="7">
        <f>MONTH(Data[[#This Row],[Date]])</f>
        <v>6</v>
      </c>
      <c r="O849" s="7">
        <f>YEAR(Data[[#This Row],[Date]])</f>
        <v>2022</v>
      </c>
      <c r="P849" s="2">
        <v>0.71388888888888891</v>
      </c>
      <c r="Q849" t="s">
        <v>32</v>
      </c>
      <c r="R849">
        <v>15.666</v>
      </c>
      <c r="S849">
        <v>5.5949999999999998</v>
      </c>
      <c r="T849">
        <v>8.6</v>
      </c>
    </row>
    <row r="850" spans="1:20" x14ac:dyDescent="0.55000000000000004">
      <c r="A850" t="s">
        <v>883</v>
      </c>
      <c r="B850" t="s">
        <v>24</v>
      </c>
      <c r="C850" t="s">
        <v>25</v>
      </c>
      <c r="D850" t="str">
        <f>"Br. "&amp;Data[[#This Row],[Branch]]&amp;" ("&amp;Data[[#This Row],[City]]&amp;")"</f>
        <v>Br. C (Naypyitaw)</v>
      </c>
      <c r="E850" t="s">
        <v>19</v>
      </c>
      <c r="F850" t="s">
        <v>20</v>
      </c>
      <c r="G850" t="s">
        <v>43</v>
      </c>
      <c r="H850">
        <v>72.88</v>
      </c>
      <c r="I850">
        <v>9</v>
      </c>
      <c r="J850">
        <v>32.795999999999999</v>
      </c>
      <c r="K850">
        <v>655.92</v>
      </c>
      <c r="L850" s="1">
        <v>44726</v>
      </c>
      <c r="M850" s="7">
        <f>DAY(Data[[#This Row],[Date]])</f>
        <v>14</v>
      </c>
      <c r="N850" s="7">
        <f>MONTH(Data[[#This Row],[Date]])</f>
        <v>6</v>
      </c>
      <c r="O850" s="7">
        <f>YEAR(Data[[#This Row],[Date]])</f>
        <v>2022</v>
      </c>
      <c r="P850" s="2">
        <v>0.81805555555555554</v>
      </c>
      <c r="Q850" t="s">
        <v>28</v>
      </c>
      <c r="R850">
        <v>459.14400000000001</v>
      </c>
      <c r="S850">
        <v>163.98</v>
      </c>
      <c r="T850">
        <v>4</v>
      </c>
    </row>
    <row r="851" spans="1:20" x14ac:dyDescent="0.55000000000000004">
      <c r="A851" t="s">
        <v>884</v>
      </c>
      <c r="B851" t="s">
        <v>17</v>
      </c>
      <c r="C851" t="s">
        <v>18</v>
      </c>
      <c r="D851" t="str">
        <f>"Br. "&amp;Data[[#This Row],[Branch]]&amp;" ("&amp;Data[[#This Row],[City]]&amp;")"</f>
        <v>Br. A (Yangon)</v>
      </c>
      <c r="E851" t="s">
        <v>26</v>
      </c>
      <c r="F851" t="s">
        <v>20</v>
      </c>
      <c r="G851" t="s">
        <v>45</v>
      </c>
      <c r="H851">
        <v>99.1</v>
      </c>
      <c r="I851">
        <v>6</v>
      </c>
      <c r="J851">
        <v>29.73</v>
      </c>
      <c r="K851">
        <v>594.6</v>
      </c>
      <c r="L851" s="1">
        <v>44726</v>
      </c>
      <c r="M851" s="7">
        <f>DAY(Data[[#This Row],[Date]])</f>
        <v>14</v>
      </c>
      <c r="N851" s="7">
        <f>MONTH(Data[[#This Row],[Date]])</f>
        <v>6</v>
      </c>
      <c r="O851" s="7">
        <f>YEAR(Data[[#This Row],[Date]])</f>
        <v>2022</v>
      </c>
      <c r="P851" s="2">
        <v>0.5493055555555556</v>
      </c>
      <c r="Q851" t="s">
        <v>28</v>
      </c>
      <c r="R851">
        <v>416.22</v>
      </c>
      <c r="S851">
        <v>148.65</v>
      </c>
      <c r="T851">
        <v>4.2</v>
      </c>
    </row>
    <row r="852" spans="1:20" x14ac:dyDescent="0.55000000000000004">
      <c r="A852" t="s">
        <v>885</v>
      </c>
      <c r="B852" t="s">
        <v>17</v>
      </c>
      <c r="C852" t="s">
        <v>18</v>
      </c>
      <c r="D852" t="str">
        <f>"Br. "&amp;Data[[#This Row],[Branch]]&amp;" ("&amp;Data[[#This Row],[City]]&amp;")"</f>
        <v>Br. A (Yangon)</v>
      </c>
      <c r="E852" t="s">
        <v>26</v>
      </c>
      <c r="F852" t="s">
        <v>30</v>
      </c>
      <c r="G852" t="s">
        <v>45</v>
      </c>
      <c r="H852">
        <v>74.099999999999994</v>
      </c>
      <c r="I852">
        <v>1</v>
      </c>
      <c r="J852">
        <v>3.7050000000000001</v>
      </c>
      <c r="K852">
        <v>74.099999999999994</v>
      </c>
      <c r="L852" s="1">
        <v>44726</v>
      </c>
      <c r="M852" s="7">
        <f>DAY(Data[[#This Row],[Date]])</f>
        <v>14</v>
      </c>
      <c r="N852" s="7">
        <f>MONTH(Data[[#This Row],[Date]])</f>
        <v>6</v>
      </c>
      <c r="O852" s="7">
        <f>YEAR(Data[[#This Row],[Date]])</f>
        <v>2022</v>
      </c>
      <c r="P852" s="2">
        <v>0.46180555555555558</v>
      </c>
      <c r="Q852" t="s">
        <v>28</v>
      </c>
      <c r="R852">
        <v>51.87</v>
      </c>
      <c r="S852">
        <v>18.524999999999999</v>
      </c>
      <c r="T852">
        <v>9.1999999999999993</v>
      </c>
    </row>
    <row r="853" spans="1:20" x14ac:dyDescent="0.55000000000000004">
      <c r="A853" t="s">
        <v>886</v>
      </c>
      <c r="B853" t="s">
        <v>17</v>
      </c>
      <c r="C853" t="s">
        <v>18</v>
      </c>
      <c r="D853" t="str">
        <f>"Br. "&amp;Data[[#This Row],[Branch]]&amp;" ("&amp;Data[[#This Row],[City]]&amp;")"</f>
        <v>Br. A (Yangon)</v>
      </c>
      <c r="E853" t="s">
        <v>26</v>
      </c>
      <c r="F853" t="s">
        <v>20</v>
      </c>
      <c r="G853" t="s">
        <v>45</v>
      </c>
      <c r="H853">
        <v>98.48</v>
      </c>
      <c r="I853">
        <v>2</v>
      </c>
      <c r="J853">
        <v>9.8480000000000008</v>
      </c>
      <c r="K853">
        <v>196.96</v>
      </c>
      <c r="L853" s="1">
        <v>44726</v>
      </c>
      <c r="M853" s="7">
        <f>DAY(Data[[#This Row],[Date]])</f>
        <v>14</v>
      </c>
      <c r="N853" s="7">
        <f>MONTH(Data[[#This Row],[Date]])</f>
        <v>6</v>
      </c>
      <c r="O853" s="7">
        <f>YEAR(Data[[#This Row],[Date]])</f>
        <v>2022</v>
      </c>
      <c r="P853" s="2">
        <v>0.42499999999999999</v>
      </c>
      <c r="Q853" t="s">
        <v>22</v>
      </c>
      <c r="R853">
        <v>137.87200000000001</v>
      </c>
      <c r="S853">
        <v>49.24</v>
      </c>
      <c r="T853">
        <v>9.1999999999999993</v>
      </c>
    </row>
    <row r="854" spans="1:20" x14ac:dyDescent="0.55000000000000004">
      <c r="A854" t="s">
        <v>887</v>
      </c>
      <c r="B854" t="s">
        <v>24</v>
      </c>
      <c r="C854" t="s">
        <v>25</v>
      </c>
      <c r="D854" t="str">
        <f>"Br. "&amp;Data[[#This Row],[Branch]]&amp;" ("&amp;Data[[#This Row],[City]]&amp;")"</f>
        <v>Br. C (Naypyitaw)</v>
      </c>
      <c r="E854" t="s">
        <v>26</v>
      </c>
      <c r="F854" t="s">
        <v>30</v>
      </c>
      <c r="G854" t="s">
        <v>21</v>
      </c>
      <c r="H854">
        <v>53.19</v>
      </c>
      <c r="I854">
        <v>7</v>
      </c>
      <c r="J854">
        <v>18.616499999999998</v>
      </c>
      <c r="K854">
        <v>372.33</v>
      </c>
      <c r="L854" s="1">
        <v>44726</v>
      </c>
      <c r="M854" s="7">
        <f>DAY(Data[[#This Row],[Date]])</f>
        <v>14</v>
      </c>
      <c r="N854" s="7">
        <f>MONTH(Data[[#This Row],[Date]])</f>
        <v>6</v>
      </c>
      <c r="O854" s="7">
        <f>YEAR(Data[[#This Row],[Date]])</f>
        <v>2022</v>
      </c>
      <c r="P854" s="2">
        <v>0.65416666666666667</v>
      </c>
      <c r="Q854" t="s">
        <v>22</v>
      </c>
      <c r="R854">
        <v>260.63099999999997</v>
      </c>
      <c r="S854">
        <v>93.082499999999996</v>
      </c>
      <c r="T854">
        <v>5</v>
      </c>
    </row>
    <row r="855" spans="1:20" x14ac:dyDescent="0.55000000000000004">
      <c r="A855" t="s">
        <v>888</v>
      </c>
      <c r="B855" t="s">
        <v>41</v>
      </c>
      <c r="C855" t="s">
        <v>42</v>
      </c>
      <c r="D855" t="str">
        <f>"Br. "&amp;Data[[#This Row],[Branch]]&amp;" ("&amp;Data[[#This Row],[City]]&amp;")"</f>
        <v>Br. B (Mandalay)</v>
      </c>
      <c r="E855" t="s">
        <v>26</v>
      </c>
      <c r="F855" t="s">
        <v>20</v>
      </c>
      <c r="G855" t="s">
        <v>27</v>
      </c>
      <c r="H855">
        <v>52.79</v>
      </c>
      <c r="I855">
        <v>10</v>
      </c>
      <c r="J855">
        <v>26.395</v>
      </c>
      <c r="K855">
        <v>527.9</v>
      </c>
      <c r="L855" s="1">
        <v>44726</v>
      </c>
      <c r="M855" s="7">
        <f>DAY(Data[[#This Row],[Date]])</f>
        <v>14</v>
      </c>
      <c r="N855" s="7">
        <f>MONTH(Data[[#This Row],[Date]])</f>
        <v>6</v>
      </c>
      <c r="O855" s="7">
        <f>YEAR(Data[[#This Row],[Date]])</f>
        <v>2022</v>
      </c>
      <c r="P855" s="2">
        <v>0.49861111111111112</v>
      </c>
      <c r="Q855" t="s">
        <v>22</v>
      </c>
      <c r="R855">
        <v>369.53</v>
      </c>
      <c r="S855">
        <v>131.97499999999999</v>
      </c>
      <c r="T855">
        <v>10</v>
      </c>
    </row>
    <row r="856" spans="1:20" x14ac:dyDescent="0.55000000000000004">
      <c r="A856" t="s">
        <v>889</v>
      </c>
      <c r="B856" t="s">
        <v>17</v>
      </c>
      <c r="C856" t="s">
        <v>18</v>
      </c>
      <c r="D856" t="str">
        <f>"Br. "&amp;Data[[#This Row],[Branch]]&amp;" ("&amp;Data[[#This Row],[City]]&amp;")"</f>
        <v>Br. A (Yangon)</v>
      </c>
      <c r="E856" t="s">
        <v>19</v>
      </c>
      <c r="F856" t="s">
        <v>20</v>
      </c>
      <c r="G856" t="s">
        <v>21</v>
      </c>
      <c r="H856">
        <v>95.95</v>
      </c>
      <c r="I856">
        <v>5</v>
      </c>
      <c r="J856">
        <v>23.987500000000001</v>
      </c>
      <c r="K856">
        <v>479.75</v>
      </c>
      <c r="L856" s="1">
        <v>44726</v>
      </c>
      <c r="M856" s="7">
        <f>DAY(Data[[#This Row],[Date]])</f>
        <v>14</v>
      </c>
      <c r="N856" s="7">
        <f>MONTH(Data[[#This Row],[Date]])</f>
        <v>6</v>
      </c>
      <c r="O856" s="7">
        <f>YEAR(Data[[#This Row],[Date]])</f>
        <v>2022</v>
      </c>
      <c r="P856" s="2">
        <v>0.59791666666666665</v>
      </c>
      <c r="Q856" t="s">
        <v>22</v>
      </c>
      <c r="R856">
        <v>335.82499999999999</v>
      </c>
      <c r="S856">
        <v>119.9375</v>
      </c>
      <c r="T856">
        <v>8.8000000000000007</v>
      </c>
    </row>
    <row r="857" spans="1:20" x14ac:dyDescent="0.55000000000000004">
      <c r="A857" t="s">
        <v>890</v>
      </c>
      <c r="B857" t="s">
        <v>41</v>
      </c>
      <c r="C857" t="s">
        <v>42</v>
      </c>
      <c r="D857" t="str">
        <f>"Br. "&amp;Data[[#This Row],[Branch]]&amp;" ("&amp;Data[[#This Row],[City]]&amp;")"</f>
        <v>Br. B (Mandalay)</v>
      </c>
      <c r="E857" t="s">
        <v>26</v>
      </c>
      <c r="F857" t="s">
        <v>20</v>
      </c>
      <c r="G857" t="s">
        <v>45</v>
      </c>
      <c r="H857">
        <v>36.51</v>
      </c>
      <c r="I857">
        <v>9</v>
      </c>
      <c r="J857">
        <v>16.429500000000001</v>
      </c>
      <c r="K857">
        <v>328.59</v>
      </c>
      <c r="L857" s="1">
        <v>44726</v>
      </c>
      <c r="M857" s="7">
        <f>DAY(Data[[#This Row],[Date]])</f>
        <v>14</v>
      </c>
      <c r="N857" s="7">
        <f>MONTH(Data[[#This Row],[Date]])</f>
        <v>6</v>
      </c>
      <c r="O857" s="7">
        <f>YEAR(Data[[#This Row],[Date]])</f>
        <v>2022</v>
      </c>
      <c r="P857" s="2">
        <v>0.45277777777777778</v>
      </c>
      <c r="Q857" t="s">
        <v>28</v>
      </c>
      <c r="R857">
        <v>230.01300000000001</v>
      </c>
      <c r="S857">
        <v>82.147499999999994</v>
      </c>
      <c r="T857">
        <v>4.2</v>
      </c>
    </row>
    <row r="858" spans="1:20" x14ac:dyDescent="0.55000000000000004">
      <c r="A858" t="s">
        <v>891</v>
      </c>
      <c r="B858" t="s">
        <v>41</v>
      </c>
      <c r="C858" t="s">
        <v>42</v>
      </c>
      <c r="D858" t="str">
        <f>"Br. "&amp;Data[[#This Row],[Branch]]&amp;" ("&amp;Data[[#This Row],[City]]&amp;")"</f>
        <v>Br. B (Mandalay)</v>
      </c>
      <c r="E858" t="s">
        <v>26</v>
      </c>
      <c r="F858" t="s">
        <v>30</v>
      </c>
      <c r="G858" t="s">
        <v>43</v>
      </c>
      <c r="H858">
        <v>21.12</v>
      </c>
      <c r="I858">
        <v>8</v>
      </c>
      <c r="J858">
        <v>8.4480000000000004</v>
      </c>
      <c r="K858">
        <v>168.96</v>
      </c>
      <c r="L858" s="1">
        <v>44726</v>
      </c>
      <c r="M858" s="7">
        <f>DAY(Data[[#This Row],[Date]])</f>
        <v>14</v>
      </c>
      <c r="N858" s="7">
        <f>MONTH(Data[[#This Row],[Date]])</f>
        <v>6</v>
      </c>
      <c r="O858" s="7">
        <f>YEAR(Data[[#This Row],[Date]])</f>
        <v>2022</v>
      </c>
      <c r="P858" s="2">
        <v>0.81319444444444444</v>
      </c>
      <c r="Q858" t="s">
        <v>28</v>
      </c>
      <c r="R858">
        <v>118.27200000000001</v>
      </c>
      <c r="S858">
        <v>42.24</v>
      </c>
      <c r="T858">
        <v>6.3</v>
      </c>
    </row>
    <row r="859" spans="1:20" x14ac:dyDescent="0.55000000000000004">
      <c r="A859" t="s">
        <v>892</v>
      </c>
      <c r="B859" t="s">
        <v>17</v>
      </c>
      <c r="C859" t="s">
        <v>18</v>
      </c>
      <c r="D859" t="str">
        <f>"Br. "&amp;Data[[#This Row],[Branch]]&amp;" ("&amp;Data[[#This Row],[City]]&amp;")"</f>
        <v>Br. A (Yangon)</v>
      </c>
      <c r="E859" t="s">
        <v>19</v>
      </c>
      <c r="F859" t="s">
        <v>20</v>
      </c>
      <c r="G859" t="s">
        <v>31</v>
      </c>
      <c r="H859">
        <v>28.31</v>
      </c>
      <c r="I859">
        <v>4</v>
      </c>
      <c r="J859">
        <v>5.6619999999999999</v>
      </c>
      <c r="K859">
        <v>113.24</v>
      </c>
      <c r="L859" s="1">
        <v>44726</v>
      </c>
      <c r="M859" s="7">
        <f>DAY(Data[[#This Row],[Date]])</f>
        <v>14</v>
      </c>
      <c r="N859" s="7">
        <f>MONTH(Data[[#This Row],[Date]])</f>
        <v>6</v>
      </c>
      <c r="O859" s="7">
        <f>YEAR(Data[[#This Row],[Date]])</f>
        <v>2022</v>
      </c>
      <c r="P859" s="2">
        <v>0.77430555555555558</v>
      </c>
      <c r="Q859" t="s">
        <v>28</v>
      </c>
      <c r="R859">
        <v>79.268000000000001</v>
      </c>
      <c r="S859">
        <v>28.31</v>
      </c>
      <c r="T859">
        <v>8.1999999999999993</v>
      </c>
    </row>
    <row r="860" spans="1:20" x14ac:dyDescent="0.55000000000000004">
      <c r="A860" t="s">
        <v>893</v>
      </c>
      <c r="B860" t="s">
        <v>41</v>
      </c>
      <c r="C860" t="s">
        <v>42</v>
      </c>
      <c r="D860" t="str">
        <f>"Br. "&amp;Data[[#This Row],[Branch]]&amp;" ("&amp;Data[[#This Row],[City]]&amp;")"</f>
        <v>Br. B (Mandalay)</v>
      </c>
      <c r="E860" t="s">
        <v>26</v>
      </c>
      <c r="F860" t="s">
        <v>30</v>
      </c>
      <c r="G860" t="s">
        <v>21</v>
      </c>
      <c r="H860">
        <v>57.59</v>
      </c>
      <c r="I860">
        <v>6</v>
      </c>
      <c r="J860">
        <v>17.277000000000001</v>
      </c>
      <c r="K860">
        <v>345.54</v>
      </c>
      <c r="L860" s="1">
        <v>44726</v>
      </c>
      <c r="M860" s="7">
        <f>DAY(Data[[#This Row],[Date]])</f>
        <v>14</v>
      </c>
      <c r="N860" s="7">
        <f>MONTH(Data[[#This Row],[Date]])</f>
        <v>6</v>
      </c>
      <c r="O860" s="7">
        <f>YEAR(Data[[#This Row],[Date]])</f>
        <v>2022</v>
      </c>
      <c r="P860" s="2">
        <v>0.57708333333333328</v>
      </c>
      <c r="Q860" t="s">
        <v>28</v>
      </c>
      <c r="R860">
        <v>241.87799999999999</v>
      </c>
      <c r="S860">
        <v>86.385000000000005</v>
      </c>
      <c r="T860">
        <v>5.0999999999999996</v>
      </c>
    </row>
    <row r="861" spans="1:20" x14ac:dyDescent="0.55000000000000004">
      <c r="A861" t="s">
        <v>894</v>
      </c>
      <c r="B861" t="s">
        <v>17</v>
      </c>
      <c r="C861" t="s">
        <v>18</v>
      </c>
      <c r="D861" t="str">
        <f>"Br. "&amp;Data[[#This Row],[Branch]]&amp;" ("&amp;Data[[#This Row],[City]]&amp;")"</f>
        <v>Br. A (Yangon)</v>
      </c>
      <c r="E861" t="s">
        <v>19</v>
      </c>
      <c r="F861" t="s">
        <v>20</v>
      </c>
      <c r="G861" t="s">
        <v>43</v>
      </c>
      <c r="H861">
        <v>47.63</v>
      </c>
      <c r="I861">
        <v>9</v>
      </c>
      <c r="J861">
        <v>21.433499999999999</v>
      </c>
      <c r="K861">
        <v>428.67</v>
      </c>
      <c r="L861" s="1">
        <v>44726</v>
      </c>
      <c r="M861" s="7">
        <f>DAY(Data[[#This Row],[Date]])</f>
        <v>14</v>
      </c>
      <c r="N861" s="7">
        <f>MONTH(Data[[#This Row],[Date]])</f>
        <v>6</v>
      </c>
      <c r="O861" s="7">
        <f>YEAR(Data[[#This Row],[Date]])</f>
        <v>2022</v>
      </c>
      <c r="P861" s="2">
        <v>0.52430555555555558</v>
      </c>
      <c r="Q861" t="s">
        <v>28</v>
      </c>
      <c r="R861">
        <v>300.06900000000002</v>
      </c>
      <c r="S861">
        <v>107.1675</v>
      </c>
      <c r="T861">
        <v>5</v>
      </c>
    </row>
    <row r="862" spans="1:20" x14ac:dyDescent="0.55000000000000004">
      <c r="A862" t="s">
        <v>895</v>
      </c>
      <c r="B862" t="s">
        <v>24</v>
      </c>
      <c r="C862" t="s">
        <v>25</v>
      </c>
      <c r="D862" t="str">
        <f>"Br. "&amp;Data[[#This Row],[Branch]]&amp;" ("&amp;Data[[#This Row],[City]]&amp;")"</f>
        <v>Br. C (Naypyitaw)</v>
      </c>
      <c r="E862" t="s">
        <v>19</v>
      </c>
      <c r="F862" t="s">
        <v>20</v>
      </c>
      <c r="G862" t="s">
        <v>31</v>
      </c>
      <c r="H862">
        <v>86.27</v>
      </c>
      <c r="I862">
        <v>1</v>
      </c>
      <c r="J862">
        <v>4.3135000000000003</v>
      </c>
      <c r="K862">
        <v>86.27</v>
      </c>
      <c r="L862" s="1">
        <v>44726</v>
      </c>
      <c r="M862" s="7">
        <f>DAY(Data[[#This Row],[Date]])</f>
        <v>14</v>
      </c>
      <c r="N862" s="7">
        <f>MONTH(Data[[#This Row],[Date]])</f>
        <v>6</v>
      </c>
      <c r="O862" s="7">
        <f>YEAR(Data[[#This Row],[Date]])</f>
        <v>2022</v>
      </c>
      <c r="P862" s="2">
        <v>0.55833333333333335</v>
      </c>
      <c r="Q862" t="s">
        <v>22</v>
      </c>
      <c r="R862">
        <v>60.389000000000003</v>
      </c>
      <c r="S862">
        <v>21.567499999999999</v>
      </c>
      <c r="T862">
        <v>7</v>
      </c>
    </row>
    <row r="863" spans="1:20" x14ac:dyDescent="0.55000000000000004">
      <c r="A863" t="s">
        <v>896</v>
      </c>
      <c r="B863" t="s">
        <v>17</v>
      </c>
      <c r="C863" t="s">
        <v>18</v>
      </c>
      <c r="D863" t="str">
        <f>"Br. "&amp;Data[[#This Row],[Branch]]&amp;" ("&amp;Data[[#This Row],[City]]&amp;")"</f>
        <v>Br. A (Yangon)</v>
      </c>
      <c r="E863" t="s">
        <v>19</v>
      </c>
      <c r="F863" t="s">
        <v>30</v>
      </c>
      <c r="G863" t="s">
        <v>35</v>
      </c>
      <c r="H863">
        <v>12.76</v>
      </c>
      <c r="I863">
        <v>2</v>
      </c>
      <c r="J863">
        <v>1.276</v>
      </c>
      <c r="K863">
        <v>25.52</v>
      </c>
      <c r="L863" s="1">
        <v>44726</v>
      </c>
      <c r="M863" s="7">
        <f>DAY(Data[[#This Row],[Date]])</f>
        <v>14</v>
      </c>
      <c r="N863" s="7">
        <f>MONTH(Data[[#This Row],[Date]])</f>
        <v>6</v>
      </c>
      <c r="O863" s="7">
        <f>YEAR(Data[[#This Row],[Date]])</f>
        <v>2022</v>
      </c>
      <c r="P863" s="2">
        <v>0.75416666666666665</v>
      </c>
      <c r="Q863" t="s">
        <v>22</v>
      </c>
      <c r="R863">
        <v>17.864000000000001</v>
      </c>
      <c r="S863">
        <v>6.38</v>
      </c>
      <c r="T863">
        <v>7.8</v>
      </c>
    </row>
    <row r="864" spans="1:20" x14ac:dyDescent="0.55000000000000004">
      <c r="A864" t="s">
        <v>897</v>
      </c>
      <c r="B864" t="s">
        <v>41</v>
      </c>
      <c r="C864" t="s">
        <v>42</v>
      </c>
      <c r="D864" t="str">
        <f>"Br. "&amp;Data[[#This Row],[Branch]]&amp;" ("&amp;Data[[#This Row],[City]]&amp;")"</f>
        <v>Br. B (Mandalay)</v>
      </c>
      <c r="E864" t="s">
        <v>26</v>
      </c>
      <c r="F864" t="s">
        <v>20</v>
      </c>
      <c r="G864" t="s">
        <v>31</v>
      </c>
      <c r="H864">
        <v>11.28</v>
      </c>
      <c r="I864">
        <v>9</v>
      </c>
      <c r="J864">
        <v>5.0759999999999996</v>
      </c>
      <c r="K864">
        <v>101.52</v>
      </c>
      <c r="L864" s="1">
        <v>44726</v>
      </c>
      <c r="M864" s="7">
        <f>DAY(Data[[#This Row],[Date]])</f>
        <v>14</v>
      </c>
      <c r="N864" s="7">
        <f>MONTH(Data[[#This Row],[Date]])</f>
        <v>6</v>
      </c>
      <c r="O864" s="7">
        <f>YEAR(Data[[#This Row],[Date]])</f>
        <v>2022</v>
      </c>
      <c r="P864" s="2">
        <v>0.49652777777777779</v>
      </c>
      <c r="Q864" t="s">
        <v>32</v>
      </c>
      <c r="R864">
        <v>71.063999999999993</v>
      </c>
      <c r="S864">
        <v>25.38</v>
      </c>
      <c r="T864">
        <v>4.3</v>
      </c>
    </row>
    <row r="865" spans="1:20" x14ac:dyDescent="0.55000000000000004">
      <c r="A865" t="s">
        <v>898</v>
      </c>
      <c r="B865" t="s">
        <v>41</v>
      </c>
      <c r="C865" t="s">
        <v>42</v>
      </c>
      <c r="D865" t="str">
        <f>"Br. "&amp;Data[[#This Row],[Branch]]&amp;" ("&amp;Data[[#This Row],[City]]&amp;")"</f>
        <v>Br. B (Mandalay)</v>
      </c>
      <c r="E865" t="s">
        <v>26</v>
      </c>
      <c r="F865" t="s">
        <v>20</v>
      </c>
      <c r="G865" t="s">
        <v>31</v>
      </c>
      <c r="H865">
        <v>51.07</v>
      </c>
      <c r="I865">
        <v>7</v>
      </c>
      <c r="J865">
        <v>17.874500000000001</v>
      </c>
      <c r="K865">
        <v>357.49</v>
      </c>
      <c r="L865" s="1">
        <v>44726</v>
      </c>
      <c r="M865" s="7">
        <f>DAY(Data[[#This Row],[Date]])</f>
        <v>14</v>
      </c>
      <c r="N865" s="7">
        <f>MONTH(Data[[#This Row],[Date]])</f>
        <v>6</v>
      </c>
      <c r="O865" s="7">
        <f>YEAR(Data[[#This Row],[Date]])</f>
        <v>2022</v>
      </c>
      <c r="P865" s="2">
        <v>0.48749999999999999</v>
      </c>
      <c r="Q865" t="s">
        <v>28</v>
      </c>
      <c r="R865">
        <v>250.24299999999999</v>
      </c>
      <c r="S865">
        <v>89.372500000000002</v>
      </c>
      <c r="T865">
        <v>7</v>
      </c>
    </row>
    <row r="866" spans="1:20" x14ac:dyDescent="0.55000000000000004">
      <c r="A866" t="s">
        <v>899</v>
      </c>
      <c r="B866" t="s">
        <v>17</v>
      </c>
      <c r="C866" t="s">
        <v>18</v>
      </c>
      <c r="D866" t="str">
        <f>"Br. "&amp;Data[[#This Row],[Branch]]&amp;" ("&amp;Data[[#This Row],[City]]&amp;")"</f>
        <v>Br. A (Yangon)</v>
      </c>
      <c r="E866" t="s">
        <v>19</v>
      </c>
      <c r="F866" t="s">
        <v>20</v>
      </c>
      <c r="G866" t="s">
        <v>27</v>
      </c>
      <c r="H866">
        <v>79.59</v>
      </c>
      <c r="I866">
        <v>3</v>
      </c>
      <c r="J866">
        <v>11.938499999999999</v>
      </c>
      <c r="K866">
        <v>238.77</v>
      </c>
      <c r="L866" s="1">
        <v>44726</v>
      </c>
      <c r="M866" s="7">
        <f>DAY(Data[[#This Row],[Date]])</f>
        <v>14</v>
      </c>
      <c r="N866" s="7">
        <f>MONTH(Data[[#This Row],[Date]])</f>
        <v>6</v>
      </c>
      <c r="O866" s="7">
        <f>YEAR(Data[[#This Row],[Date]])</f>
        <v>2022</v>
      </c>
      <c r="P866" s="2">
        <v>0.60416666666666663</v>
      </c>
      <c r="Q866" t="s">
        <v>28</v>
      </c>
      <c r="R866">
        <v>167.13900000000001</v>
      </c>
      <c r="S866">
        <v>59.692500000000003</v>
      </c>
      <c r="T866">
        <v>6.6</v>
      </c>
    </row>
    <row r="867" spans="1:20" x14ac:dyDescent="0.55000000000000004">
      <c r="A867" t="s">
        <v>900</v>
      </c>
      <c r="B867" t="s">
        <v>24</v>
      </c>
      <c r="C867" t="s">
        <v>25</v>
      </c>
      <c r="D867" t="str">
        <f>"Br. "&amp;Data[[#This Row],[Branch]]&amp;" ("&amp;Data[[#This Row],[City]]&amp;")"</f>
        <v>Br. C (Naypyitaw)</v>
      </c>
      <c r="E867" t="s">
        <v>19</v>
      </c>
      <c r="F867" t="s">
        <v>30</v>
      </c>
      <c r="G867" t="s">
        <v>21</v>
      </c>
      <c r="H867">
        <v>33.81</v>
      </c>
      <c r="I867">
        <v>3</v>
      </c>
      <c r="J867">
        <v>5.0715000000000003</v>
      </c>
      <c r="K867">
        <v>101.43</v>
      </c>
      <c r="L867" s="1">
        <v>44726</v>
      </c>
      <c r="M867" s="7">
        <f>DAY(Data[[#This Row],[Date]])</f>
        <v>14</v>
      </c>
      <c r="N867" s="7">
        <f>MONTH(Data[[#This Row],[Date]])</f>
        <v>6</v>
      </c>
      <c r="O867" s="7">
        <f>YEAR(Data[[#This Row],[Date]])</f>
        <v>2022</v>
      </c>
      <c r="P867" s="2">
        <v>0.63263888888888886</v>
      </c>
      <c r="Q867" t="s">
        <v>22</v>
      </c>
      <c r="R867">
        <v>71.001000000000005</v>
      </c>
      <c r="S867">
        <v>25.357500000000002</v>
      </c>
      <c r="T867">
        <v>7.3</v>
      </c>
    </row>
    <row r="868" spans="1:20" x14ac:dyDescent="0.55000000000000004">
      <c r="A868" t="s">
        <v>901</v>
      </c>
      <c r="B868" t="s">
        <v>41</v>
      </c>
      <c r="C868" t="s">
        <v>42</v>
      </c>
      <c r="D868" t="str">
        <f>"Br. "&amp;Data[[#This Row],[Branch]]&amp;" ("&amp;Data[[#This Row],[City]]&amp;")"</f>
        <v>Br. B (Mandalay)</v>
      </c>
      <c r="E868" t="s">
        <v>19</v>
      </c>
      <c r="F868" t="s">
        <v>30</v>
      </c>
      <c r="G868" t="s">
        <v>35</v>
      </c>
      <c r="H868">
        <v>90.53</v>
      </c>
      <c r="I868">
        <v>8</v>
      </c>
      <c r="J868">
        <v>36.212000000000003</v>
      </c>
      <c r="K868">
        <v>724.24</v>
      </c>
      <c r="L868" s="1">
        <v>44726</v>
      </c>
      <c r="M868" s="7">
        <f>DAY(Data[[#This Row],[Date]])</f>
        <v>14</v>
      </c>
      <c r="N868" s="7">
        <f>MONTH(Data[[#This Row],[Date]])</f>
        <v>6</v>
      </c>
      <c r="O868" s="7">
        <f>YEAR(Data[[#This Row],[Date]])</f>
        <v>2022</v>
      </c>
      <c r="P868" s="2">
        <v>0.6166666666666667</v>
      </c>
      <c r="Q868" t="s">
        <v>32</v>
      </c>
      <c r="R868">
        <v>506.96800000000002</v>
      </c>
      <c r="S868">
        <v>181.06</v>
      </c>
      <c r="T868">
        <v>6.5</v>
      </c>
    </row>
    <row r="869" spans="1:20" x14ac:dyDescent="0.55000000000000004">
      <c r="A869" t="s">
        <v>902</v>
      </c>
      <c r="B869" t="s">
        <v>24</v>
      </c>
      <c r="C869" t="s">
        <v>25</v>
      </c>
      <c r="D869" t="str">
        <f>"Br. "&amp;Data[[#This Row],[Branch]]&amp;" ("&amp;Data[[#This Row],[City]]&amp;")"</f>
        <v>Br. C (Naypyitaw)</v>
      </c>
      <c r="E869" t="s">
        <v>19</v>
      </c>
      <c r="F869" t="s">
        <v>20</v>
      </c>
      <c r="G869" t="s">
        <v>21</v>
      </c>
      <c r="H869">
        <v>62.82</v>
      </c>
      <c r="I869">
        <v>2</v>
      </c>
      <c r="J869">
        <v>6.282</v>
      </c>
      <c r="K869">
        <v>125.64</v>
      </c>
      <c r="L869" s="1">
        <v>44726</v>
      </c>
      <c r="M869" s="7">
        <f>DAY(Data[[#This Row],[Date]])</f>
        <v>14</v>
      </c>
      <c r="N869" s="7">
        <f>MONTH(Data[[#This Row],[Date]])</f>
        <v>6</v>
      </c>
      <c r="O869" s="7">
        <f>YEAR(Data[[#This Row],[Date]])</f>
        <v>2022</v>
      </c>
      <c r="P869" s="2">
        <v>0.52500000000000002</v>
      </c>
      <c r="Q869" t="s">
        <v>22</v>
      </c>
      <c r="R869">
        <v>87.947999999999993</v>
      </c>
      <c r="S869">
        <v>31.41</v>
      </c>
      <c r="T869">
        <v>4.9000000000000004</v>
      </c>
    </row>
    <row r="870" spans="1:20" x14ac:dyDescent="0.55000000000000004">
      <c r="A870" t="s">
        <v>903</v>
      </c>
      <c r="B870" t="s">
        <v>24</v>
      </c>
      <c r="C870" t="s">
        <v>25</v>
      </c>
      <c r="D870" t="str">
        <f>"Br. "&amp;Data[[#This Row],[Branch]]&amp;" ("&amp;Data[[#This Row],[City]]&amp;")"</f>
        <v>Br. C (Naypyitaw)</v>
      </c>
      <c r="E870" t="s">
        <v>19</v>
      </c>
      <c r="F870" t="s">
        <v>30</v>
      </c>
      <c r="G870" t="s">
        <v>43</v>
      </c>
      <c r="H870">
        <v>24.31</v>
      </c>
      <c r="I870">
        <v>3</v>
      </c>
      <c r="J870">
        <v>3.6465000000000001</v>
      </c>
      <c r="K870">
        <v>72.930000000000007</v>
      </c>
      <c r="L870" s="1">
        <v>44726</v>
      </c>
      <c r="M870" s="7">
        <f>DAY(Data[[#This Row],[Date]])</f>
        <v>14</v>
      </c>
      <c r="N870" s="7">
        <f>MONTH(Data[[#This Row],[Date]])</f>
        <v>6</v>
      </c>
      <c r="O870" s="7">
        <f>YEAR(Data[[#This Row],[Date]])</f>
        <v>2022</v>
      </c>
      <c r="P870" s="2">
        <v>0.79791666666666672</v>
      </c>
      <c r="Q870" t="s">
        <v>32</v>
      </c>
      <c r="R870">
        <v>51.051000000000002</v>
      </c>
      <c r="S870">
        <v>18.232500000000002</v>
      </c>
      <c r="T870">
        <v>4.3</v>
      </c>
    </row>
    <row r="871" spans="1:20" x14ac:dyDescent="0.55000000000000004">
      <c r="A871" t="s">
        <v>904</v>
      </c>
      <c r="B871" t="s">
        <v>17</v>
      </c>
      <c r="C871" t="s">
        <v>18</v>
      </c>
      <c r="D871" t="str">
        <f>"Br. "&amp;Data[[#This Row],[Branch]]&amp;" ("&amp;Data[[#This Row],[City]]&amp;")"</f>
        <v>Br. A (Yangon)</v>
      </c>
      <c r="E871" t="s">
        <v>26</v>
      </c>
      <c r="F871" t="s">
        <v>30</v>
      </c>
      <c r="G871" t="s">
        <v>35</v>
      </c>
      <c r="H871">
        <v>64.59</v>
      </c>
      <c r="I871">
        <v>4</v>
      </c>
      <c r="J871">
        <v>12.917999999999999</v>
      </c>
      <c r="K871">
        <v>258.36</v>
      </c>
      <c r="L871" s="1">
        <v>44726</v>
      </c>
      <c r="M871" s="7">
        <f>DAY(Data[[#This Row],[Date]])</f>
        <v>14</v>
      </c>
      <c r="N871" s="7">
        <f>MONTH(Data[[#This Row],[Date]])</f>
        <v>6</v>
      </c>
      <c r="O871" s="7">
        <f>YEAR(Data[[#This Row],[Date]])</f>
        <v>2022</v>
      </c>
      <c r="P871" s="2">
        <v>0.56597222222222221</v>
      </c>
      <c r="Q871" t="s">
        <v>22</v>
      </c>
      <c r="R871">
        <v>180.852</v>
      </c>
      <c r="S871">
        <v>64.59</v>
      </c>
      <c r="T871">
        <v>9.3000000000000007</v>
      </c>
    </row>
    <row r="872" spans="1:20" x14ac:dyDescent="0.55000000000000004">
      <c r="A872" t="s">
        <v>905</v>
      </c>
      <c r="B872" t="s">
        <v>17</v>
      </c>
      <c r="C872" t="s">
        <v>18</v>
      </c>
      <c r="D872" t="str">
        <f>"Br. "&amp;Data[[#This Row],[Branch]]&amp;" ("&amp;Data[[#This Row],[City]]&amp;")"</f>
        <v>Br. A (Yangon)</v>
      </c>
      <c r="E872" t="s">
        <v>19</v>
      </c>
      <c r="F872" t="s">
        <v>30</v>
      </c>
      <c r="G872" t="s">
        <v>43</v>
      </c>
      <c r="H872">
        <v>24.82</v>
      </c>
      <c r="I872">
        <v>7</v>
      </c>
      <c r="J872">
        <v>8.6869999999999994</v>
      </c>
      <c r="K872">
        <v>173.74</v>
      </c>
      <c r="L872" s="1">
        <v>44726</v>
      </c>
      <c r="M872" s="7">
        <f>DAY(Data[[#This Row],[Date]])</f>
        <v>14</v>
      </c>
      <c r="N872" s="7">
        <f>MONTH(Data[[#This Row],[Date]])</f>
        <v>6</v>
      </c>
      <c r="O872" s="7">
        <f>YEAR(Data[[#This Row],[Date]])</f>
        <v>2022</v>
      </c>
      <c r="P872" s="2">
        <v>0.43958333333333333</v>
      </c>
      <c r="Q872" t="s">
        <v>32</v>
      </c>
      <c r="R872">
        <v>121.61799999999999</v>
      </c>
      <c r="S872">
        <v>43.435000000000002</v>
      </c>
      <c r="T872">
        <v>7.1</v>
      </c>
    </row>
    <row r="873" spans="1:20" x14ac:dyDescent="0.55000000000000004">
      <c r="A873" t="s">
        <v>906</v>
      </c>
      <c r="B873" t="s">
        <v>24</v>
      </c>
      <c r="C873" t="s">
        <v>25</v>
      </c>
      <c r="D873" t="str">
        <f>"Br. "&amp;Data[[#This Row],[Branch]]&amp;" ("&amp;Data[[#This Row],[City]]&amp;")"</f>
        <v>Br. C (Naypyitaw)</v>
      </c>
      <c r="E873" t="s">
        <v>26</v>
      </c>
      <c r="F873" t="s">
        <v>30</v>
      </c>
      <c r="G873" t="s">
        <v>45</v>
      </c>
      <c r="H873">
        <v>56.5</v>
      </c>
      <c r="I873">
        <v>1</v>
      </c>
      <c r="J873">
        <v>2.8250000000000002</v>
      </c>
      <c r="K873">
        <v>56.5</v>
      </c>
      <c r="L873" s="1">
        <v>44726</v>
      </c>
      <c r="M873" s="7">
        <f>DAY(Data[[#This Row],[Date]])</f>
        <v>14</v>
      </c>
      <c r="N873" s="7">
        <f>MONTH(Data[[#This Row],[Date]])</f>
        <v>6</v>
      </c>
      <c r="O873" s="7">
        <f>YEAR(Data[[#This Row],[Date]])</f>
        <v>2022</v>
      </c>
      <c r="P873" s="2">
        <v>0.65625</v>
      </c>
      <c r="Q873" t="s">
        <v>22</v>
      </c>
      <c r="R873">
        <v>39.549999999999997</v>
      </c>
      <c r="S873">
        <v>14.125</v>
      </c>
      <c r="T873">
        <v>9.6</v>
      </c>
    </row>
    <row r="874" spans="1:20" x14ac:dyDescent="0.55000000000000004">
      <c r="A874" t="s">
        <v>907</v>
      </c>
      <c r="B874" t="s">
        <v>41</v>
      </c>
      <c r="C874" t="s">
        <v>42</v>
      </c>
      <c r="D874" t="str">
        <f>"Br. "&amp;Data[[#This Row],[Branch]]&amp;" ("&amp;Data[[#This Row],[City]]&amp;")"</f>
        <v>Br. B (Mandalay)</v>
      </c>
      <c r="E874" t="s">
        <v>19</v>
      </c>
      <c r="F874" t="s">
        <v>20</v>
      </c>
      <c r="G874" t="s">
        <v>27</v>
      </c>
      <c r="H874">
        <v>21.43</v>
      </c>
      <c r="I874">
        <v>10</v>
      </c>
      <c r="J874">
        <v>10.715</v>
      </c>
      <c r="K874">
        <v>214.3</v>
      </c>
      <c r="L874" s="1">
        <v>44726</v>
      </c>
      <c r="M874" s="7">
        <f>DAY(Data[[#This Row],[Date]])</f>
        <v>14</v>
      </c>
      <c r="N874" s="7">
        <f>MONTH(Data[[#This Row],[Date]])</f>
        <v>6</v>
      </c>
      <c r="O874" s="7">
        <f>YEAR(Data[[#This Row],[Date]])</f>
        <v>2022</v>
      </c>
      <c r="P874" s="2">
        <v>0.49375000000000002</v>
      </c>
      <c r="Q874" t="s">
        <v>28</v>
      </c>
      <c r="R874">
        <v>150.01</v>
      </c>
      <c r="S874">
        <v>53.575000000000003</v>
      </c>
      <c r="T874">
        <v>6.2</v>
      </c>
    </row>
    <row r="875" spans="1:20" x14ac:dyDescent="0.55000000000000004">
      <c r="A875" t="s">
        <v>908</v>
      </c>
      <c r="B875" t="s">
        <v>17</v>
      </c>
      <c r="C875" t="s">
        <v>18</v>
      </c>
      <c r="D875" t="str">
        <f>"Br. "&amp;Data[[#This Row],[Branch]]&amp;" ("&amp;Data[[#This Row],[City]]&amp;")"</f>
        <v>Br. A (Yangon)</v>
      </c>
      <c r="E875" t="s">
        <v>19</v>
      </c>
      <c r="F875" t="s">
        <v>30</v>
      </c>
      <c r="G875" t="s">
        <v>35</v>
      </c>
      <c r="H875">
        <v>89.06</v>
      </c>
      <c r="I875">
        <v>6</v>
      </c>
      <c r="J875">
        <v>26.718</v>
      </c>
      <c r="K875">
        <v>534.36</v>
      </c>
      <c r="L875" s="1">
        <v>44726</v>
      </c>
      <c r="M875" s="7">
        <f>DAY(Data[[#This Row],[Date]])</f>
        <v>14</v>
      </c>
      <c r="N875" s="7">
        <f>MONTH(Data[[#This Row],[Date]])</f>
        <v>6</v>
      </c>
      <c r="O875" s="7">
        <f>YEAR(Data[[#This Row],[Date]])</f>
        <v>2022</v>
      </c>
      <c r="P875" s="2">
        <v>0.72638888888888886</v>
      </c>
      <c r="Q875" t="s">
        <v>28</v>
      </c>
      <c r="R875">
        <v>374.05200000000002</v>
      </c>
      <c r="S875">
        <v>133.59</v>
      </c>
      <c r="T875">
        <v>9.9</v>
      </c>
    </row>
    <row r="876" spans="1:20" x14ac:dyDescent="0.55000000000000004">
      <c r="A876" t="s">
        <v>909</v>
      </c>
      <c r="B876" t="s">
        <v>17</v>
      </c>
      <c r="C876" t="s">
        <v>18</v>
      </c>
      <c r="D876" t="str">
        <f>"Br. "&amp;Data[[#This Row],[Branch]]&amp;" ("&amp;Data[[#This Row],[City]]&amp;")"</f>
        <v>Br. A (Yangon)</v>
      </c>
      <c r="E876" t="s">
        <v>19</v>
      </c>
      <c r="F876" t="s">
        <v>30</v>
      </c>
      <c r="G876" t="s">
        <v>31</v>
      </c>
      <c r="H876">
        <v>23.29</v>
      </c>
      <c r="I876">
        <v>4</v>
      </c>
      <c r="J876">
        <v>4.6580000000000004</v>
      </c>
      <c r="K876">
        <v>93.16</v>
      </c>
      <c r="L876" s="1">
        <v>44726</v>
      </c>
      <c r="M876" s="7">
        <f>DAY(Data[[#This Row],[Date]])</f>
        <v>14</v>
      </c>
      <c r="N876" s="7">
        <f>MONTH(Data[[#This Row],[Date]])</f>
        <v>6</v>
      </c>
      <c r="O876" s="7">
        <f>YEAR(Data[[#This Row],[Date]])</f>
        <v>2022</v>
      </c>
      <c r="P876" s="2">
        <v>0.49444444444444446</v>
      </c>
      <c r="Q876" t="s">
        <v>32</v>
      </c>
      <c r="R876">
        <v>65.212000000000003</v>
      </c>
      <c r="S876">
        <v>23.29</v>
      </c>
      <c r="T876">
        <v>5.9</v>
      </c>
    </row>
    <row r="877" spans="1:20" x14ac:dyDescent="0.55000000000000004">
      <c r="A877" t="s">
        <v>910</v>
      </c>
      <c r="B877" t="s">
        <v>24</v>
      </c>
      <c r="C877" t="s">
        <v>25</v>
      </c>
      <c r="D877" t="str">
        <f>"Br. "&amp;Data[[#This Row],[Branch]]&amp;" ("&amp;Data[[#This Row],[City]]&amp;")"</f>
        <v>Br. C (Naypyitaw)</v>
      </c>
      <c r="E877" t="s">
        <v>26</v>
      </c>
      <c r="F877" t="s">
        <v>30</v>
      </c>
      <c r="G877" t="s">
        <v>31</v>
      </c>
      <c r="H877">
        <v>65.260000000000005</v>
      </c>
      <c r="I877">
        <v>8</v>
      </c>
      <c r="J877">
        <v>26.103999999999999</v>
      </c>
      <c r="K877">
        <v>522.08000000000004</v>
      </c>
      <c r="L877" s="1">
        <v>44726</v>
      </c>
      <c r="M877" s="7">
        <f>DAY(Data[[#This Row],[Date]])</f>
        <v>14</v>
      </c>
      <c r="N877" s="7">
        <f>MONTH(Data[[#This Row],[Date]])</f>
        <v>6</v>
      </c>
      <c r="O877" s="7">
        <f>YEAR(Data[[#This Row],[Date]])</f>
        <v>2022</v>
      </c>
      <c r="P877" s="2">
        <v>0.58611111111111114</v>
      </c>
      <c r="Q877" t="s">
        <v>22</v>
      </c>
      <c r="R877">
        <v>365.45600000000002</v>
      </c>
      <c r="S877">
        <v>130.52000000000001</v>
      </c>
      <c r="T877">
        <v>6.3</v>
      </c>
    </row>
    <row r="878" spans="1:20" x14ac:dyDescent="0.55000000000000004">
      <c r="A878" t="s">
        <v>911</v>
      </c>
      <c r="B878" t="s">
        <v>24</v>
      </c>
      <c r="C878" t="s">
        <v>25</v>
      </c>
      <c r="D878" t="str">
        <f>"Br. "&amp;Data[[#This Row],[Branch]]&amp;" ("&amp;Data[[#This Row],[City]]&amp;")"</f>
        <v>Br. C (Naypyitaw)</v>
      </c>
      <c r="E878" t="s">
        <v>19</v>
      </c>
      <c r="F878" t="s">
        <v>30</v>
      </c>
      <c r="G878" t="s">
        <v>45</v>
      </c>
      <c r="H878">
        <v>52.35</v>
      </c>
      <c r="I878">
        <v>1</v>
      </c>
      <c r="J878">
        <v>2.6175000000000002</v>
      </c>
      <c r="K878">
        <v>52.35</v>
      </c>
      <c r="L878" s="1">
        <v>44726</v>
      </c>
      <c r="M878" s="7">
        <f>DAY(Data[[#This Row],[Date]])</f>
        <v>14</v>
      </c>
      <c r="N878" s="7">
        <f>MONTH(Data[[#This Row],[Date]])</f>
        <v>6</v>
      </c>
      <c r="O878" s="7">
        <f>YEAR(Data[[#This Row],[Date]])</f>
        <v>2022</v>
      </c>
      <c r="P878" s="2">
        <v>0.74236111111111114</v>
      </c>
      <c r="Q878" t="s">
        <v>28</v>
      </c>
      <c r="R878">
        <v>36.645000000000003</v>
      </c>
      <c r="S878">
        <v>13.0875</v>
      </c>
      <c r="T878">
        <v>4</v>
      </c>
    </row>
    <row r="879" spans="1:20" x14ac:dyDescent="0.55000000000000004">
      <c r="A879" t="s">
        <v>912</v>
      </c>
      <c r="B879" t="s">
        <v>41</v>
      </c>
      <c r="C879" t="s">
        <v>42</v>
      </c>
      <c r="D879" t="str">
        <f>"Br. "&amp;Data[[#This Row],[Branch]]&amp;" ("&amp;Data[[#This Row],[City]]&amp;")"</f>
        <v>Br. B (Mandalay)</v>
      </c>
      <c r="E879" t="s">
        <v>19</v>
      </c>
      <c r="F879" t="s">
        <v>30</v>
      </c>
      <c r="G879" t="s">
        <v>27</v>
      </c>
      <c r="H879">
        <v>39.75</v>
      </c>
      <c r="I879">
        <v>1</v>
      </c>
      <c r="J879">
        <v>1.9875</v>
      </c>
      <c r="K879">
        <v>39.75</v>
      </c>
      <c r="L879" s="1">
        <v>44726</v>
      </c>
      <c r="M879" s="7">
        <f>DAY(Data[[#This Row],[Date]])</f>
        <v>14</v>
      </c>
      <c r="N879" s="7">
        <f>MONTH(Data[[#This Row],[Date]])</f>
        <v>6</v>
      </c>
      <c r="O879" s="7">
        <f>YEAR(Data[[#This Row],[Date]])</f>
        <v>2022</v>
      </c>
      <c r="P879" s="2">
        <v>0.84652777777777777</v>
      </c>
      <c r="Q879" t="s">
        <v>28</v>
      </c>
      <c r="R879">
        <v>27.824999999999999</v>
      </c>
      <c r="S879">
        <v>9.9375</v>
      </c>
      <c r="T879">
        <v>6.1</v>
      </c>
    </row>
    <row r="880" spans="1:20" x14ac:dyDescent="0.55000000000000004">
      <c r="A880" t="s">
        <v>913</v>
      </c>
      <c r="B880" t="s">
        <v>17</v>
      </c>
      <c r="C880" t="s">
        <v>18</v>
      </c>
      <c r="D880" t="str">
        <f>"Br. "&amp;Data[[#This Row],[Branch]]&amp;" ("&amp;Data[[#This Row],[City]]&amp;")"</f>
        <v>Br. A (Yangon)</v>
      </c>
      <c r="E880" t="s">
        <v>26</v>
      </c>
      <c r="F880" t="s">
        <v>20</v>
      </c>
      <c r="G880" t="s">
        <v>27</v>
      </c>
      <c r="H880">
        <v>90.02</v>
      </c>
      <c r="I880">
        <v>8</v>
      </c>
      <c r="J880">
        <v>36.008000000000003</v>
      </c>
      <c r="K880">
        <v>720.16</v>
      </c>
      <c r="L880" s="1">
        <v>44726</v>
      </c>
      <c r="M880" s="7">
        <f>DAY(Data[[#This Row],[Date]])</f>
        <v>14</v>
      </c>
      <c r="N880" s="7">
        <f>MONTH(Data[[#This Row],[Date]])</f>
        <v>6</v>
      </c>
      <c r="O880" s="7">
        <f>YEAR(Data[[#This Row],[Date]])</f>
        <v>2022</v>
      </c>
      <c r="P880" s="2">
        <v>0.67222222222222228</v>
      </c>
      <c r="Q880" t="s">
        <v>32</v>
      </c>
      <c r="R880">
        <v>504.11200000000002</v>
      </c>
      <c r="S880">
        <v>180.04</v>
      </c>
      <c r="T880">
        <v>4.5</v>
      </c>
    </row>
    <row r="881" spans="1:20" x14ac:dyDescent="0.55000000000000004">
      <c r="A881" t="s">
        <v>914</v>
      </c>
      <c r="B881" t="s">
        <v>41</v>
      </c>
      <c r="C881" t="s">
        <v>42</v>
      </c>
      <c r="D881" t="str">
        <f>"Br. "&amp;Data[[#This Row],[Branch]]&amp;" ("&amp;Data[[#This Row],[City]]&amp;")"</f>
        <v>Br. B (Mandalay)</v>
      </c>
      <c r="E881" t="s">
        <v>19</v>
      </c>
      <c r="F881" t="s">
        <v>20</v>
      </c>
      <c r="G881" t="s">
        <v>27</v>
      </c>
      <c r="H881">
        <v>12.1</v>
      </c>
      <c r="I881">
        <v>8</v>
      </c>
      <c r="J881">
        <v>4.84</v>
      </c>
      <c r="K881">
        <v>96.8</v>
      </c>
      <c r="L881" s="1">
        <v>44726</v>
      </c>
      <c r="M881" s="7">
        <f>DAY(Data[[#This Row],[Date]])</f>
        <v>14</v>
      </c>
      <c r="N881" s="7">
        <f>MONTH(Data[[#This Row],[Date]])</f>
        <v>6</v>
      </c>
      <c r="O881" s="7">
        <f>YEAR(Data[[#This Row],[Date]])</f>
        <v>2022</v>
      </c>
      <c r="P881" s="2">
        <v>0.4284722222222222</v>
      </c>
      <c r="Q881" t="s">
        <v>22</v>
      </c>
      <c r="R881">
        <v>67.760000000000005</v>
      </c>
      <c r="S881">
        <v>24.2</v>
      </c>
      <c r="T881">
        <v>8.6</v>
      </c>
    </row>
    <row r="882" spans="1:20" x14ac:dyDescent="0.55000000000000004">
      <c r="A882" t="s">
        <v>915</v>
      </c>
      <c r="B882" t="s">
        <v>41</v>
      </c>
      <c r="C882" t="s">
        <v>42</v>
      </c>
      <c r="D882" t="str">
        <f>"Br. "&amp;Data[[#This Row],[Branch]]&amp;" ("&amp;Data[[#This Row],[City]]&amp;")"</f>
        <v>Br. B (Mandalay)</v>
      </c>
      <c r="E882" t="s">
        <v>19</v>
      </c>
      <c r="F882" t="s">
        <v>20</v>
      </c>
      <c r="G882" t="s">
        <v>43</v>
      </c>
      <c r="H882">
        <v>33.21</v>
      </c>
      <c r="I882">
        <v>10</v>
      </c>
      <c r="J882">
        <v>16.605</v>
      </c>
      <c r="K882">
        <v>332.1</v>
      </c>
      <c r="L882" s="1">
        <v>44726</v>
      </c>
      <c r="M882" s="7">
        <f>DAY(Data[[#This Row],[Date]])</f>
        <v>14</v>
      </c>
      <c r="N882" s="7">
        <f>MONTH(Data[[#This Row],[Date]])</f>
        <v>6</v>
      </c>
      <c r="O882" s="7">
        <f>YEAR(Data[[#This Row],[Date]])</f>
        <v>2022</v>
      </c>
      <c r="P882" s="2">
        <v>0.60069444444444442</v>
      </c>
      <c r="Q882" t="s">
        <v>22</v>
      </c>
      <c r="R882">
        <v>232.47</v>
      </c>
      <c r="S882">
        <v>83.025000000000006</v>
      </c>
      <c r="T882">
        <v>6</v>
      </c>
    </row>
    <row r="883" spans="1:20" x14ac:dyDescent="0.55000000000000004">
      <c r="A883" t="s">
        <v>916</v>
      </c>
      <c r="B883" t="s">
        <v>24</v>
      </c>
      <c r="C883" t="s">
        <v>25</v>
      </c>
      <c r="D883" t="str">
        <f>"Br. "&amp;Data[[#This Row],[Branch]]&amp;" ("&amp;Data[[#This Row],[City]]&amp;")"</f>
        <v>Br. C (Naypyitaw)</v>
      </c>
      <c r="E883" t="s">
        <v>19</v>
      </c>
      <c r="F883" t="s">
        <v>20</v>
      </c>
      <c r="G883" t="s">
        <v>45</v>
      </c>
      <c r="H883">
        <v>10.18</v>
      </c>
      <c r="I883">
        <v>8</v>
      </c>
      <c r="J883">
        <v>4.0720000000000001</v>
      </c>
      <c r="K883">
        <v>81.44</v>
      </c>
      <c r="L883" s="1">
        <v>44726</v>
      </c>
      <c r="M883" s="7">
        <f>DAY(Data[[#This Row],[Date]])</f>
        <v>14</v>
      </c>
      <c r="N883" s="7">
        <f>MONTH(Data[[#This Row],[Date]])</f>
        <v>6</v>
      </c>
      <c r="O883" s="7">
        <f>YEAR(Data[[#This Row],[Date]])</f>
        <v>2022</v>
      </c>
      <c r="P883" s="2">
        <v>0.53541666666666665</v>
      </c>
      <c r="Q883" t="s">
        <v>32</v>
      </c>
      <c r="R883">
        <v>57.008000000000003</v>
      </c>
      <c r="S883">
        <v>20.36</v>
      </c>
      <c r="T883">
        <v>9.5</v>
      </c>
    </row>
    <row r="884" spans="1:20" x14ac:dyDescent="0.55000000000000004">
      <c r="A884" t="s">
        <v>917</v>
      </c>
      <c r="B884" t="s">
        <v>41</v>
      </c>
      <c r="C884" t="s">
        <v>42</v>
      </c>
      <c r="D884" t="str">
        <f>"Br. "&amp;Data[[#This Row],[Branch]]&amp;" ("&amp;Data[[#This Row],[City]]&amp;")"</f>
        <v>Br. B (Mandalay)</v>
      </c>
      <c r="E884" t="s">
        <v>19</v>
      </c>
      <c r="F884" t="s">
        <v>30</v>
      </c>
      <c r="G884" t="s">
        <v>35</v>
      </c>
      <c r="H884">
        <v>31.99</v>
      </c>
      <c r="I884">
        <v>10</v>
      </c>
      <c r="J884">
        <v>15.994999999999999</v>
      </c>
      <c r="K884">
        <v>319.89999999999998</v>
      </c>
      <c r="L884" s="1">
        <v>44726</v>
      </c>
      <c r="M884" s="7">
        <f>DAY(Data[[#This Row],[Date]])</f>
        <v>14</v>
      </c>
      <c r="N884" s="7">
        <f>MONTH(Data[[#This Row],[Date]])</f>
        <v>6</v>
      </c>
      <c r="O884" s="7">
        <f>YEAR(Data[[#This Row],[Date]])</f>
        <v>2022</v>
      </c>
      <c r="P884" s="2">
        <v>0.63749999999999996</v>
      </c>
      <c r="Q884" t="s">
        <v>32</v>
      </c>
      <c r="R884">
        <v>223.93</v>
      </c>
      <c r="S884">
        <v>79.974999999999994</v>
      </c>
      <c r="T884">
        <v>9.9</v>
      </c>
    </row>
    <row r="885" spans="1:20" x14ac:dyDescent="0.55000000000000004">
      <c r="A885" t="s">
        <v>918</v>
      </c>
      <c r="B885" t="s">
        <v>17</v>
      </c>
      <c r="C885" t="s">
        <v>18</v>
      </c>
      <c r="D885" t="str">
        <f>"Br. "&amp;Data[[#This Row],[Branch]]&amp;" ("&amp;Data[[#This Row],[City]]&amp;")"</f>
        <v>Br. A (Yangon)</v>
      </c>
      <c r="E885" t="s">
        <v>19</v>
      </c>
      <c r="F885" t="s">
        <v>20</v>
      </c>
      <c r="G885" t="s">
        <v>31</v>
      </c>
      <c r="H885">
        <v>34.42</v>
      </c>
      <c r="I885">
        <v>6</v>
      </c>
      <c r="J885">
        <v>10.326000000000001</v>
      </c>
      <c r="K885">
        <v>206.52</v>
      </c>
      <c r="L885" s="1">
        <v>44726</v>
      </c>
      <c r="M885" s="7">
        <f>DAY(Data[[#This Row],[Date]])</f>
        <v>14</v>
      </c>
      <c r="N885" s="7">
        <f>MONTH(Data[[#This Row],[Date]])</f>
        <v>6</v>
      </c>
      <c r="O885" s="7">
        <f>YEAR(Data[[#This Row],[Date]])</f>
        <v>2022</v>
      </c>
      <c r="P885" s="2">
        <v>0.53125</v>
      </c>
      <c r="Q885" t="s">
        <v>22</v>
      </c>
      <c r="R885">
        <v>144.56399999999999</v>
      </c>
      <c r="S885">
        <v>51.63</v>
      </c>
      <c r="T885">
        <v>7.5</v>
      </c>
    </row>
    <row r="886" spans="1:20" x14ac:dyDescent="0.55000000000000004">
      <c r="A886" t="s">
        <v>919</v>
      </c>
      <c r="B886" t="s">
        <v>17</v>
      </c>
      <c r="C886" t="s">
        <v>18</v>
      </c>
      <c r="D886" t="str">
        <f>"Br. "&amp;Data[[#This Row],[Branch]]&amp;" ("&amp;Data[[#This Row],[City]]&amp;")"</f>
        <v>Br. A (Yangon)</v>
      </c>
      <c r="E886" t="s">
        <v>19</v>
      </c>
      <c r="F886" t="s">
        <v>20</v>
      </c>
      <c r="G886" t="s">
        <v>43</v>
      </c>
      <c r="H886">
        <v>83.34</v>
      </c>
      <c r="I886">
        <v>2</v>
      </c>
      <c r="J886">
        <v>8.3339999999999996</v>
      </c>
      <c r="K886">
        <v>166.68</v>
      </c>
      <c r="L886" s="1">
        <v>44726</v>
      </c>
      <c r="M886" s="7">
        <f>DAY(Data[[#This Row],[Date]])</f>
        <v>14</v>
      </c>
      <c r="N886" s="7">
        <f>MONTH(Data[[#This Row],[Date]])</f>
        <v>6</v>
      </c>
      <c r="O886" s="7">
        <f>YEAR(Data[[#This Row],[Date]])</f>
        <v>2022</v>
      </c>
      <c r="P886" s="2">
        <v>0.56736111111111109</v>
      </c>
      <c r="Q886" t="s">
        <v>28</v>
      </c>
      <c r="R886">
        <v>116.676</v>
      </c>
      <c r="S886">
        <v>41.67</v>
      </c>
      <c r="T886">
        <v>7.6</v>
      </c>
    </row>
    <row r="887" spans="1:20" x14ac:dyDescent="0.55000000000000004">
      <c r="A887" t="s">
        <v>920</v>
      </c>
      <c r="B887" t="s">
        <v>17</v>
      </c>
      <c r="C887" t="s">
        <v>18</v>
      </c>
      <c r="D887" t="str">
        <f>"Br. "&amp;Data[[#This Row],[Branch]]&amp;" ("&amp;Data[[#This Row],[City]]&amp;")"</f>
        <v>Br. A (Yangon)</v>
      </c>
      <c r="E887" t="s">
        <v>26</v>
      </c>
      <c r="F887" t="s">
        <v>30</v>
      </c>
      <c r="G887" t="s">
        <v>35</v>
      </c>
      <c r="H887">
        <v>45.58</v>
      </c>
      <c r="I887">
        <v>7</v>
      </c>
      <c r="J887">
        <v>15.952999999999999</v>
      </c>
      <c r="K887">
        <v>319.06</v>
      </c>
      <c r="L887" s="1">
        <v>44726</v>
      </c>
      <c r="M887" s="7">
        <f>DAY(Data[[#This Row],[Date]])</f>
        <v>14</v>
      </c>
      <c r="N887" s="7">
        <f>MONTH(Data[[#This Row],[Date]])</f>
        <v>6</v>
      </c>
      <c r="O887" s="7">
        <f>YEAR(Data[[#This Row],[Date]])</f>
        <v>2022</v>
      </c>
      <c r="P887" s="2">
        <v>0.41875000000000001</v>
      </c>
      <c r="Q887" t="s">
        <v>28</v>
      </c>
      <c r="R887">
        <v>223.34200000000001</v>
      </c>
      <c r="S887">
        <v>79.765000000000001</v>
      </c>
      <c r="T887">
        <v>5</v>
      </c>
    </row>
    <row r="888" spans="1:20" x14ac:dyDescent="0.55000000000000004">
      <c r="A888" t="s">
        <v>921</v>
      </c>
      <c r="B888" t="s">
        <v>17</v>
      </c>
      <c r="C888" t="s">
        <v>18</v>
      </c>
      <c r="D888" t="str">
        <f>"Br. "&amp;Data[[#This Row],[Branch]]&amp;" ("&amp;Data[[#This Row],[City]]&amp;")"</f>
        <v>Br. A (Yangon)</v>
      </c>
      <c r="E888" t="s">
        <v>19</v>
      </c>
      <c r="F888" t="s">
        <v>30</v>
      </c>
      <c r="G888" t="s">
        <v>43</v>
      </c>
      <c r="H888">
        <v>87.9</v>
      </c>
      <c r="I888">
        <v>1</v>
      </c>
      <c r="J888">
        <v>4.3949999999999996</v>
      </c>
      <c r="K888">
        <v>87.9</v>
      </c>
      <c r="L888" s="1">
        <v>44726</v>
      </c>
      <c r="M888" s="7">
        <f>DAY(Data[[#This Row],[Date]])</f>
        <v>14</v>
      </c>
      <c r="N888" s="7">
        <f>MONTH(Data[[#This Row],[Date]])</f>
        <v>6</v>
      </c>
      <c r="O888" s="7">
        <f>YEAR(Data[[#This Row],[Date]])</f>
        <v>2022</v>
      </c>
      <c r="P888" s="2">
        <v>0.8208333333333333</v>
      </c>
      <c r="Q888" t="s">
        <v>22</v>
      </c>
      <c r="R888">
        <v>61.53</v>
      </c>
      <c r="S888">
        <v>21.975000000000001</v>
      </c>
      <c r="T888">
        <v>6.7</v>
      </c>
    </row>
    <row r="889" spans="1:20" x14ac:dyDescent="0.55000000000000004">
      <c r="A889" t="s">
        <v>922</v>
      </c>
      <c r="B889" t="s">
        <v>17</v>
      </c>
      <c r="C889" t="s">
        <v>18</v>
      </c>
      <c r="D889" t="str">
        <f>"Br. "&amp;Data[[#This Row],[Branch]]&amp;" ("&amp;Data[[#This Row],[City]]&amp;")"</f>
        <v>Br. A (Yangon)</v>
      </c>
      <c r="E889" t="s">
        <v>19</v>
      </c>
      <c r="F889" t="s">
        <v>20</v>
      </c>
      <c r="G889" t="s">
        <v>27</v>
      </c>
      <c r="H889">
        <v>73.47</v>
      </c>
      <c r="I889">
        <v>10</v>
      </c>
      <c r="J889">
        <v>36.734999999999999</v>
      </c>
      <c r="K889">
        <v>734.7</v>
      </c>
      <c r="L889" s="1">
        <v>44726</v>
      </c>
      <c r="M889" s="7">
        <f>DAY(Data[[#This Row],[Date]])</f>
        <v>14</v>
      </c>
      <c r="N889" s="7">
        <f>MONTH(Data[[#This Row],[Date]])</f>
        <v>6</v>
      </c>
      <c r="O889" s="7">
        <f>YEAR(Data[[#This Row],[Date]])</f>
        <v>2022</v>
      </c>
      <c r="P889" s="2">
        <v>0.55138888888888893</v>
      </c>
      <c r="Q889" t="s">
        <v>22</v>
      </c>
      <c r="R889">
        <v>514.29</v>
      </c>
      <c r="S889">
        <v>183.67500000000001</v>
      </c>
      <c r="T889">
        <v>9.5</v>
      </c>
    </row>
    <row r="890" spans="1:20" x14ac:dyDescent="0.55000000000000004">
      <c r="A890" t="s">
        <v>923</v>
      </c>
      <c r="B890" t="s">
        <v>24</v>
      </c>
      <c r="C890" t="s">
        <v>25</v>
      </c>
      <c r="D890" t="str">
        <f>"Br. "&amp;Data[[#This Row],[Branch]]&amp;" ("&amp;Data[[#This Row],[City]]&amp;")"</f>
        <v>Br. C (Naypyitaw)</v>
      </c>
      <c r="E890" t="s">
        <v>26</v>
      </c>
      <c r="F890" t="s">
        <v>20</v>
      </c>
      <c r="G890" t="s">
        <v>45</v>
      </c>
      <c r="H890">
        <v>12.19</v>
      </c>
      <c r="I890">
        <v>8</v>
      </c>
      <c r="J890">
        <v>4.8760000000000003</v>
      </c>
      <c r="K890">
        <v>97.52</v>
      </c>
      <c r="L890" s="1">
        <v>44726</v>
      </c>
      <c r="M890" s="7">
        <f>DAY(Data[[#This Row],[Date]])</f>
        <v>14</v>
      </c>
      <c r="N890" s="7">
        <f>MONTH(Data[[#This Row],[Date]])</f>
        <v>6</v>
      </c>
      <c r="O890" s="7">
        <f>YEAR(Data[[#This Row],[Date]])</f>
        <v>2022</v>
      </c>
      <c r="P890" s="2">
        <v>0.53263888888888888</v>
      </c>
      <c r="Q890" t="s">
        <v>22</v>
      </c>
      <c r="R890">
        <v>68.263999999999996</v>
      </c>
      <c r="S890">
        <v>24.38</v>
      </c>
      <c r="T890">
        <v>6.8</v>
      </c>
    </row>
    <row r="891" spans="1:20" x14ac:dyDescent="0.55000000000000004">
      <c r="A891" t="s">
        <v>924</v>
      </c>
      <c r="B891" t="s">
        <v>17</v>
      </c>
      <c r="C891" t="s">
        <v>18</v>
      </c>
      <c r="D891" t="str">
        <f>"Br. "&amp;Data[[#This Row],[Branch]]&amp;" ("&amp;Data[[#This Row],[City]]&amp;")"</f>
        <v>Br. A (Yangon)</v>
      </c>
      <c r="E891" t="s">
        <v>19</v>
      </c>
      <c r="F891" t="s">
        <v>30</v>
      </c>
      <c r="G891" t="s">
        <v>35</v>
      </c>
      <c r="H891">
        <v>76.92</v>
      </c>
      <c r="I891">
        <v>10</v>
      </c>
      <c r="J891">
        <v>38.46</v>
      </c>
      <c r="K891">
        <v>769.2</v>
      </c>
      <c r="L891" s="1">
        <v>44726</v>
      </c>
      <c r="M891" s="7">
        <f>DAY(Data[[#This Row],[Date]])</f>
        <v>14</v>
      </c>
      <c r="N891" s="7">
        <f>MONTH(Data[[#This Row],[Date]])</f>
        <v>6</v>
      </c>
      <c r="O891" s="7">
        <f>YEAR(Data[[#This Row],[Date]])</f>
        <v>2022</v>
      </c>
      <c r="P891" s="2">
        <v>0.82847222222222228</v>
      </c>
      <c r="Q891" t="s">
        <v>22</v>
      </c>
      <c r="R891">
        <v>538.44000000000005</v>
      </c>
      <c r="S891">
        <v>192.3</v>
      </c>
      <c r="T891">
        <v>5.6</v>
      </c>
    </row>
    <row r="892" spans="1:20" x14ac:dyDescent="0.55000000000000004">
      <c r="A892" t="s">
        <v>925</v>
      </c>
      <c r="B892" t="s">
        <v>24</v>
      </c>
      <c r="C892" t="s">
        <v>25</v>
      </c>
      <c r="D892" t="str">
        <f>"Br. "&amp;Data[[#This Row],[Branch]]&amp;" ("&amp;Data[[#This Row],[City]]&amp;")"</f>
        <v>Br. C (Naypyitaw)</v>
      </c>
      <c r="E892" t="s">
        <v>26</v>
      </c>
      <c r="F892" t="s">
        <v>20</v>
      </c>
      <c r="G892" t="s">
        <v>21</v>
      </c>
      <c r="H892">
        <v>83.66</v>
      </c>
      <c r="I892">
        <v>5</v>
      </c>
      <c r="J892">
        <v>20.914999999999999</v>
      </c>
      <c r="K892">
        <v>418.3</v>
      </c>
      <c r="L892" s="1">
        <v>44726</v>
      </c>
      <c r="M892" s="7">
        <f>DAY(Data[[#This Row],[Date]])</f>
        <v>14</v>
      </c>
      <c r="N892" s="7">
        <f>MONTH(Data[[#This Row],[Date]])</f>
        <v>6</v>
      </c>
      <c r="O892" s="7">
        <f>YEAR(Data[[#This Row],[Date]])</f>
        <v>2022</v>
      </c>
      <c r="P892" s="2">
        <v>0.43472222222222223</v>
      </c>
      <c r="Q892" t="s">
        <v>28</v>
      </c>
      <c r="R892">
        <v>292.81</v>
      </c>
      <c r="S892">
        <v>104.575</v>
      </c>
      <c r="T892">
        <v>7.2</v>
      </c>
    </row>
    <row r="893" spans="1:20" x14ac:dyDescent="0.55000000000000004">
      <c r="A893" t="s">
        <v>926</v>
      </c>
      <c r="B893" t="s">
        <v>41</v>
      </c>
      <c r="C893" t="s">
        <v>42</v>
      </c>
      <c r="D893" t="str">
        <f>"Br. "&amp;Data[[#This Row],[Branch]]&amp;" ("&amp;Data[[#This Row],[City]]&amp;")"</f>
        <v>Br. B (Mandalay)</v>
      </c>
      <c r="E893" t="s">
        <v>26</v>
      </c>
      <c r="F893" t="s">
        <v>20</v>
      </c>
      <c r="G893" t="s">
        <v>27</v>
      </c>
      <c r="H893">
        <v>57.91</v>
      </c>
      <c r="I893">
        <v>8</v>
      </c>
      <c r="J893">
        <v>23.164000000000001</v>
      </c>
      <c r="K893">
        <v>463.28</v>
      </c>
      <c r="L893" s="1">
        <v>44726</v>
      </c>
      <c r="M893" s="7">
        <f>DAY(Data[[#This Row],[Date]])</f>
        <v>14</v>
      </c>
      <c r="N893" s="7">
        <f>MONTH(Data[[#This Row],[Date]])</f>
        <v>6</v>
      </c>
      <c r="O893" s="7">
        <f>YEAR(Data[[#This Row],[Date]])</f>
        <v>2022</v>
      </c>
      <c r="P893" s="2">
        <v>0.62916666666666665</v>
      </c>
      <c r="Q893" t="s">
        <v>28</v>
      </c>
      <c r="R893">
        <v>324.29599999999999</v>
      </c>
      <c r="S893">
        <v>115.82</v>
      </c>
      <c r="T893">
        <v>8.1</v>
      </c>
    </row>
    <row r="894" spans="1:20" x14ac:dyDescent="0.55000000000000004">
      <c r="A894" t="s">
        <v>927</v>
      </c>
      <c r="B894" t="s">
        <v>24</v>
      </c>
      <c r="C894" t="s">
        <v>25</v>
      </c>
      <c r="D894" t="str">
        <f>"Br. "&amp;Data[[#This Row],[Branch]]&amp;" ("&amp;Data[[#This Row],[City]]&amp;")"</f>
        <v>Br. C (Naypyitaw)</v>
      </c>
      <c r="E894" t="s">
        <v>19</v>
      </c>
      <c r="F894" t="s">
        <v>20</v>
      </c>
      <c r="G894" t="s">
        <v>45</v>
      </c>
      <c r="H894">
        <v>92.49</v>
      </c>
      <c r="I894">
        <v>5</v>
      </c>
      <c r="J894">
        <v>23.122499999999999</v>
      </c>
      <c r="K894">
        <v>462.45</v>
      </c>
      <c r="L894" s="1">
        <v>44726</v>
      </c>
      <c r="M894" s="7">
        <f>DAY(Data[[#This Row],[Date]])</f>
        <v>14</v>
      </c>
      <c r="N894" s="7">
        <f>MONTH(Data[[#This Row],[Date]])</f>
        <v>6</v>
      </c>
      <c r="O894" s="7">
        <f>YEAR(Data[[#This Row],[Date]])</f>
        <v>2022</v>
      </c>
      <c r="P894" s="2">
        <v>0.69097222222222221</v>
      </c>
      <c r="Q894" t="s">
        <v>32</v>
      </c>
      <c r="R894">
        <v>323.71499999999997</v>
      </c>
      <c r="S894">
        <v>115.6125</v>
      </c>
      <c r="T894">
        <v>8.6</v>
      </c>
    </row>
    <row r="895" spans="1:20" x14ac:dyDescent="0.55000000000000004">
      <c r="A895" t="s">
        <v>928</v>
      </c>
      <c r="B895" t="s">
        <v>41</v>
      </c>
      <c r="C895" t="s">
        <v>42</v>
      </c>
      <c r="D895" t="str">
        <f>"Br. "&amp;Data[[#This Row],[Branch]]&amp;" ("&amp;Data[[#This Row],[City]]&amp;")"</f>
        <v>Br. B (Mandalay)</v>
      </c>
      <c r="E895" t="s">
        <v>26</v>
      </c>
      <c r="F895" t="s">
        <v>30</v>
      </c>
      <c r="G895" t="s">
        <v>27</v>
      </c>
      <c r="H895">
        <v>28.38</v>
      </c>
      <c r="I895">
        <v>5</v>
      </c>
      <c r="J895">
        <v>7.0949999999999998</v>
      </c>
      <c r="K895">
        <v>141.9</v>
      </c>
      <c r="L895" s="1">
        <v>44726</v>
      </c>
      <c r="M895" s="7">
        <f>DAY(Data[[#This Row],[Date]])</f>
        <v>14</v>
      </c>
      <c r="N895" s="7">
        <f>MONTH(Data[[#This Row],[Date]])</f>
        <v>6</v>
      </c>
      <c r="O895" s="7">
        <f>YEAR(Data[[#This Row],[Date]])</f>
        <v>2022</v>
      </c>
      <c r="P895" s="2">
        <v>0.87291666666666667</v>
      </c>
      <c r="Q895" t="s">
        <v>28</v>
      </c>
      <c r="R895">
        <v>99.33</v>
      </c>
      <c r="S895">
        <v>35.475000000000001</v>
      </c>
      <c r="T895">
        <v>9.4</v>
      </c>
    </row>
    <row r="896" spans="1:20" x14ac:dyDescent="0.55000000000000004">
      <c r="A896" t="s">
        <v>929</v>
      </c>
      <c r="B896" t="s">
        <v>41</v>
      </c>
      <c r="C896" t="s">
        <v>42</v>
      </c>
      <c r="D896" t="str">
        <f>"Br. "&amp;Data[[#This Row],[Branch]]&amp;" ("&amp;Data[[#This Row],[City]]&amp;")"</f>
        <v>Br. B (Mandalay)</v>
      </c>
      <c r="E896" t="s">
        <v>19</v>
      </c>
      <c r="F896" t="s">
        <v>30</v>
      </c>
      <c r="G896" t="s">
        <v>27</v>
      </c>
      <c r="H896">
        <v>50.45</v>
      </c>
      <c r="I896">
        <v>6</v>
      </c>
      <c r="J896">
        <v>15.135</v>
      </c>
      <c r="K896">
        <v>302.7</v>
      </c>
      <c r="L896" s="1">
        <v>44726</v>
      </c>
      <c r="M896" s="7">
        <f>DAY(Data[[#This Row],[Date]])</f>
        <v>14</v>
      </c>
      <c r="N896" s="7">
        <f>MONTH(Data[[#This Row],[Date]])</f>
        <v>6</v>
      </c>
      <c r="O896" s="7">
        <f>YEAR(Data[[#This Row],[Date]])</f>
        <v>2022</v>
      </c>
      <c r="P896" s="2">
        <v>0.63611111111111107</v>
      </c>
      <c r="Q896" t="s">
        <v>32</v>
      </c>
      <c r="R896">
        <v>211.89</v>
      </c>
      <c r="S896">
        <v>75.674999999999997</v>
      </c>
      <c r="T896">
        <v>8.9</v>
      </c>
    </row>
    <row r="897" spans="1:20" x14ac:dyDescent="0.55000000000000004">
      <c r="A897" t="s">
        <v>930</v>
      </c>
      <c r="B897" t="s">
        <v>41</v>
      </c>
      <c r="C897" t="s">
        <v>42</v>
      </c>
      <c r="D897" t="str">
        <f>"Br. "&amp;Data[[#This Row],[Branch]]&amp;" ("&amp;Data[[#This Row],[City]]&amp;")"</f>
        <v>Br. B (Mandalay)</v>
      </c>
      <c r="E897" t="s">
        <v>26</v>
      </c>
      <c r="F897" t="s">
        <v>30</v>
      </c>
      <c r="G897" t="s">
        <v>21</v>
      </c>
      <c r="H897">
        <v>99.16</v>
      </c>
      <c r="I897">
        <v>8</v>
      </c>
      <c r="J897">
        <v>39.664000000000001</v>
      </c>
      <c r="K897">
        <v>793.28</v>
      </c>
      <c r="L897" s="1">
        <v>44726</v>
      </c>
      <c r="M897" s="7">
        <f>DAY(Data[[#This Row],[Date]])</f>
        <v>14</v>
      </c>
      <c r="N897" s="7">
        <f>MONTH(Data[[#This Row],[Date]])</f>
        <v>6</v>
      </c>
      <c r="O897" s="7">
        <f>YEAR(Data[[#This Row],[Date]])</f>
        <v>2022</v>
      </c>
      <c r="P897" s="2">
        <v>0.74097222222222225</v>
      </c>
      <c r="Q897" t="s">
        <v>32</v>
      </c>
      <c r="R897">
        <v>555.29600000000005</v>
      </c>
      <c r="S897">
        <v>198.32</v>
      </c>
      <c r="T897">
        <v>4.2</v>
      </c>
    </row>
    <row r="898" spans="1:20" x14ac:dyDescent="0.55000000000000004">
      <c r="A898" t="s">
        <v>931</v>
      </c>
      <c r="B898" t="s">
        <v>24</v>
      </c>
      <c r="C898" t="s">
        <v>25</v>
      </c>
      <c r="D898" t="str">
        <f>"Br. "&amp;Data[[#This Row],[Branch]]&amp;" ("&amp;Data[[#This Row],[City]]&amp;")"</f>
        <v>Br. C (Naypyitaw)</v>
      </c>
      <c r="E898" t="s">
        <v>26</v>
      </c>
      <c r="F898" t="s">
        <v>30</v>
      </c>
      <c r="G898" t="s">
        <v>45</v>
      </c>
      <c r="H898">
        <v>60.74</v>
      </c>
      <c r="I898">
        <v>7</v>
      </c>
      <c r="J898">
        <v>21.259</v>
      </c>
      <c r="K898">
        <v>425.18</v>
      </c>
      <c r="L898" s="1">
        <v>44726</v>
      </c>
      <c r="M898" s="7">
        <f>DAY(Data[[#This Row],[Date]])</f>
        <v>14</v>
      </c>
      <c r="N898" s="7">
        <f>MONTH(Data[[#This Row],[Date]])</f>
        <v>6</v>
      </c>
      <c r="O898" s="7">
        <f>YEAR(Data[[#This Row],[Date]])</f>
        <v>2022</v>
      </c>
      <c r="P898" s="2">
        <v>0.68263888888888891</v>
      </c>
      <c r="Q898" t="s">
        <v>22</v>
      </c>
      <c r="R898">
        <v>297.62599999999998</v>
      </c>
      <c r="S898">
        <v>106.295</v>
      </c>
      <c r="T898">
        <v>5</v>
      </c>
    </row>
    <row r="899" spans="1:20" x14ac:dyDescent="0.55000000000000004">
      <c r="A899" t="s">
        <v>932</v>
      </c>
      <c r="B899" t="s">
        <v>24</v>
      </c>
      <c r="C899" t="s">
        <v>25</v>
      </c>
      <c r="D899" t="str">
        <f>"Br. "&amp;Data[[#This Row],[Branch]]&amp;" ("&amp;Data[[#This Row],[City]]&amp;")"</f>
        <v>Br. C (Naypyitaw)</v>
      </c>
      <c r="E899" t="s">
        <v>19</v>
      </c>
      <c r="F899" t="s">
        <v>20</v>
      </c>
      <c r="G899" t="s">
        <v>43</v>
      </c>
      <c r="H899">
        <v>47.27</v>
      </c>
      <c r="I899">
        <v>6</v>
      </c>
      <c r="J899">
        <v>14.180999999999999</v>
      </c>
      <c r="K899">
        <v>283.62</v>
      </c>
      <c r="L899" s="1">
        <v>44726</v>
      </c>
      <c r="M899" s="7">
        <f>DAY(Data[[#This Row],[Date]])</f>
        <v>14</v>
      </c>
      <c r="N899" s="7">
        <f>MONTH(Data[[#This Row],[Date]])</f>
        <v>6</v>
      </c>
      <c r="O899" s="7">
        <f>YEAR(Data[[#This Row],[Date]])</f>
        <v>2022</v>
      </c>
      <c r="P899" s="2">
        <v>0.4284722222222222</v>
      </c>
      <c r="Q899" t="s">
        <v>28</v>
      </c>
      <c r="R899">
        <v>198.53399999999999</v>
      </c>
      <c r="S899">
        <v>70.905000000000001</v>
      </c>
      <c r="T899">
        <v>8.8000000000000007</v>
      </c>
    </row>
    <row r="900" spans="1:20" x14ac:dyDescent="0.55000000000000004">
      <c r="A900" t="s">
        <v>933</v>
      </c>
      <c r="B900" t="s">
        <v>24</v>
      </c>
      <c r="C900" t="s">
        <v>25</v>
      </c>
      <c r="D900" t="str">
        <f>"Br. "&amp;Data[[#This Row],[Branch]]&amp;" ("&amp;Data[[#This Row],[City]]&amp;")"</f>
        <v>Br. C (Naypyitaw)</v>
      </c>
      <c r="E900" t="s">
        <v>19</v>
      </c>
      <c r="F900" t="s">
        <v>30</v>
      </c>
      <c r="G900" t="s">
        <v>21</v>
      </c>
      <c r="H900">
        <v>85.6</v>
      </c>
      <c r="I900">
        <v>7</v>
      </c>
      <c r="J900">
        <v>29.96</v>
      </c>
      <c r="K900">
        <v>599.20000000000005</v>
      </c>
      <c r="L900" s="1">
        <v>44726</v>
      </c>
      <c r="M900" s="7">
        <f>DAY(Data[[#This Row],[Date]])</f>
        <v>14</v>
      </c>
      <c r="N900" s="7">
        <f>MONTH(Data[[#This Row],[Date]])</f>
        <v>6</v>
      </c>
      <c r="O900" s="7">
        <f>YEAR(Data[[#This Row],[Date]])</f>
        <v>2022</v>
      </c>
      <c r="P900" s="2">
        <v>0.57638888888888884</v>
      </c>
      <c r="Q900" t="s">
        <v>28</v>
      </c>
      <c r="R900">
        <v>419.44</v>
      </c>
      <c r="S900">
        <v>149.80000000000001</v>
      </c>
      <c r="T900">
        <v>5.3</v>
      </c>
    </row>
    <row r="901" spans="1:20" x14ac:dyDescent="0.55000000000000004">
      <c r="A901" t="s">
        <v>934</v>
      </c>
      <c r="B901" t="s">
        <v>17</v>
      </c>
      <c r="C901" t="s">
        <v>18</v>
      </c>
      <c r="D901" t="str">
        <f>"Br. "&amp;Data[[#This Row],[Branch]]&amp;" ("&amp;Data[[#This Row],[City]]&amp;")"</f>
        <v>Br. A (Yangon)</v>
      </c>
      <c r="E901" t="s">
        <v>19</v>
      </c>
      <c r="F901" t="s">
        <v>30</v>
      </c>
      <c r="G901" t="s">
        <v>43</v>
      </c>
      <c r="H901">
        <v>35.04</v>
      </c>
      <c r="I901">
        <v>9</v>
      </c>
      <c r="J901">
        <v>15.768000000000001</v>
      </c>
      <c r="K901">
        <v>315.36</v>
      </c>
      <c r="L901" s="1">
        <v>44726</v>
      </c>
      <c r="M901" s="7">
        <f>DAY(Data[[#This Row],[Date]])</f>
        <v>14</v>
      </c>
      <c r="N901" s="7">
        <f>MONTH(Data[[#This Row],[Date]])</f>
        <v>6</v>
      </c>
      <c r="O901" s="7">
        <f>YEAR(Data[[#This Row],[Date]])</f>
        <v>2022</v>
      </c>
      <c r="P901" s="2">
        <v>0.80347222222222225</v>
      </c>
      <c r="Q901" t="s">
        <v>22</v>
      </c>
      <c r="R901">
        <v>220.75200000000001</v>
      </c>
      <c r="S901">
        <v>78.84</v>
      </c>
      <c r="T901">
        <v>4.5999999999999996</v>
      </c>
    </row>
    <row r="902" spans="1:20" x14ac:dyDescent="0.55000000000000004">
      <c r="A902" t="s">
        <v>935</v>
      </c>
      <c r="B902" t="s">
        <v>24</v>
      </c>
      <c r="C902" t="s">
        <v>25</v>
      </c>
      <c r="D902" t="str">
        <f>"Br. "&amp;Data[[#This Row],[Branch]]&amp;" ("&amp;Data[[#This Row],[City]]&amp;")"</f>
        <v>Br. C (Naypyitaw)</v>
      </c>
      <c r="E902" t="s">
        <v>19</v>
      </c>
      <c r="F902" t="s">
        <v>20</v>
      </c>
      <c r="G902" t="s">
        <v>27</v>
      </c>
      <c r="H902">
        <v>44.84</v>
      </c>
      <c r="I902">
        <v>9</v>
      </c>
      <c r="J902">
        <v>20.178000000000001</v>
      </c>
      <c r="K902">
        <v>403.56</v>
      </c>
      <c r="L902" s="1">
        <v>44726</v>
      </c>
      <c r="M902" s="7">
        <f>DAY(Data[[#This Row],[Date]])</f>
        <v>14</v>
      </c>
      <c r="N902" s="7">
        <f>MONTH(Data[[#This Row],[Date]])</f>
        <v>6</v>
      </c>
      <c r="O902" s="7">
        <f>YEAR(Data[[#This Row],[Date]])</f>
        <v>2022</v>
      </c>
      <c r="P902" s="2">
        <v>0.58333333333333337</v>
      </c>
      <c r="Q902" t="s">
        <v>32</v>
      </c>
      <c r="R902">
        <v>282.49200000000002</v>
      </c>
      <c r="S902">
        <v>100.89</v>
      </c>
      <c r="T902">
        <v>7.5</v>
      </c>
    </row>
    <row r="903" spans="1:20" x14ac:dyDescent="0.55000000000000004">
      <c r="A903" t="s">
        <v>936</v>
      </c>
      <c r="B903" t="s">
        <v>41</v>
      </c>
      <c r="C903" t="s">
        <v>42</v>
      </c>
      <c r="D903" t="str">
        <f>"Br. "&amp;Data[[#This Row],[Branch]]&amp;" ("&amp;Data[[#This Row],[City]]&amp;")"</f>
        <v>Br. B (Mandalay)</v>
      </c>
      <c r="E903" t="s">
        <v>26</v>
      </c>
      <c r="F903" t="s">
        <v>30</v>
      </c>
      <c r="G903" t="s">
        <v>31</v>
      </c>
      <c r="H903">
        <v>45.97</v>
      </c>
      <c r="I903">
        <v>4</v>
      </c>
      <c r="J903">
        <v>9.1940000000000008</v>
      </c>
      <c r="K903">
        <v>183.88</v>
      </c>
      <c r="L903" s="1">
        <v>44726</v>
      </c>
      <c r="M903" s="7">
        <f>DAY(Data[[#This Row],[Date]])</f>
        <v>14</v>
      </c>
      <c r="N903" s="7">
        <f>MONTH(Data[[#This Row],[Date]])</f>
        <v>6</v>
      </c>
      <c r="O903" s="7">
        <f>YEAR(Data[[#This Row],[Date]])</f>
        <v>2022</v>
      </c>
      <c r="P903" s="2">
        <v>0.50138888888888888</v>
      </c>
      <c r="Q903" t="s">
        <v>22</v>
      </c>
      <c r="R903">
        <v>128.71600000000001</v>
      </c>
      <c r="S903">
        <v>45.97</v>
      </c>
      <c r="T903">
        <v>5.0999999999999996</v>
      </c>
    </row>
    <row r="904" spans="1:20" x14ac:dyDescent="0.55000000000000004">
      <c r="A904" t="s">
        <v>937</v>
      </c>
      <c r="B904" t="s">
        <v>17</v>
      </c>
      <c r="C904" t="s">
        <v>18</v>
      </c>
      <c r="D904" t="str">
        <f>"Br. "&amp;Data[[#This Row],[Branch]]&amp;" ("&amp;Data[[#This Row],[City]]&amp;")"</f>
        <v>Br. A (Yangon)</v>
      </c>
      <c r="E904" t="s">
        <v>19</v>
      </c>
      <c r="F904" t="s">
        <v>20</v>
      </c>
      <c r="G904" t="s">
        <v>21</v>
      </c>
      <c r="H904">
        <v>27.73</v>
      </c>
      <c r="I904">
        <v>5</v>
      </c>
      <c r="J904">
        <v>6.9325000000000001</v>
      </c>
      <c r="K904">
        <v>138.65</v>
      </c>
      <c r="L904" s="1">
        <v>44726</v>
      </c>
      <c r="M904" s="7">
        <f>DAY(Data[[#This Row],[Date]])</f>
        <v>14</v>
      </c>
      <c r="N904" s="7">
        <f>MONTH(Data[[#This Row],[Date]])</f>
        <v>6</v>
      </c>
      <c r="O904" s="7">
        <f>YEAR(Data[[#This Row],[Date]])</f>
        <v>2022</v>
      </c>
      <c r="P904" s="2">
        <v>0.84791666666666665</v>
      </c>
      <c r="Q904" t="s">
        <v>32</v>
      </c>
      <c r="R904">
        <v>97.055000000000007</v>
      </c>
      <c r="S904">
        <v>34.662500000000001</v>
      </c>
      <c r="T904">
        <v>4.2</v>
      </c>
    </row>
    <row r="905" spans="1:20" x14ac:dyDescent="0.55000000000000004">
      <c r="A905" t="s">
        <v>938</v>
      </c>
      <c r="B905" t="s">
        <v>17</v>
      </c>
      <c r="C905" t="s">
        <v>18</v>
      </c>
      <c r="D905" t="str">
        <f>"Br. "&amp;Data[[#This Row],[Branch]]&amp;" ("&amp;Data[[#This Row],[City]]&amp;")"</f>
        <v>Br. A (Yangon)</v>
      </c>
      <c r="E905" t="s">
        <v>26</v>
      </c>
      <c r="F905" t="s">
        <v>30</v>
      </c>
      <c r="G905" t="s">
        <v>43</v>
      </c>
      <c r="H905">
        <v>11.53</v>
      </c>
      <c r="I905">
        <v>7</v>
      </c>
      <c r="J905">
        <v>4.0354999999999999</v>
      </c>
      <c r="K905">
        <v>80.709999999999994</v>
      </c>
      <c r="L905" s="1">
        <v>44726</v>
      </c>
      <c r="M905" s="7">
        <f>DAY(Data[[#This Row],[Date]])</f>
        <v>14</v>
      </c>
      <c r="N905" s="7">
        <f>MONTH(Data[[#This Row],[Date]])</f>
        <v>6</v>
      </c>
      <c r="O905" s="7">
        <f>YEAR(Data[[#This Row],[Date]])</f>
        <v>2022</v>
      </c>
      <c r="P905" s="2">
        <v>0.73263888888888884</v>
      </c>
      <c r="Q905" t="s">
        <v>28</v>
      </c>
      <c r="R905">
        <v>56.497</v>
      </c>
      <c r="S905">
        <v>20.177499999999998</v>
      </c>
      <c r="T905">
        <v>8.1</v>
      </c>
    </row>
    <row r="906" spans="1:20" x14ac:dyDescent="0.55000000000000004">
      <c r="A906" t="s">
        <v>939</v>
      </c>
      <c r="B906" t="s">
        <v>24</v>
      </c>
      <c r="C906" t="s">
        <v>25</v>
      </c>
      <c r="D906" t="str">
        <f>"Br. "&amp;Data[[#This Row],[Branch]]&amp;" ("&amp;Data[[#This Row],[City]]&amp;")"</f>
        <v>Br. C (Naypyitaw)</v>
      </c>
      <c r="E906" t="s">
        <v>26</v>
      </c>
      <c r="F906" t="s">
        <v>20</v>
      </c>
      <c r="G906" t="s">
        <v>21</v>
      </c>
      <c r="H906">
        <v>58.32</v>
      </c>
      <c r="I906">
        <v>2</v>
      </c>
      <c r="J906">
        <v>5.8319999999999999</v>
      </c>
      <c r="K906">
        <v>116.64</v>
      </c>
      <c r="L906" s="1">
        <v>44726</v>
      </c>
      <c r="M906" s="7">
        <f>DAY(Data[[#This Row],[Date]])</f>
        <v>14</v>
      </c>
      <c r="N906" s="7">
        <f>MONTH(Data[[#This Row],[Date]])</f>
        <v>6</v>
      </c>
      <c r="O906" s="7">
        <f>YEAR(Data[[#This Row],[Date]])</f>
        <v>2022</v>
      </c>
      <c r="P906" s="2">
        <v>0.52916666666666667</v>
      </c>
      <c r="Q906" t="s">
        <v>22</v>
      </c>
      <c r="R906">
        <v>81.647999999999996</v>
      </c>
      <c r="S906">
        <v>29.16</v>
      </c>
      <c r="T906">
        <v>6</v>
      </c>
    </row>
    <row r="907" spans="1:20" x14ac:dyDescent="0.55000000000000004">
      <c r="A907" t="s">
        <v>940</v>
      </c>
      <c r="B907" t="s">
        <v>24</v>
      </c>
      <c r="C907" t="s">
        <v>25</v>
      </c>
      <c r="D907" t="str">
        <f>"Br. "&amp;Data[[#This Row],[Branch]]&amp;" ("&amp;Data[[#This Row],[City]]&amp;")"</f>
        <v>Br. C (Naypyitaw)</v>
      </c>
      <c r="E907" t="s">
        <v>19</v>
      </c>
      <c r="F907" t="s">
        <v>20</v>
      </c>
      <c r="G907" t="s">
        <v>31</v>
      </c>
      <c r="H907">
        <v>78.38</v>
      </c>
      <c r="I907">
        <v>4</v>
      </c>
      <c r="J907">
        <v>15.676</v>
      </c>
      <c r="K907">
        <v>313.52</v>
      </c>
      <c r="L907" s="1">
        <v>44726</v>
      </c>
      <c r="M907" s="7">
        <f>DAY(Data[[#This Row],[Date]])</f>
        <v>14</v>
      </c>
      <c r="N907" s="7">
        <f>MONTH(Data[[#This Row],[Date]])</f>
        <v>6</v>
      </c>
      <c r="O907" s="7">
        <f>YEAR(Data[[#This Row],[Date]])</f>
        <v>2022</v>
      </c>
      <c r="P907" s="2">
        <v>0.74722222222222223</v>
      </c>
      <c r="Q907" t="s">
        <v>28</v>
      </c>
      <c r="R907">
        <v>219.464</v>
      </c>
      <c r="S907">
        <v>78.38</v>
      </c>
      <c r="T907">
        <v>7.9</v>
      </c>
    </row>
    <row r="908" spans="1:20" x14ac:dyDescent="0.55000000000000004">
      <c r="A908" t="s">
        <v>941</v>
      </c>
      <c r="B908" t="s">
        <v>24</v>
      </c>
      <c r="C908" t="s">
        <v>25</v>
      </c>
      <c r="D908" t="str">
        <f>"Br. "&amp;Data[[#This Row],[Branch]]&amp;" ("&amp;Data[[#This Row],[City]]&amp;")"</f>
        <v>Br. C (Naypyitaw)</v>
      </c>
      <c r="E908" t="s">
        <v>26</v>
      </c>
      <c r="F908" t="s">
        <v>30</v>
      </c>
      <c r="G908" t="s">
        <v>21</v>
      </c>
      <c r="H908">
        <v>84.61</v>
      </c>
      <c r="I908">
        <v>10</v>
      </c>
      <c r="J908">
        <v>42.305</v>
      </c>
      <c r="K908">
        <v>846.1</v>
      </c>
      <c r="L908" s="1">
        <v>44726</v>
      </c>
      <c r="M908" s="7">
        <f>DAY(Data[[#This Row],[Date]])</f>
        <v>14</v>
      </c>
      <c r="N908" s="7">
        <f>MONTH(Data[[#This Row],[Date]])</f>
        <v>6</v>
      </c>
      <c r="O908" s="7">
        <f>YEAR(Data[[#This Row],[Date]])</f>
        <v>2022</v>
      </c>
      <c r="P908" s="2">
        <v>0.79027777777777775</v>
      </c>
      <c r="Q908" t="s">
        <v>32</v>
      </c>
      <c r="R908">
        <v>592.27</v>
      </c>
      <c r="S908">
        <v>211.52500000000001</v>
      </c>
      <c r="T908">
        <v>8.8000000000000007</v>
      </c>
    </row>
    <row r="909" spans="1:20" x14ac:dyDescent="0.55000000000000004">
      <c r="A909" t="s">
        <v>942</v>
      </c>
      <c r="B909" t="s">
        <v>41</v>
      </c>
      <c r="C909" t="s">
        <v>42</v>
      </c>
      <c r="D909" t="str">
        <f>"Br. "&amp;Data[[#This Row],[Branch]]&amp;" ("&amp;Data[[#This Row],[City]]&amp;")"</f>
        <v>Br. B (Mandalay)</v>
      </c>
      <c r="E909" t="s">
        <v>26</v>
      </c>
      <c r="F909" t="s">
        <v>20</v>
      </c>
      <c r="G909" t="s">
        <v>21</v>
      </c>
      <c r="H909">
        <v>82.88</v>
      </c>
      <c r="I909">
        <v>5</v>
      </c>
      <c r="J909">
        <v>20.72</v>
      </c>
      <c r="K909">
        <v>414.4</v>
      </c>
      <c r="L909" s="1">
        <v>44726</v>
      </c>
      <c r="M909" s="7">
        <f>DAY(Data[[#This Row],[Date]])</f>
        <v>14</v>
      </c>
      <c r="N909" s="7">
        <f>MONTH(Data[[#This Row],[Date]])</f>
        <v>6</v>
      </c>
      <c r="O909" s="7">
        <f>YEAR(Data[[#This Row],[Date]])</f>
        <v>2022</v>
      </c>
      <c r="P909" s="2">
        <v>0.58888888888888891</v>
      </c>
      <c r="Q909" t="s">
        <v>32</v>
      </c>
      <c r="R909">
        <v>290.08</v>
      </c>
      <c r="S909">
        <v>103.6</v>
      </c>
      <c r="T909">
        <v>6.6</v>
      </c>
    </row>
    <row r="910" spans="1:20" x14ac:dyDescent="0.55000000000000004">
      <c r="A910" t="s">
        <v>943</v>
      </c>
      <c r="B910" t="s">
        <v>17</v>
      </c>
      <c r="C910" t="s">
        <v>18</v>
      </c>
      <c r="D910" t="str">
        <f>"Br. "&amp;Data[[#This Row],[Branch]]&amp;" ("&amp;Data[[#This Row],[City]]&amp;")"</f>
        <v>Br. A (Yangon)</v>
      </c>
      <c r="E910" t="s">
        <v>19</v>
      </c>
      <c r="F910" t="s">
        <v>20</v>
      </c>
      <c r="G910" t="s">
        <v>43</v>
      </c>
      <c r="H910">
        <v>79.540000000000006</v>
      </c>
      <c r="I910">
        <v>2</v>
      </c>
      <c r="J910">
        <v>7.9539999999999997</v>
      </c>
      <c r="K910">
        <v>159.08000000000001</v>
      </c>
      <c r="L910" s="1">
        <v>44726</v>
      </c>
      <c r="M910" s="7">
        <f>DAY(Data[[#This Row],[Date]])</f>
        <v>14</v>
      </c>
      <c r="N910" s="7">
        <f>MONTH(Data[[#This Row],[Date]])</f>
        <v>6</v>
      </c>
      <c r="O910" s="7">
        <f>YEAR(Data[[#This Row],[Date]])</f>
        <v>2022</v>
      </c>
      <c r="P910" s="2">
        <v>0.6875</v>
      </c>
      <c r="Q910" t="s">
        <v>22</v>
      </c>
      <c r="R910">
        <v>111.35599999999999</v>
      </c>
      <c r="S910">
        <v>39.770000000000003</v>
      </c>
      <c r="T910">
        <v>6.2</v>
      </c>
    </row>
    <row r="911" spans="1:20" x14ac:dyDescent="0.55000000000000004">
      <c r="A911" t="s">
        <v>944</v>
      </c>
      <c r="B911" t="s">
        <v>41</v>
      </c>
      <c r="C911" t="s">
        <v>42</v>
      </c>
      <c r="D911" t="str">
        <f>"Br. "&amp;Data[[#This Row],[Branch]]&amp;" ("&amp;Data[[#This Row],[City]]&amp;")"</f>
        <v>Br. B (Mandalay)</v>
      </c>
      <c r="E911" t="s">
        <v>26</v>
      </c>
      <c r="F911" t="s">
        <v>20</v>
      </c>
      <c r="G911" t="s">
        <v>31</v>
      </c>
      <c r="H911">
        <v>49.01</v>
      </c>
      <c r="I911">
        <v>10</v>
      </c>
      <c r="J911">
        <v>24.504999999999999</v>
      </c>
      <c r="K911">
        <v>490.1</v>
      </c>
      <c r="L911" s="1">
        <v>44726</v>
      </c>
      <c r="M911" s="7">
        <f>DAY(Data[[#This Row],[Date]])</f>
        <v>14</v>
      </c>
      <c r="N911" s="7">
        <f>MONTH(Data[[#This Row],[Date]])</f>
        <v>6</v>
      </c>
      <c r="O911" s="7">
        <f>YEAR(Data[[#This Row],[Date]])</f>
        <v>2022</v>
      </c>
      <c r="P911" s="2">
        <v>0.44722222222222224</v>
      </c>
      <c r="Q911" t="s">
        <v>32</v>
      </c>
      <c r="R911">
        <v>343.07</v>
      </c>
      <c r="S911">
        <v>122.52500000000001</v>
      </c>
      <c r="T911">
        <v>4.2</v>
      </c>
    </row>
    <row r="912" spans="1:20" x14ac:dyDescent="0.55000000000000004">
      <c r="A912" t="s">
        <v>945</v>
      </c>
      <c r="B912" t="s">
        <v>41</v>
      </c>
      <c r="C912" t="s">
        <v>42</v>
      </c>
      <c r="D912" t="str">
        <f>"Br. "&amp;Data[[#This Row],[Branch]]&amp;" ("&amp;Data[[#This Row],[City]]&amp;")"</f>
        <v>Br. B (Mandalay)</v>
      </c>
      <c r="E912" t="s">
        <v>19</v>
      </c>
      <c r="F912" t="s">
        <v>20</v>
      </c>
      <c r="G912" t="s">
        <v>43</v>
      </c>
      <c r="H912">
        <v>29.15</v>
      </c>
      <c r="I912">
        <v>3</v>
      </c>
      <c r="J912">
        <v>4.3724999999999996</v>
      </c>
      <c r="K912">
        <v>87.45</v>
      </c>
      <c r="L912" s="1">
        <v>44726</v>
      </c>
      <c r="M912" s="7">
        <f>DAY(Data[[#This Row],[Date]])</f>
        <v>14</v>
      </c>
      <c r="N912" s="7">
        <f>MONTH(Data[[#This Row],[Date]])</f>
        <v>6</v>
      </c>
      <c r="O912" s="7">
        <f>YEAR(Data[[#This Row],[Date]])</f>
        <v>2022</v>
      </c>
      <c r="P912" s="2">
        <v>0.85347222222222219</v>
      </c>
      <c r="Q912" t="s">
        <v>32</v>
      </c>
      <c r="R912">
        <v>61.215000000000003</v>
      </c>
      <c r="S912">
        <v>21.862500000000001</v>
      </c>
      <c r="T912">
        <v>7.3</v>
      </c>
    </row>
    <row r="913" spans="1:20" x14ac:dyDescent="0.55000000000000004">
      <c r="A913" t="s">
        <v>946</v>
      </c>
      <c r="B913" t="s">
        <v>24</v>
      </c>
      <c r="C913" t="s">
        <v>25</v>
      </c>
      <c r="D913" t="str">
        <f>"Br. "&amp;Data[[#This Row],[Branch]]&amp;" ("&amp;Data[[#This Row],[City]]&amp;")"</f>
        <v>Br. C (Naypyitaw)</v>
      </c>
      <c r="E913" t="s">
        <v>26</v>
      </c>
      <c r="F913" t="s">
        <v>20</v>
      </c>
      <c r="G913" t="s">
        <v>27</v>
      </c>
      <c r="H913">
        <v>56.13</v>
      </c>
      <c r="I913">
        <v>4</v>
      </c>
      <c r="J913">
        <v>11.226000000000001</v>
      </c>
      <c r="K913">
        <v>224.52</v>
      </c>
      <c r="L913" s="1">
        <v>44726</v>
      </c>
      <c r="M913" s="7">
        <f>DAY(Data[[#This Row],[Date]])</f>
        <v>14</v>
      </c>
      <c r="N913" s="7">
        <f>MONTH(Data[[#This Row],[Date]])</f>
        <v>6</v>
      </c>
      <c r="O913" s="7">
        <f>YEAR(Data[[#This Row],[Date]])</f>
        <v>2022</v>
      </c>
      <c r="P913" s="2">
        <v>0.48819444444444443</v>
      </c>
      <c r="Q913" t="s">
        <v>22</v>
      </c>
      <c r="R913">
        <v>157.16399999999999</v>
      </c>
      <c r="S913">
        <v>56.13</v>
      </c>
      <c r="T913">
        <v>8.6</v>
      </c>
    </row>
    <row r="914" spans="1:20" x14ac:dyDescent="0.55000000000000004">
      <c r="A914" t="s">
        <v>947</v>
      </c>
      <c r="B914" t="s">
        <v>17</v>
      </c>
      <c r="C914" t="s">
        <v>18</v>
      </c>
      <c r="D914" t="str">
        <f>"Br. "&amp;Data[[#This Row],[Branch]]&amp;" ("&amp;Data[[#This Row],[City]]&amp;")"</f>
        <v>Br. A (Yangon)</v>
      </c>
      <c r="E914" t="s">
        <v>26</v>
      </c>
      <c r="F914" t="s">
        <v>20</v>
      </c>
      <c r="G914" t="s">
        <v>31</v>
      </c>
      <c r="H914">
        <v>93.12</v>
      </c>
      <c r="I914">
        <v>8</v>
      </c>
      <c r="J914">
        <v>37.247999999999998</v>
      </c>
      <c r="K914">
        <v>744.96</v>
      </c>
      <c r="L914" s="1">
        <v>44726</v>
      </c>
      <c r="M914" s="7">
        <f>DAY(Data[[#This Row],[Date]])</f>
        <v>14</v>
      </c>
      <c r="N914" s="7">
        <f>MONTH(Data[[#This Row],[Date]])</f>
        <v>6</v>
      </c>
      <c r="O914" s="7">
        <f>YEAR(Data[[#This Row],[Date]])</f>
        <v>2022</v>
      </c>
      <c r="P914" s="2">
        <v>0.42291666666666666</v>
      </c>
      <c r="Q914" t="s">
        <v>28</v>
      </c>
      <c r="R914">
        <v>521.47199999999998</v>
      </c>
      <c r="S914">
        <v>186.24</v>
      </c>
      <c r="T914">
        <v>6.8</v>
      </c>
    </row>
    <row r="915" spans="1:20" x14ac:dyDescent="0.55000000000000004">
      <c r="A915" t="s">
        <v>948</v>
      </c>
      <c r="B915" t="s">
        <v>17</v>
      </c>
      <c r="C915" t="s">
        <v>18</v>
      </c>
      <c r="D915" t="str">
        <f>"Br. "&amp;Data[[#This Row],[Branch]]&amp;" ("&amp;Data[[#This Row],[City]]&amp;")"</f>
        <v>Br. A (Yangon)</v>
      </c>
      <c r="E915" t="s">
        <v>19</v>
      </c>
      <c r="F915" t="s">
        <v>30</v>
      </c>
      <c r="G915" t="s">
        <v>45</v>
      </c>
      <c r="H915">
        <v>51.34</v>
      </c>
      <c r="I915">
        <v>8</v>
      </c>
      <c r="J915">
        <v>20.536000000000001</v>
      </c>
      <c r="K915">
        <v>410.72</v>
      </c>
      <c r="L915" s="1">
        <v>44726</v>
      </c>
      <c r="M915" s="7">
        <f>DAY(Data[[#This Row],[Date]])</f>
        <v>14</v>
      </c>
      <c r="N915" s="7">
        <f>MONTH(Data[[#This Row],[Date]])</f>
        <v>6</v>
      </c>
      <c r="O915" s="7">
        <f>YEAR(Data[[#This Row],[Date]])</f>
        <v>2022</v>
      </c>
      <c r="P915" s="2">
        <v>0.41666666666666669</v>
      </c>
      <c r="Q915" t="s">
        <v>22</v>
      </c>
      <c r="R915">
        <v>287.50400000000002</v>
      </c>
      <c r="S915">
        <v>102.68</v>
      </c>
      <c r="T915">
        <v>7.6</v>
      </c>
    </row>
    <row r="916" spans="1:20" x14ac:dyDescent="0.55000000000000004">
      <c r="A916" t="s">
        <v>949</v>
      </c>
      <c r="B916" t="s">
        <v>17</v>
      </c>
      <c r="C916" t="s">
        <v>18</v>
      </c>
      <c r="D916" t="str">
        <f>"Br. "&amp;Data[[#This Row],[Branch]]&amp;" ("&amp;Data[[#This Row],[City]]&amp;")"</f>
        <v>Br. A (Yangon)</v>
      </c>
      <c r="E916" t="s">
        <v>19</v>
      </c>
      <c r="F916" t="s">
        <v>20</v>
      </c>
      <c r="G916" t="s">
        <v>43</v>
      </c>
      <c r="H916">
        <v>99.6</v>
      </c>
      <c r="I916">
        <v>3</v>
      </c>
      <c r="J916">
        <v>14.94</v>
      </c>
      <c r="K916">
        <v>298.8</v>
      </c>
      <c r="L916" s="1">
        <v>44726</v>
      </c>
      <c r="M916" s="7">
        <f>DAY(Data[[#This Row],[Date]])</f>
        <v>14</v>
      </c>
      <c r="N916" s="7">
        <f>MONTH(Data[[#This Row],[Date]])</f>
        <v>6</v>
      </c>
      <c r="O916" s="7">
        <f>YEAR(Data[[#This Row],[Date]])</f>
        <v>2022</v>
      </c>
      <c r="P916" s="2">
        <v>0.78125</v>
      </c>
      <c r="Q916" t="s">
        <v>28</v>
      </c>
      <c r="R916">
        <v>209.16</v>
      </c>
      <c r="S916">
        <v>74.7</v>
      </c>
      <c r="T916">
        <v>5.8</v>
      </c>
    </row>
    <row r="917" spans="1:20" x14ac:dyDescent="0.55000000000000004">
      <c r="A917" t="s">
        <v>950</v>
      </c>
      <c r="B917" t="s">
        <v>24</v>
      </c>
      <c r="C917" t="s">
        <v>25</v>
      </c>
      <c r="D917" t="str">
        <f>"Br. "&amp;Data[[#This Row],[Branch]]&amp;" ("&amp;Data[[#This Row],[City]]&amp;")"</f>
        <v>Br. C (Naypyitaw)</v>
      </c>
      <c r="E917" t="s">
        <v>26</v>
      </c>
      <c r="F917" t="s">
        <v>20</v>
      </c>
      <c r="G917" t="s">
        <v>27</v>
      </c>
      <c r="H917">
        <v>35.49</v>
      </c>
      <c r="I917">
        <v>6</v>
      </c>
      <c r="J917">
        <v>10.647</v>
      </c>
      <c r="K917">
        <v>212.94</v>
      </c>
      <c r="L917" s="1">
        <v>44726</v>
      </c>
      <c r="M917" s="7">
        <f>DAY(Data[[#This Row],[Date]])</f>
        <v>14</v>
      </c>
      <c r="N917" s="7">
        <f>MONTH(Data[[#This Row],[Date]])</f>
        <v>6</v>
      </c>
      <c r="O917" s="7">
        <f>YEAR(Data[[#This Row],[Date]])</f>
        <v>2022</v>
      </c>
      <c r="P917" s="2">
        <v>0.52777777777777779</v>
      </c>
      <c r="Q917" t="s">
        <v>28</v>
      </c>
      <c r="R917">
        <v>149.05799999999999</v>
      </c>
      <c r="S917">
        <v>53.234999999999999</v>
      </c>
      <c r="T917">
        <v>4.0999999999999996</v>
      </c>
    </row>
    <row r="918" spans="1:20" x14ac:dyDescent="0.55000000000000004">
      <c r="A918" t="s">
        <v>951</v>
      </c>
      <c r="B918" t="s">
        <v>24</v>
      </c>
      <c r="C918" t="s">
        <v>25</v>
      </c>
      <c r="D918" t="str">
        <f>"Br. "&amp;Data[[#This Row],[Branch]]&amp;" ("&amp;Data[[#This Row],[City]]&amp;")"</f>
        <v>Br. C (Naypyitaw)</v>
      </c>
      <c r="E918" t="s">
        <v>19</v>
      </c>
      <c r="F918" t="s">
        <v>30</v>
      </c>
      <c r="G918" t="s">
        <v>35</v>
      </c>
      <c r="H918">
        <v>42.85</v>
      </c>
      <c r="I918">
        <v>1</v>
      </c>
      <c r="J918">
        <v>2.1425000000000001</v>
      </c>
      <c r="K918">
        <v>42.85</v>
      </c>
      <c r="L918" s="1">
        <v>44726</v>
      </c>
      <c r="M918" s="7">
        <f>DAY(Data[[#This Row],[Date]])</f>
        <v>14</v>
      </c>
      <c r="N918" s="7">
        <f>MONTH(Data[[#This Row],[Date]])</f>
        <v>6</v>
      </c>
      <c r="O918" s="7">
        <f>YEAR(Data[[#This Row],[Date]])</f>
        <v>2022</v>
      </c>
      <c r="P918" s="2">
        <v>0.65</v>
      </c>
      <c r="Q918" t="s">
        <v>32</v>
      </c>
      <c r="R918">
        <v>29.995000000000001</v>
      </c>
      <c r="S918">
        <v>10.7125</v>
      </c>
      <c r="T918">
        <v>9.3000000000000007</v>
      </c>
    </row>
    <row r="919" spans="1:20" x14ac:dyDescent="0.55000000000000004">
      <c r="A919" t="s">
        <v>952</v>
      </c>
      <c r="B919" t="s">
        <v>17</v>
      </c>
      <c r="C919" t="s">
        <v>18</v>
      </c>
      <c r="D919" t="str">
        <f>"Br. "&amp;Data[[#This Row],[Branch]]&amp;" ("&amp;Data[[#This Row],[City]]&amp;")"</f>
        <v>Br. A (Yangon)</v>
      </c>
      <c r="E919" t="s">
        <v>26</v>
      </c>
      <c r="F919" t="s">
        <v>20</v>
      </c>
      <c r="G919" t="s">
        <v>45</v>
      </c>
      <c r="H919">
        <v>94.67</v>
      </c>
      <c r="I919">
        <v>4</v>
      </c>
      <c r="J919">
        <v>18.934000000000001</v>
      </c>
      <c r="K919">
        <v>378.68</v>
      </c>
      <c r="L919" s="1">
        <v>44726</v>
      </c>
      <c r="M919" s="7">
        <f>DAY(Data[[#This Row],[Date]])</f>
        <v>14</v>
      </c>
      <c r="N919" s="7">
        <f>MONTH(Data[[#This Row],[Date]])</f>
        <v>6</v>
      </c>
      <c r="O919" s="7">
        <f>YEAR(Data[[#This Row],[Date]])</f>
        <v>2022</v>
      </c>
      <c r="P919" s="2">
        <v>0.50277777777777777</v>
      </c>
      <c r="Q919" t="s">
        <v>28</v>
      </c>
      <c r="R919">
        <v>265.07600000000002</v>
      </c>
      <c r="S919">
        <v>94.67</v>
      </c>
      <c r="T919">
        <v>6.8</v>
      </c>
    </row>
    <row r="920" spans="1:20" x14ac:dyDescent="0.55000000000000004">
      <c r="A920" t="s">
        <v>953</v>
      </c>
      <c r="B920" t="s">
        <v>41</v>
      </c>
      <c r="C920" t="s">
        <v>42</v>
      </c>
      <c r="D920" t="str">
        <f>"Br. "&amp;Data[[#This Row],[Branch]]&amp;" ("&amp;Data[[#This Row],[City]]&amp;")"</f>
        <v>Br. B (Mandalay)</v>
      </c>
      <c r="E920" t="s">
        <v>26</v>
      </c>
      <c r="F920" t="s">
        <v>30</v>
      </c>
      <c r="G920" t="s">
        <v>31</v>
      </c>
      <c r="H920">
        <v>68.97</v>
      </c>
      <c r="I920">
        <v>3</v>
      </c>
      <c r="J920">
        <v>10.345499999999999</v>
      </c>
      <c r="K920">
        <v>206.91</v>
      </c>
      <c r="L920" s="1">
        <v>44726</v>
      </c>
      <c r="M920" s="7">
        <f>DAY(Data[[#This Row],[Date]])</f>
        <v>14</v>
      </c>
      <c r="N920" s="7">
        <f>MONTH(Data[[#This Row],[Date]])</f>
        <v>6</v>
      </c>
      <c r="O920" s="7">
        <f>YEAR(Data[[#This Row],[Date]])</f>
        <v>2022</v>
      </c>
      <c r="P920" s="2">
        <v>0.47638888888888886</v>
      </c>
      <c r="Q920" t="s">
        <v>22</v>
      </c>
      <c r="R920">
        <v>144.83699999999999</v>
      </c>
      <c r="S920">
        <v>51.727499999999999</v>
      </c>
      <c r="T920">
        <v>8.6999999999999993</v>
      </c>
    </row>
    <row r="921" spans="1:20" x14ac:dyDescent="0.55000000000000004">
      <c r="A921" t="s">
        <v>954</v>
      </c>
      <c r="B921" t="s">
        <v>41</v>
      </c>
      <c r="C921" t="s">
        <v>42</v>
      </c>
      <c r="D921" t="str">
        <f>"Br. "&amp;Data[[#This Row],[Branch]]&amp;" ("&amp;Data[[#This Row],[City]]&amp;")"</f>
        <v>Br. B (Mandalay)</v>
      </c>
      <c r="E921" t="s">
        <v>19</v>
      </c>
      <c r="F921" t="s">
        <v>20</v>
      </c>
      <c r="G921" t="s">
        <v>27</v>
      </c>
      <c r="H921">
        <v>26.26</v>
      </c>
      <c r="I921">
        <v>3</v>
      </c>
      <c r="J921">
        <v>3.9390000000000001</v>
      </c>
      <c r="K921">
        <v>78.78</v>
      </c>
      <c r="L921" s="1">
        <v>44726</v>
      </c>
      <c r="M921" s="7">
        <f>DAY(Data[[#This Row],[Date]])</f>
        <v>14</v>
      </c>
      <c r="N921" s="7">
        <f>MONTH(Data[[#This Row],[Date]])</f>
        <v>6</v>
      </c>
      <c r="O921" s="7">
        <f>YEAR(Data[[#This Row],[Date]])</f>
        <v>2022</v>
      </c>
      <c r="P921" s="2">
        <v>0.52500000000000002</v>
      </c>
      <c r="Q921" t="s">
        <v>22</v>
      </c>
      <c r="R921">
        <v>55.146000000000001</v>
      </c>
      <c r="S921">
        <v>19.695</v>
      </c>
      <c r="T921">
        <v>6.3</v>
      </c>
    </row>
    <row r="922" spans="1:20" x14ac:dyDescent="0.55000000000000004">
      <c r="A922" t="s">
        <v>955</v>
      </c>
      <c r="B922" t="s">
        <v>24</v>
      </c>
      <c r="C922" t="s">
        <v>25</v>
      </c>
      <c r="D922" t="str">
        <f>"Br. "&amp;Data[[#This Row],[Branch]]&amp;" ("&amp;Data[[#This Row],[City]]&amp;")"</f>
        <v>Br. C (Naypyitaw)</v>
      </c>
      <c r="E922" t="s">
        <v>19</v>
      </c>
      <c r="F922" t="s">
        <v>20</v>
      </c>
      <c r="G922" t="s">
        <v>31</v>
      </c>
      <c r="H922">
        <v>35.79</v>
      </c>
      <c r="I922">
        <v>9</v>
      </c>
      <c r="J922">
        <v>16.105499999999999</v>
      </c>
      <c r="K922">
        <v>322.11</v>
      </c>
      <c r="L922" s="1">
        <v>44726</v>
      </c>
      <c r="M922" s="7">
        <f>DAY(Data[[#This Row],[Date]])</f>
        <v>14</v>
      </c>
      <c r="N922" s="7">
        <f>MONTH(Data[[#This Row],[Date]])</f>
        <v>6</v>
      </c>
      <c r="O922" s="7">
        <f>YEAR(Data[[#This Row],[Date]])</f>
        <v>2022</v>
      </c>
      <c r="P922" s="2">
        <v>0.62916666666666665</v>
      </c>
      <c r="Q922" t="s">
        <v>32</v>
      </c>
      <c r="R922">
        <v>225.477</v>
      </c>
      <c r="S922">
        <v>80.527500000000003</v>
      </c>
      <c r="T922">
        <v>5.0999999999999996</v>
      </c>
    </row>
    <row r="923" spans="1:20" x14ac:dyDescent="0.55000000000000004">
      <c r="A923" t="s">
        <v>956</v>
      </c>
      <c r="B923" t="s">
        <v>41</v>
      </c>
      <c r="C923" t="s">
        <v>42</v>
      </c>
      <c r="D923" t="str">
        <f>"Br. "&amp;Data[[#This Row],[Branch]]&amp;" ("&amp;Data[[#This Row],[City]]&amp;")"</f>
        <v>Br. B (Mandalay)</v>
      </c>
      <c r="E923" t="s">
        <v>26</v>
      </c>
      <c r="F923" t="s">
        <v>20</v>
      </c>
      <c r="G923" t="s">
        <v>31</v>
      </c>
      <c r="H923">
        <v>16.37</v>
      </c>
      <c r="I923">
        <v>6</v>
      </c>
      <c r="J923">
        <v>4.9109999999999996</v>
      </c>
      <c r="K923">
        <v>98.22</v>
      </c>
      <c r="L923" s="1">
        <v>44726</v>
      </c>
      <c r="M923" s="7">
        <f>DAY(Data[[#This Row],[Date]])</f>
        <v>14</v>
      </c>
      <c r="N923" s="7">
        <f>MONTH(Data[[#This Row],[Date]])</f>
        <v>6</v>
      </c>
      <c r="O923" s="7">
        <f>YEAR(Data[[#This Row],[Date]])</f>
        <v>2022</v>
      </c>
      <c r="P923" s="2">
        <v>0.45694444444444443</v>
      </c>
      <c r="Q923" t="s">
        <v>28</v>
      </c>
      <c r="R923">
        <v>68.754000000000005</v>
      </c>
      <c r="S923">
        <v>24.555</v>
      </c>
      <c r="T923">
        <v>7</v>
      </c>
    </row>
    <row r="924" spans="1:20" x14ac:dyDescent="0.55000000000000004">
      <c r="A924" t="s">
        <v>957</v>
      </c>
      <c r="B924" t="s">
        <v>24</v>
      </c>
      <c r="C924" t="s">
        <v>25</v>
      </c>
      <c r="D924" t="str">
        <f>"Br. "&amp;Data[[#This Row],[Branch]]&amp;" ("&amp;Data[[#This Row],[City]]&amp;")"</f>
        <v>Br. C (Naypyitaw)</v>
      </c>
      <c r="E924" t="s">
        <v>19</v>
      </c>
      <c r="F924" t="s">
        <v>20</v>
      </c>
      <c r="G924" t="s">
        <v>31</v>
      </c>
      <c r="H924">
        <v>12.73</v>
      </c>
      <c r="I924">
        <v>2</v>
      </c>
      <c r="J924">
        <v>1.2729999999999999</v>
      </c>
      <c r="K924">
        <v>25.46</v>
      </c>
      <c r="L924" s="1">
        <v>44726</v>
      </c>
      <c r="M924" s="7">
        <f>DAY(Data[[#This Row],[Date]])</f>
        <v>14</v>
      </c>
      <c r="N924" s="7">
        <f>MONTH(Data[[#This Row],[Date]])</f>
        <v>6</v>
      </c>
      <c r="O924" s="7">
        <f>YEAR(Data[[#This Row],[Date]])</f>
        <v>2022</v>
      </c>
      <c r="P924" s="2">
        <v>0.50694444444444442</v>
      </c>
      <c r="Q924" t="s">
        <v>32</v>
      </c>
      <c r="R924">
        <v>17.821999999999999</v>
      </c>
      <c r="S924">
        <v>6.3650000000000002</v>
      </c>
      <c r="T924">
        <v>5.2</v>
      </c>
    </row>
    <row r="925" spans="1:20" x14ac:dyDescent="0.55000000000000004">
      <c r="A925" t="s">
        <v>958</v>
      </c>
      <c r="B925" t="s">
        <v>24</v>
      </c>
      <c r="C925" t="s">
        <v>25</v>
      </c>
      <c r="D925" t="str">
        <f>"Br. "&amp;Data[[#This Row],[Branch]]&amp;" ("&amp;Data[[#This Row],[City]]&amp;")"</f>
        <v>Br. C (Naypyitaw)</v>
      </c>
      <c r="E925" t="s">
        <v>26</v>
      </c>
      <c r="F925" t="s">
        <v>20</v>
      </c>
      <c r="G925" t="s">
        <v>35</v>
      </c>
      <c r="H925">
        <v>83.14</v>
      </c>
      <c r="I925">
        <v>7</v>
      </c>
      <c r="J925">
        <v>29.099</v>
      </c>
      <c r="K925">
        <v>581.98</v>
      </c>
      <c r="L925" s="1">
        <v>44726</v>
      </c>
      <c r="M925" s="7">
        <f>DAY(Data[[#This Row],[Date]])</f>
        <v>14</v>
      </c>
      <c r="N925" s="7">
        <f>MONTH(Data[[#This Row],[Date]])</f>
        <v>6</v>
      </c>
      <c r="O925" s="7">
        <f>YEAR(Data[[#This Row],[Date]])</f>
        <v>2022</v>
      </c>
      <c r="P925" s="2">
        <v>0.43819444444444444</v>
      </c>
      <c r="Q925" t="s">
        <v>32</v>
      </c>
      <c r="R925">
        <v>407.38600000000002</v>
      </c>
      <c r="S925">
        <v>145.495</v>
      </c>
      <c r="T925">
        <v>6.6</v>
      </c>
    </row>
    <row r="926" spans="1:20" x14ac:dyDescent="0.55000000000000004">
      <c r="A926" t="s">
        <v>959</v>
      </c>
      <c r="B926" t="s">
        <v>24</v>
      </c>
      <c r="C926" t="s">
        <v>25</v>
      </c>
      <c r="D926" t="str">
        <f>"Br. "&amp;Data[[#This Row],[Branch]]&amp;" ("&amp;Data[[#This Row],[City]]&amp;")"</f>
        <v>Br. C (Naypyitaw)</v>
      </c>
      <c r="E926" t="s">
        <v>19</v>
      </c>
      <c r="F926" t="s">
        <v>20</v>
      </c>
      <c r="G926" t="s">
        <v>35</v>
      </c>
      <c r="H926">
        <v>35.22</v>
      </c>
      <c r="I926">
        <v>6</v>
      </c>
      <c r="J926">
        <v>10.566000000000001</v>
      </c>
      <c r="K926">
        <v>211.32</v>
      </c>
      <c r="L926" s="1">
        <v>44726</v>
      </c>
      <c r="M926" s="7">
        <f>DAY(Data[[#This Row],[Date]])</f>
        <v>14</v>
      </c>
      <c r="N926" s="7">
        <f>MONTH(Data[[#This Row],[Date]])</f>
        <v>6</v>
      </c>
      <c r="O926" s="7">
        <f>YEAR(Data[[#This Row],[Date]])</f>
        <v>2022</v>
      </c>
      <c r="P926" s="2">
        <v>0.5756944444444444</v>
      </c>
      <c r="Q926" t="s">
        <v>22</v>
      </c>
      <c r="R926">
        <v>147.92400000000001</v>
      </c>
      <c r="S926">
        <v>52.83</v>
      </c>
      <c r="T926">
        <v>6.5</v>
      </c>
    </row>
    <row r="927" spans="1:20" x14ac:dyDescent="0.55000000000000004">
      <c r="A927" t="s">
        <v>960</v>
      </c>
      <c r="B927" t="s">
        <v>41</v>
      </c>
      <c r="C927" t="s">
        <v>42</v>
      </c>
      <c r="D927" t="str">
        <f>"Br. "&amp;Data[[#This Row],[Branch]]&amp;" ("&amp;Data[[#This Row],[City]]&amp;")"</f>
        <v>Br. B (Mandalay)</v>
      </c>
      <c r="E927" t="s">
        <v>26</v>
      </c>
      <c r="F927" t="s">
        <v>20</v>
      </c>
      <c r="G927" t="s">
        <v>27</v>
      </c>
      <c r="H927">
        <v>13.78</v>
      </c>
      <c r="I927">
        <v>4</v>
      </c>
      <c r="J927">
        <v>2.7559999999999998</v>
      </c>
      <c r="K927">
        <v>55.12</v>
      </c>
      <c r="L927" s="1">
        <v>44726</v>
      </c>
      <c r="M927" s="7">
        <f>DAY(Data[[#This Row],[Date]])</f>
        <v>14</v>
      </c>
      <c r="N927" s="7">
        <f>MONTH(Data[[#This Row],[Date]])</f>
        <v>6</v>
      </c>
      <c r="O927" s="7">
        <f>YEAR(Data[[#This Row],[Date]])</f>
        <v>2022</v>
      </c>
      <c r="P927" s="2">
        <v>0.46527777777777779</v>
      </c>
      <c r="Q927" t="s">
        <v>22</v>
      </c>
      <c r="R927">
        <v>38.584000000000003</v>
      </c>
      <c r="S927">
        <v>13.78</v>
      </c>
      <c r="T927">
        <v>9</v>
      </c>
    </row>
    <row r="928" spans="1:20" x14ac:dyDescent="0.55000000000000004">
      <c r="A928" t="s">
        <v>961</v>
      </c>
      <c r="B928" t="s">
        <v>41</v>
      </c>
      <c r="C928" t="s">
        <v>42</v>
      </c>
      <c r="D928" t="str">
        <f>"Br. "&amp;Data[[#This Row],[Branch]]&amp;" ("&amp;Data[[#This Row],[City]]&amp;")"</f>
        <v>Br. B (Mandalay)</v>
      </c>
      <c r="E928" t="s">
        <v>19</v>
      </c>
      <c r="F928" t="s">
        <v>30</v>
      </c>
      <c r="G928" t="s">
        <v>35</v>
      </c>
      <c r="H928">
        <v>88.31</v>
      </c>
      <c r="I928">
        <v>1</v>
      </c>
      <c r="J928">
        <v>4.4154999999999998</v>
      </c>
      <c r="K928">
        <v>88.31</v>
      </c>
      <c r="L928" s="1">
        <v>44726</v>
      </c>
      <c r="M928" s="7">
        <f>DAY(Data[[#This Row],[Date]])</f>
        <v>14</v>
      </c>
      <c r="N928" s="7">
        <f>MONTH(Data[[#This Row],[Date]])</f>
        <v>6</v>
      </c>
      <c r="O928" s="7">
        <f>YEAR(Data[[#This Row],[Date]])</f>
        <v>2022</v>
      </c>
      <c r="P928" s="2">
        <v>0.73472222222222228</v>
      </c>
      <c r="Q928" t="s">
        <v>32</v>
      </c>
      <c r="R928">
        <v>61.817</v>
      </c>
      <c r="S928">
        <v>22.077500000000001</v>
      </c>
      <c r="T928">
        <v>5.2</v>
      </c>
    </row>
    <row r="929" spans="1:20" x14ac:dyDescent="0.55000000000000004">
      <c r="A929" t="s">
        <v>962</v>
      </c>
      <c r="B929" t="s">
        <v>17</v>
      </c>
      <c r="C929" t="s">
        <v>18</v>
      </c>
      <c r="D929" t="str">
        <f>"Br. "&amp;Data[[#This Row],[Branch]]&amp;" ("&amp;Data[[#This Row],[City]]&amp;")"</f>
        <v>Br. A (Yangon)</v>
      </c>
      <c r="E929" t="s">
        <v>19</v>
      </c>
      <c r="F929" t="s">
        <v>20</v>
      </c>
      <c r="G929" t="s">
        <v>21</v>
      </c>
      <c r="H929">
        <v>39.619999999999997</v>
      </c>
      <c r="I929">
        <v>9</v>
      </c>
      <c r="J929">
        <v>17.829000000000001</v>
      </c>
      <c r="K929">
        <v>356.58</v>
      </c>
      <c r="L929" s="1">
        <v>44726</v>
      </c>
      <c r="M929" s="7">
        <f>DAY(Data[[#This Row],[Date]])</f>
        <v>14</v>
      </c>
      <c r="N929" s="7">
        <f>MONTH(Data[[#This Row],[Date]])</f>
        <v>6</v>
      </c>
      <c r="O929" s="7">
        <f>YEAR(Data[[#This Row],[Date]])</f>
        <v>2022</v>
      </c>
      <c r="P929" s="2">
        <v>0.74583333333333335</v>
      </c>
      <c r="Q929" t="s">
        <v>32</v>
      </c>
      <c r="R929">
        <v>249.60599999999999</v>
      </c>
      <c r="S929">
        <v>89.144999999999996</v>
      </c>
      <c r="T929">
        <v>6.8</v>
      </c>
    </row>
    <row r="930" spans="1:20" x14ac:dyDescent="0.55000000000000004">
      <c r="A930" t="s">
        <v>963</v>
      </c>
      <c r="B930" t="s">
        <v>41</v>
      </c>
      <c r="C930" t="s">
        <v>42</v>
      </c>
      <c r="D930" t="str">
        <f>"Br. "&amp;Data[[#This Row],[Branch]]&amp;" ("&amp;Data[[#This Row],[City]]&amp;")"</f>
        <v>Br. B (Mandalay)</v>
      </c>
      <c r="E930" t="s">
        <v>26</v>
      </c>
      <c r="F930" t="s">
        <v>20</v>
      </c>
      <c r="G930" t="s">
        <v>27</v>
      </c>
      <c r="H930">
        <v>88.25</v>
      </c>
      <c r="I930">
        <v>9</v>
      </c>
      <c r="J930">
        <v>39.712499999999999</v>
      </c>
      <c r="K930">
        <v>794.25</v>
      </c>
      <c r="L930" s="1">
        <v>44726</v>
      </c>
      <c r="M930" s="7">
        <f>DAY(Data[[#This Row],[Date]])</f>
        <v>14</v>
      </c>
      <c r="N930" s="7">
        <f>MONTH(Data[[#This Row],[Date]])</f>
        <v>6</v>
      </c>
      <c r="O930" s="7">
        <f>YEAR(Data[[#This Row],[Date]])</f>
        <v>2022</v>
      </c>
      <c r="P930" s="2">
        <v>0.86875000000000002</v>
      </c>
      <c r="Q930" t="s">
        <v>32</v>
      </c>
      <c r="R930">
        <v>555.97500000000002</v>
      </c>
      <c r="S930">
        <v>198.5625</v>
      </c>
      <c r="T930">
        <v>7.6</v>
      </c>
    </row>
    <row r="931" spans="1:20" x14ac:dyDescent="0.55000000000000004">
      <c r="A931" t="s">
        <v>964</v>
      </c>
      <c r="B931" t="s">
        <v>41</v>
      </c>
      <c r="C931" t="s">
        <v>42</v>
      </c>
      <c r="D931" t="str">
        <f>"Br. "&amp;Data[[#This Row],[Branch]]&amp;" ("&amp;Data[[#This Row],[City]]&amp;")"</f>
        <v>Br. B (Mandalay)</v>
      </c>
      <c r="E931" t="s">
        <v>26</v>
      </c>
      <c r="F931" t="s">
        <v>30</v>
      </c>
      <c r="G931" t="s">
        <v>35</v>
      </c>
      <c r="H931">
        <v>25.31</v>
      </c>
      <c r="I931">
        <v>2</v>
      </c>
      <c r="J931">
        <v>2.5310000000000001</v>
      </c>
      <c r="K931">
        <v>50.62</v>
      </c>
      <c r="L931" s="1">
        <v>44726</v>
      </c>
      <c r="M931" s="7">
        <f>DAY(Data[[#This Row],[Date]])</f>
        <v>14</v>
      </c>
      <c r="N931" s="7">
        <f>MONTH(Data[[#This Row],[Date]])</f>
        <v>6</v>
      </c>
      <c r="O931" s="7">
        <f>YEAR(Data[[#This Row],[Date]])</f>
        <v>2022</v>
      </c>
      <c r="P931" s="2">
        <v>0.80972222222222223</v>
      </c>
      <c r="Q931" t="s">
        <v>22</v>
      </c>
      <c r="R931">
        <v>35.433999999999997</v>
      </c>
      <c r="S931">
        <v>12.654999999999999</v>
      </c>
      <c r="T931">
        <v>7.2</v>
      </c>
    </row>
    <row r="932" spans="1:20" x14ac:dyDescent="0.55000000000000004">
      <c r="A932" t="s">
        <v>965</v>
      </c>
      <c r="B932" t="s">
        <v>41</v>
      </c>
      <c r="C932" t="s">
        <v>42</v>
      </c>
      <c r="D932" t="str">
        <f>"Br. "&amp;Data[[#This Row],[Branch]]&amp;" ("&amp;Data[[#This Row],[City]]&amp;")"</f>
        <v>Br. B (Mandalay)</v>
      </c>
      <c r="E932" t="s">
        <v>26</v>
      </c>
      <c r="F932" t="s">
        <v>30</v>
      </c>
      <c r="G932" t="s">
        <v>31</v>
      </c>
      <c r="H932">
        <v>99.92</v>
      </c>
      <c r="I932">
        <v>6</v>
      </c>
      <c r="J932">
        <v>29.975999999999999</v>
      </c>
      <c r="K932">
        <v>599.52</v>
      </c>
      <c r="L932" s="1">
        <v>44726</v>
      </c>
      <c r="M932" s="7">
        <f>DAY(Data[[#This Row],[Date]])</f>
        <v>14</v>
      </c>
      <c r="N932" s="7">
        <f>MONTH(Data[[#This Row],[Date]])</f>
        <v>6</v>
      </c>
      <c r="O932" s="7">
        <f>YEAR(Data[[#This Row],[Date]])</f>
        <v>2022</v>
      </c>
      <c r="P932" s="2">
        <v>0.56458333333333333</v>
      </c>
      <c r="Q932" t="s">
        <v>22</v>
      </c>
      <c r="R932">
        <v>419.66399999999999</v>
      </c>
      <c r="S932">
        <v>149.88</v>
      </c>
      <c r="T932">
        <v>7.1</v>
      </c>
    </row>
    <row r="933" spans="1:20" x14ac:dyDescent="0.55000000000000004">
      <c r="A933" t="s">
        <v>966</v>
      </c>
      <c r="B933" t="s">
        <v>24</v>
      </c>
      <c r="C933" t="s">
        <v>25</v>
      </c>
      <c r="D933" t="str">
        <f>"Br. "&amp;Data[[#This Row],[Branch]]&amp;" ("&amp;Data[[#This Row],[City]]&amp;")"</f>
        <v>Br. C (Naypyitaw)</v>
      </c>
      <c r="E933" t="s">
        <v>19</v>
      </c>
      <c r="F933" t="s">
        <v>20</v>
      </c>
      <c r="G933" t="s">
        <v>45</v>
      </c>
      <c r="H933">
        <v>83.35</v>
      </c>
      <c r="I933">
        <v>2</v>
      </c>
      <c r="J933">
        <v>8.3350000000000009</v>
      </c>
      <c r="K933">
        <v>166.7</v>
      </c>
      <c r="L933" s="1">
        <v>44726</v>
      </c>
      <c r="M933" s="7">
        <f>DAY(Data[[#This Row],[Date]])</f>
        <v>14</v>
      </c>
      <c r="N933" s="7">
        <f>MONTH(Data[[#This Row],[Date]])</f>
        <v>6</v>
      </c>
      <c r="O933" s="7">
        <f>YEAR(Data[[#This Row],[Date]])</f>
        <v>2022</v>
      </c>
      <c r="P933" s="2">
        <v>0.58680555555555558</v>
      </c>
      <c r="Q933" t="s">
        <v>32</v>
      </c>
      <c r="R933">
        <v>116.69</v>
      </c>
      <c r="S933">
        <v>41.674999999999997</v>
      </c>
      <c r="T933">
        <v>9.5</v>
      </c>
    </row>
    <row r="934" spans="1:20" x14ac:dyDescent="0.55000000000000004">
      <c r="A934" t="s">
        <v>967</v>
      </c>
      <c r="B934" t="s">
        <v>17</v>
      </c>
      <c r="C934" t="s">
        <v>18</v>
      </c>
      <c r="D934" t="str">
        <f>"Br. "&amp;Data[[#This Row],[Branch]]&amp;" ("&amp;Data[[#This Row],[City]]&amp;")"</f>
        <v>Br. A (Yangon)</v>
      </c>
      <c r="E934" t="s">
        <v>26</v>
      </c>
      <c r="F934" t="s">
        <v>20</v>
      </c>
      <c r="G934" t="s">
        <v>43</v>
      </c>
      <c r="H934">
        <v>74.44</v>
      </c>
      <c r="I934">
        <v>10</v>
      </c>
      <c r="J934">
        <v>37.22</v>
      </c>
      <c r="K934">
        <v>744.4</v>
      </c>
      <c r="L934" s="1">
        <v>44726</v>
      </c>
      <c r="M934" s="7">
        <f>DAY(Data[[#This Row],[Date]])</f>
        <v>14</v>
      </c>
      <c r="N934" s="7">
        <f>MONTH(Data[[#This Row],[Date]])</f>
        <v>6</v>
      </c>
      <c r="O934" s="7">
        <f>YEAR(Data[[#This Row],[Date]])</f>
        <v>2022</v>
      </c>
      <c r="P934" s="2">
        <v>0.4861111111111111</v>
      </c>
      <c r="Q934" t="s">
        <v>22</v>
      </c>
      <c r="R934">
        <v>521.08000000000004</v>
      </c>
      <c r="S934">
        <v>186.1</v>
      </c>
      <c r="T934">
        <v>5.0999999999999996</v>
      </c>
    </row>
    <row r="935" spans="1:20" x14ac:dyDescent="0.55000000000000004">
      <c r="A935" t="s">
        <v>968</v>
      </c>
      <c r="B935" t="s">
        <v>24</v>
      </c>
      <c r="C935" t="s">
        <v>25</v>
      </c>
      <c r="D935" t="str">
        <f>"Br. "&amp;Data[[#This Row],[Branch]]&amp;" ("&amp;Data[[#This Row],[City]]&amp;")"</f>
        <v>Br. C (Naypyitaw)</v>
      </c>
      <c r="E935" t="s">
        <v>26</v>
      </c>
      <c r="F935" t="s">
        <v>30</v>
      </c>
      <c r="G935" t="s">
        <v>21</v>
      </c>
      <c r="H935">
        <v>64.08</v>
      </c>
      <c r="I935">
        <v>7</v>
      </c>
      <c r="J935">
        <v>22.428000000000001</v>
      </c>
      <c r="K935">
        <v>448.56</v>
      </c>
      <c r="L935" s="1">
        <v>44726</v>
      </c>
      <c r="M935" s="7">
        <f>DAY(Data[[#This Row],[Date]])</f>
        <v>14</v>
      </c>
      <c r="N935" s="7">
        <f>MONTH(Data[[#This Row],[Date]])</f>
        <v>6</v>
      </c>
      <c r="O935" s="7">
        <f>YEAR(Data[[#This Row],[Date]])</f>
        <v>2022</v>
      </c>
      <c r="P935" s="2">
        <v>0.51875000000000004</v>
      </c>
      <c r="Q935" t="s">
        <v>22</v>
      </c>
      <c r="R935">
        <v>313.99200000000002</v>
      </c>
      <c r="S935">
        <v>112.14</v>
      </c>
      <c r="T935">
        <v>7.6</v>
      </c>
    </row>
    <row r="936" spans="1:20" x14ac:dyDescent="0.55000000000000004">
      <c r="A936" t="s">
        <v>969</v>
      </c>
      <c r="B936" t="s">
        <v>41</v>
      </c>
      <c r="C936" t="s">
        <v>42</v>
      </c>
      <c r="D936" t="str">
        <f>"Br. "&amp;Data[[#This Row],[Branch]]&amp;" ("&amp;Data[[#This Row],[City]]&amp;")"</f>
        <v>Br. B (Mandalay)</v>
      </c>
      <c r="E936" t="s">
        <v>26</v>
      </c>
      <c r="F936" t="s">
        <v>20</v>
      </c>
      <c r="G936" t="s">
        <v>31</v>
      </c>
      <c r="H936">
        <v>63.15</v>
      </c>
      <c r="I936">
        <v>6</v>
      </c>
      <c r="J936">
        <v>18.945</v>
      </c>
      <c r="K936">
        <v>378.9</v>
      </c>
      <c r="L936" s="1">
        <v>44726</v>
      </c>
      <c r="M936" s="7">
        <f>DAY(Data[[#This Row],[Date]])</f>
        <v>14</v>
      </c>
      <c r="N936" s="7">
        <f>MONTH(Data[[#This Row],[Date]])</f>
        <v>6</v>
      </c>
      <c r="O936" s="7">
        <f>YEAR(Data[[#This Row],[Date]])</f>
        <v>2022</v>
      </c>
      <c r="P936" s="2">
        <v>0.85</v>
      </c>
      <c r="Q936" t="s">
        <v>22</v>
      </c>
      <c r="R936">
        <v>265.23</v>
      </c>
      <c r="S936">
        <v>94.724999999999994</v>
      </c>
      <c r="T936">
        <v>9.8000000000000007</v>
      </c>
    </row>
    <row r="937" spans="1:20" x14ac:dyDescent="0.55000000000000004">
      <c r="A937" t="s">
        <v>970</v>
      </c>
      <c r="B937" t="s">
        <v>24</v>
      </c>
      <c r="C937" t="s">
        <v>25</v>
      </c>
      <c r="D937" t="str">
        <f>"Br. "&amp;Data[[#This Row],[Branch]]&amp;" ("&amp;Data[[#This Row],[City]]&amp;")"</f>
        <v>Br. C (Naypyitaw)</v>
      </c>
      <c r="E937" t="s">
        <v>19</v>
      </c>
      <c r="F937" t="s">
        <v>30</v>
      </c>
      <c r="G937" t="s">
        <v>31</v>
      </c>
      <c r="H937">
        <v>85.72</v>
      </c>
      <c r="I937">
        <v>3</v>
      </c>
      <c r="J937">
        <v>12.858000000000001</v>
      </c>
      <c r="K937">
        <v>257.16000000000003</v>
      </c>
      <c r="L937" s="1">
        <v>44726</v>
      </c>
      <c r="M937" s="7">
        <f>DAY(Data[[#This Row],[Date]])</f>
        <v>14</v>
      </c>
      <c r="N937" s="7">
        <f>MONTH(Data[[#This Row],[Date]])</f>
        <v>6</v>
      </c>
      <c r="O937" s="7">
        <f>YEAR(Data[[#This Row],[Date]])</f>
        <v>2022</v>
      </c>
      <c r="P937" s="2">
        <v>0.87430555555555556</v>
      </c>
      <c r="Q937" t="s">
        <v>22</v>
      </c>
      <c r="R937">
        <v>180.012</v>
      </c>
      <c r="S937">
        <v>64.290000000000006</v>
      </c>
      <c r="T937">
        <v>5.0999999999999996</v>
      </c>
    </row>
    <row r="938" spans="1:20" x14ac:dyDescent="0.55000000000000004">
      <c r="A938" t="s">
        <v>971</v>
      </c>
      <c r="B938" t="s">
        <v>24</v>
      </c>
      <c r="C938" t="s">
        <v>25</v>
      </c>
      <c r="D938" t="str">
        <f>"Br. "&amp;Data[[#This Row],[Branch]]&amp;" ("&amp;Data[[#This Row],[City]]&amp;")"</f>
        <v>Br. C (Naypyitaw)</v>
      </c>
      <c r="E938" t="s">
        <v>26</v>
      </c>
      <c r="F938" t="s">
        <v>20</v>
      </c>
      <c r="G938" t="s">
        <v>21</v>
      </c>
      <c r="H938">
        <v>78.89</v>
      </c>
      <c r="I938">
        <v>7</v>
      </c>
      <c r="J938">
        <v>27.611499999999999</v>
      </c>
      <c r="K938">
        <v>552.23</v>
      </c>
      <c r="L938" s="1">
        <v>44726</v>
      </c>
      <c r="M938" s="7">
        <f>DAY(Data[[#This Row],[Date]])</f>
        <v>14</v>
      </c>
      <c r="N938" s="7">
        <f>MONTH(Data[[#This Row],[Date]])</f>
        <v>6</v>
      </c>
      <c r="O938" s="7">
        <f>YEAR(Data[[#This Row],[Date]])</f>
        <v>2022</v>
      </c>
      <c r="P938" s="2">
        <v>0.82499999999999996</v>
      </c>
      <c r="Q938" t="s">
        <v>22</v>
      </c>
      <c r="R938">
        <v>386.56099999999998</v>
      </c>
      <c r="S938">
        <v>138.0575</v>
      </c>
      <c r="T938">
        <v>7.5</v>
      </c>
    </row>
    <row r="939" spans="1:20" x14ac:dyDescent="0.55000000000000004">
      <c r="A939" t="s">
        <v>972</v>
      </c>
      <c r="B939" t="s">
        <v>17</v>
      </c>
      <c r="C939" t="s">
        <v>18</v>
      </c>
      <c r="D939" t="str">
        <f>"Br. "&amp;Data[[#This Row],[Branch]]&amp;" ("&amp;Data[[#This Row],[City]]&amp;")"</f>
        <v>Br. A (Yangon)</v>
      </c>
      <c r="E939" t="s">
        <v>26</v>
      </c>
      <c r="F939" t="s">
        <v>20</v>
      </c>
      <c r="G939" t="s">
        <v>35</v>
      </c>
      <c r="H939">
        <v>89.48</v>
      </c>
      <c r="I939">
        <v>5</v>
      </c>
      <c r="J939">
        <v>22.37</v>
      </c>
      <c r="K939">
        <v>447.4</v>
      </c>
      <c r="L939" s="1">
        <v>44726</v>
      </c>
      <c r="M939" s="7">
        <f>DAY(Data[[#This Row],[Date]])</f>
        <v>14</v>
      </c>
      <c r="N939" s="7">
        <f>MONTH(Data[[#This Row],[Date]])</f>
        <v>6</v>
      </c>
      <c r="O939" s="7">
        <f>YEAR(Data[[#This Row],[Date]])</f>
        <v>2022</v>
      </c>
      <c r="P939" s="2">
        <v>0.42916666666666664</v>
      </c>
      <c r="Q939" t="s">
        <v>28</v>
      </c>
      <c r="R939">
        <v>313.18</v>
      </c>
      <c r="S939">
        <v>111.85</v>
      </c>
      <c r="T939">
        <v>7.4</v>
      </c>
    </row>
    <row r="940" spans="1:20" x14ac:dyDescent="0.55000000000000004">
      <c r="A940" t="s">
        <v>973</v>
      </c>
      <c r="B940" t="s">
        <v>17</v>
      </c>
      <c r="C940" t="s">
        <v>18</v>
      </c>
      <c r="D940" t="str">
        <f>"Br. "&amp;Data[[#This Row],[Branch]]&amp;" ("&amp;Data[[#This Row],[City]]&amp;")"</f>
        <v>Br. A (Yangon)</v>
      </c>
      <c r="E940" t="s">
        <v>19</v>
      </c>
      <c r="F940" t="s">
        <v>20</v>
      </c>
      <c r="G940" t="s">
        <v>21</v>
      </c>
      <c r="H940">
        <v>92.09</v>
      </c>
      <c r="I940">
        <v>3</v>
      </c>
      <c r="J940">
        <v>13.813499999999999</v>
      </c>
      <c r="K940">
        <v>276.27</v>
      </c>
      <c r="L940" s="1">
        <v>44726</v>
      </c>
      <c r="M940" s="7">
        <f>DAY(Data[[#This Row],[Date]])</f>
        <v>14</v>
      </c>
      <c r="N940" s="7">
        <f>MONTH(Data[[#This Row],[Date]])</f>
        <v>6</v>
      </c>
      <c r="O940" s="7">
        <f>YEAR(Data[[#This Row],[Date]])</f>
        <v>2022</v>
      </c>
      <c r="P940" s="2">
        <v>0.68541666666666667</v>
      </c>
      <c r="Q940" t="s">
        <v>28</v>
      </c>
      <c r="R940">
        <v>193.38900000000001</v>
      </c>
      <c r="S940">
        <v>69.067499999999995</v>
      </c>
      <c r="T940">
        <v>4.2</v>
      </c>
    </row>
    <row r="941" spans="1:20" x14ac:dyDescent="0.55000000000000004">
      <c r="A941" t="s">
        <v>974</v>
      </c>
      <c r="B941" t="s">
        <v>24</v>
      </c>
      <c r="C941" t="s">
        <v>25</v>
      </c>
      <c r="D941" t="str">
        <f>"Br. "&amp;Data[[#This Row],[Branch]]&amp;" ("&amp;Data[[#This Row],[City]]&amp;")"</f>
        <v>Br. C (Naypyitaw)</v>
      </c>
      <c r="E941" t="s">
        <v>26</v>
      </c>
      <c r="F941" t="s">
        <v>20</v>
      </c>
      <c r="G941" t="s">
        <v>43</v>
      </c>
      <c r="H941">
        <v>57.29</v>
      </c>
      <c r="I941">
        <v>6</v>
      </c>
      <c r="J941">
        <v>17.187000000000001</v>
      </c>
      <c r="K941">
        <v>343.74</v>
      </c>
      <c r="L941" s="1">
        <v>44726</v>
      </c>
      <c r="M941" s="7">
        <f>DAY(Data[[#This Row],[Date]])</f>
        <v>14</v>
      </c>
      <c r="N941" s="7">
        <f>MONTH(Data[[#This Row],[Date]])</f>
        <v>6</v>
      </c>
      <c r="O941" s="7">
        <f>YEAR(Data[[#This Row],[Date]])</f>
        <v>2022</v>
      </c>
      <c r="P941" s="2">
        <v>0.71111111111111114</v>
      </c>
      <c r="Q941" t="s">
        <v>22</v>
      </c>
      <c r="R941">
        <v>240.61799999999999</v>
      </c>
      <c r="S941">
        <v>85.935000000000002</v>
      </c>
      <c r="T941">
        <v>5.9</v>
      </c>
    </row>
    <row r="942" spans="1:20" x14ac:dyDescent="0.55000000000000004">
      <c r="A942" t="s">
        <v>975</v>
      </c>
      <c r="B942" t="s">
        <v>17</v>
      </c>
      <c r="C942" t="s">
        <v>18</v>
      </c>
      <c r="D942" t="str">
        <f>"Br. "&amp;Data[[#This Row],[Branch]]&amp;" ("&amp;Data[[#This Row],[City]]&amp;")"</f>
        <v>Br. A (Yangon)</v>
      </c>
      <c r="E942" t="s">
        <v>26</v>
      </c>
      <c r="F942" t="s">
        <v>30</v>
      </c>
      <c r="G942" t="s">
        <v>43</v>
      </c>
      <c r="H942">
        <v>66.52</v>
      </c>
      <c r="I942">
        <v>4</v>
      </c>
      <c r="J942">
        <v>13.304</v>
      </c>
      <c r="K942">
        <v>266.08</v>
      </c>
      <c r="L942" s="1">
        <v>44726</v>
      </c>
      <c r="M942" s="7">
        <f>DAY(Data[[#This Row],[Date]])</f>
        <v>14</v>
      </c>
      <c r="N942" s="7">
        <f>MONTH(Data[[#This Row],[Date]])</f>
        <v>6</v>
      </c>
      <c r="O942" s="7">
        <f>YEAR(Data[[#This Row],[Date]])</f>
        <v>2022</v>
      </c>
      <c r="P942" s="2">
        <v>0.75972222222222219</v>
      </c>
      <c r="Q942" t="s">
        <v>22</v>
      </c>
      <c r="R942">
        <v>186.256</v>
      </c>
      <c r="S942">
        <v>66.52</v>
      </c>
      <c r="T942">
        <v>6.9</v>
      </c>
    </row>
    <row r="943" spans="1:20" x14ac:dyDescent="0.55000000000000004">
      <c r="A943" t="s">
        <v>976</v>
      </c>
      <c r="B943" t="s">
        <v>24</v>
      </c>
      <c r="C943" t="s">
        <v>25</v>
      </c>
      <c r="D943" t="str">
        <f>"Br. "&amp;Data[[#This Row],[Branch]]&amp;" ("&amp;Data[[#This Row],[City]]&amp;")"</f>
        <v>Br. C (Naypyitaw)</v>
      </c>
      <c r="E943" t="s">
        <v>19</v>
      </c>
      <c r="F943" t="s">
        <v>30</v>
      </c>
      <c r="G943" t="s">
        <v>45</v>
      </c>
      <c r="H943">
        <v>99.82</v>
      </c>
      <c r="I943">
        <v>9</v>
      </c>
      <c r="J943">
        <v>44.918999999999997</v>
      </c>
      <c r="K943">
        <v>898.38</v>
      </c>
      <c r="L943" s="1">
        <v>44726</v>
      </c>
      <c r="M943" s="7">
        <f>DAY(Data[[#This Row],[Date]])</f>
        <v>14</v>
      </c>
      <c r="N943" s="7">
        <f>MONTH(Data[[#This Row],[Date]])</f>
        <v>6</v>
      </c>
      <c r="O943" s="7">
        <f>YEAR(Data[[#This Row],[Date]])</f>
        <v>2022</v>
      </c>
      <c r="P943" s="2">
        <v>0.4465277777777778</v>
      </c>
      <c r="Q943" t="s">
        <v>28</v>
      </c>
      <c r="R943">
        <v>628.86599999999999</v>
      </c>
      <c r="S943">
        <v>224.595</v>
      </c>
      <c r="T943">
        <v>6.6</v>
      </c>
    </row>
    <row r="944" spans="1:20" x14ac:dyDescent="0.55000000000000004">
      <c r="A944" t="s">
        <v>977</v>
      </c>
      <c r="B944" t="s">
        <v>17</v>
      </c>
      <c r="C944" t="s">
        <v>18</v>
      </c>
      <c r="D944" t="str">
        <f>"Br. "&amp;Data[[#This Row],[Branch]]&amp;" ("&amp;Data[[#This Row],[City]]&amp;")"</f>
        <v>Br. A (Yangon)</v>
      </c>
      <c r="E944" t="s">
        <v>26</v>
      </c>
      <c r="F944" t="s">
        <v>20</v>
      </c>
      <c r="G944" t="s">
        <v>31</v>
      </c>
      <c r="H944">
        <v>45.68</v>
      </c>
      <c r="I944">
        <v>10</v>
      </c>
      <c r="J944">
        <v>22.84</v>
      </c>
      <c r="K944">
        <v>456.8</v>
      </c>
      <c r="L944" s="1">
        <v>44726</v>
      </c>
      <c r="M944" s="7">
        <f>DAY(Data[[#This Row],[Date]])</f>
        <v>14</v>
      </c>
      <c r="N944" s="7">
        <f>MONTH(Data[[#This Row],[Date]])</f>
        <v>6</v>
      </c>
      <c r="O944" s="7">
        <f>YEAR(Data[[#This Row],[Date]])</f>
        <v>2022</v>
      </c>
      <c r="P944" s="2">
        <v>0.8125</v>
      </c>
      <c r="Q944" t="s">
        <v>22</v>
      </c>
      <c r="R944">
        <v>319.76</v>
      </c>
      <c r="S944">
        <v>114.2</v>
      </c>
      <c r="T944">
        <v>5.7</v>
      </c>
    </row>
    <row r="945" spans="1:20" x14ac:dyDescent="0.55000000000000004">
      <c r="A945" t="s">
        <v>978</v>
      </c>
      <c r="B945" t="s">
        <v>17</v>
      </c>
      <c r="C945" t="s">
        <v>18</v>
      </c>
      <c r="D945" t="str">
        <f>"Br. "&amp;Data[[#This Row],[Branch]]&amp;" ("&amp;Data[[#This Row],[City]]&amp;")"</f>
        <v>Br. A (Yangon)</v>
      </c>
      <c r="E945" t="s">
        <v>26</v>
      </c>
      <c r="F945" t="s">
        <v>30</v>
      </c>
      <c r="G945" t="s">
        <v>21</v>
      </c>
      <c r="H945">
        <v>50.79</v>
      </c>
      <c r="I945">
        <v>5</v>
      </c>
      <c r="J945">
        <v>12.6975</v>
      </c>
      <c r="K945">
        <v>253.95</v>
      </c>
      <c r="L945" s="1">
        <v>44726</v>
      </c>
      <c r="M945" s="7">
        <f>DAY(Data[[#This Row],[Date]])</f>
        <v>14</v>
      </c>
      <c r="N945" s="7">
        <f>MONTH(Data[[#This Row],[Date]])</f>
        <v>6</v>
      </c>
      <c r="O945" s="7">
        <f>YEAR(Data[[#This Row],[Date]])</f>
        <v>2022</v>
      </c>
      <c r="P945" s="2">
        <v>0.62013888888888891</v>
      </c>
      <c r="Q945" t="s">
        <v>32</v>
      </c>
      <c r="R945">
        <v>177.76499999999999</v>
      </c>
      <c r="S945">
        <v>63.487499999999997</v>
      </c>
      <c r="T945">
        <v>5.3</v>
      </c>
    </row>
    <row r="946" spans="1:20" x14ac:dyDescent="0.55000000000000004">
      <c r="A946" t="s">
        <v>979</v>
      </c>
      <c r="B946" t="s">
        <v>17</v>
      </c>
      <c r="C946" t="s">
        <v>18</v>
      </c>
      <c r="D946" t="str">
        <f>"Br. "&amp;Data[[#This Row],[Branch]]&amp;" ("&amp;Data[[#This Row],[City]]&amp;")"</f>
        <v>Br. A (Yangon)</v>
      </c>
      <c r="E946" t="s">
        <v>19</v>
      </c>
      <c r="F946" t="s">
        <v>30</v>
      </c>
      <c r="G946" t="s">
        <v>21</v>
      </c>
      <c r="H946">
        <v>10.08</v>
      </c>
      <c r="I946">
        <v>7</v>
      </c>
      <c r="J946">
        <v>3.528</v>
      </c>
      <c r="K946">
        <v>70.56</v>
      </c>
      <c r="L946" s="1">
        <v>44726</v>
      </c>
      <c r="M946" s="7">
        <f>DAY(Data[[#This Row],[Date]])</f>
        <v>14</v>
      </c>
      <c r="N946" s="7">
        <f>MONTH(Data[[#This Row],[Date]])</f>
        <v>6</v>
      </c>
      <c r="O946" s="7">
        <f>YEAR(Data[[#This Row],[Date]])</f>
        <v>2022</v>
      </c>
      <c r="P946" s="2">
        <v>0.84305555555555556</v>
      </c>
      <c r="Q946" t="s">
        <v>28</v>
      </c>
      <c r="R946">
        <v>49.392000000000003</v>
      </c>
      <c r="S946">
        <v>17.64</v>
      </c>
      <c r="T946">
        <v>4.2</v>
      </c>
    </row>
    <row r="947" spans="1:20" x14ac:dyDescent="0.55000000000000004">
      <c r="A947" t="s">
        <v>980</v>
      </c>
      <c r="B947" t="s">
        <v>17</v>
      </c>
      <c r="C947" t="s">
        <v>18</v>
      </c>
      <c r="D947" t="str">
        <f>"Br. "&amp;Data[[#This Row],[Branch]]&amp;" ("&amp;Data[[#This Row],[City]]&amp;")"</f>
        <v>Br. A (Yangon)</v>
      </c>
      <c r="E947" t="s">
        <v>26</v>
      </c>
      <c r="F947" t="s">
        <v>20</v>
      </c>
      <c r="G947" t="s">
        <v>27</v>
      </c>
      <c r="H947">
        <v>93.88</v>
      </c>
      <c r="I947">
        <v>7</v>
      </c>
      <c r="J947">
        <v>32.857999999999997</v>
      </c>
      <c r="K947">
        <v>657.16</v>
      </c>
      <c r="L947" s="1">
        <v>44726</v>
      </c>
      <c r="M947" s="7">
        <f>DAY(Data[[#This Row],[Date]])</f>
        <v>14</v>
      </c>
      <c r="N947" s="7">
        <f>MONTH(Data[[#This Row],[Date]])</f>
        <v>6</v>
      </c>
      <c r="O947" s="7">
        <f>YEAR(Data[[#This Row],[Date]])</f>
        <v>2022</v>
      </c>
      <c r="P947" s="2">
        <v>0.49375000000000002</v>
      </c>
      <c r="Q947" t="s">
        <v>32</v>
      </c>
      <c r="R947">
        <v>460.012</v>
      </c>
      <c r="S947">
        <v>164.29</v>
      </c>
      <c r="T947">
        <v>7.3</v>
      </c>
    </row>
    <row r="948" spans="1:20" x14ac:dyDescent="0.55000000000000004">
      <c r="A948" t="s">
        <v>981</v>
      </c>
      <c r="B948" t="s">
        <v>24</v>
      </c>
      <c r="C948" t="s">
        <v>25</v>
      </c>
      <c r="D948" t="str">
        <f>"Br. "&amp;Data[[#This Row],[Branch]]&amp;" ("&amp;Data[[#This Row],[City]]&amp;")"</f>
        <v>Br. C (Naypyitaw)</v>
      </c>
      <c r="E948" t="s">
        <v>19</v>
      </c>
      <c r="F948" t="s">
        <v>30</v>
      </c>
      <c r="G948" t="s">
        <v>27</v>
      </c>
      <c r="H948">
        <v>84.25</v>
      </c>
      <c r="I948">
        <v>2</v>
      </c>
      <c r="J948">
        <v>8.4250000000000007</v>
      </c>
      <c r="K948">
        <v>168.5</v>
      </c>
      <c r="L948" s="1">
        <v>44726</v>
      </c>
      <c r="M948" s="7">
        <f>DAY(Data[[#This Row],[Date]])</f>
        <v>14</v>
      </c>
      <c r="N948" s="7">
        <f>MONTH(Data[[#This Row],[Date]])</f>
        <v>6</v>
      </c>
      <c r="O948" s="7">
        <f>YEAR(Data[[#This Row],[Date]])</f>
        <v>2022</v>
      </c>
      <c r="P948" s="2">
        <v>0.59236111111111112</v>
      </c>
      <c r="Q948" t="s">
        <v>32</v>
      </c>
      <c r="R948">
        <v>117.95</v>
      </c>
      <c r="S948">
        <v>42.125</v>
      </c>
      <c r="T948">
        <v>5.3</v>
      </c>
    </row>
    <row r="949" spans="1:20" x14ac:dyDescent="0.55000000000000004">
      <c r="A949" t="s">
        <v>982</v>
      </c>
      <c r="B949" t="s">
        <v>41</v>
      </c>
      <c r="C949" t="s">
        <v>42</v>
      </c>
      <c r="D949" t="str">
        <f>"Br. "&amp;Data[[#This Row],[Branch]]&amp;" ("&amp;Data[[#This Row],[City]]&amp;")"</f>
        <v>Br. B (Mandalay)</v>
      </c>
      <c r="E949" t="s">
        <v>19</v>
      </c>
      <c r="F949" t="s">
        <v>30</v>
      </c>
      <c r="G949" t="s">
        <v>45</v>
      </c>
      <c r="H949">
        <v>53.78</v>
      </c>
      <c r="I949">
        <v>1</v>
      </c>
      <c r="J949">
        <v>2.6890000000000001</v>
      </c>
      <c r="K949">
        <v>53.78</v>
      </c>
      <c r="L949" s="1">
        <v>44726</v>
      </c>
      <c r="M949" s="7">
        <f>DAY(Data[[#This Row],[Date]])</f>
        <v>14</v>
      </c>
      <c r="N949" s="7">
        <f>MONTH(Data[[#This Row],[Date]])</f>
        <v>6</v>
      </c>
      <c r="O949" s="7">
        <f>YEAR(Data[[#This Row],[Date]])</f>
        <v>2022</v>
      </c>
      <c r="P949" s="2">
        <v>0.84236111111111112</v>
      </c>
      <c r="Q949" t="s">
        <v>22</v>
      </c>
      <c r="R949">
        <v>37.646000000000001</v>
      </c>
      <c r="S949">
        <v>13.445</v>
      </c>
      <c r="T949">
        <v>4.7</v>
      </c>
    </row>
    <row r="950" spans="1:20" x14ac:dyDescent="0.55000000000000004">
      <c r="A950" t="s">
        <v>983</v>
      </c>
      <c r="B950" t="s">
        <v>24</v>
      </c>
      <c r="C950" t="s">
        <v>25</v>
      </c>
      <c r="D950" t="str">
        <f>"Br. "&amp;Data[[#This Row],[Branch]]&amp;" ("&amp;Data[[#This Row],[City]]&amp;")"</f>
        <v>Br. C (Naypyitaw)</v>
      </c>
      <c r="E950" t="s">
        <v>19</v>
      </c>
      <c r="F950" t="s">
        <v>30</v>
      </c>
      <c r="G950" t="s">
        <v>31</v>
      </c>
      <c r="H950">
        <v>35.81</v>
      </c>
      <c r="I950">
        <v>5</v>
      </c>
      <c r="J950">
        <v>8.9525000000000006</v>
      </c>
      <c r="K950">
        <v>179.05</v>
      </c>
      <c r="L950" s="1">
        <v>44726</v>
      </c>
      <c r="M950" s="7">
        <f>DAY(Data[[#This Row],[Date]])</f>
        <v>14</v>
      </c>
      <c r="N950" s="7">
        <f>MONTH(Data[[#This Row],[Date]])</f>
        <v>6</v>
      </c>
      <c r="O950" s="7">
        <f>YEAR(Data[[#This Row],[Date]])</f>
        <v>2022</v>
      </c>
      <c r="P950" s="2">
        <v>0.78055555555555556</v>
      </c>
      <c r="Q950" t="s">
        <v>22</v>
      </c>
      <c r="R950">
        <v>125.33499999999999</v>
      </c>
      <c r="S950">
        <v>44.762500000000003</v>
      </c>
      <c r="T950">
        <v>7.9</v>
      </c>
    </row>
    <row r="951" spans="1:20" x14ac:dyDescent="0.55000000000000004">
      <c r="A951" t="s">
        <v>984</v>
      </c>
      <c r="B951" t="s">
        <v>41</v>
      </c>
      <c r="C951" t="s">
        <v>42</v>
      </c>
      <c r="D951" t="str">
        <f>"Br. "&amp;Data[[#This Row],[Branch]]&amp;" ("&amp;Data[[#This Row],[City]]&amp;")"</f>
        <v>Br. B (Mandalay)</v>
      </c>
      <c r="E951" t="s">
        <v>26</v>
      </c>
      <c r="F951" t="s">
        <v>20</v>
      </c>
      <c r="G951" t="s">
        <v>43</v>
      </c>
      <c r="H951">
        <v>26.43</v>
      </c>
      <c r="I951">
        <v>8</v>
      </c>
      <c r="J951">
        <v>10.571999999999999</v>
      </c>
      <c r="K951">
        <v>211.44</v>
      </c>
      <c r="L951" s="1">
        <v>44726</v>
      </c>
      <c r="M951" s="7">
        <f>DAY(Data[[#This Row],[Date]])</f>
        <v>14</v>
      </c>
      <c r="N951" s="7">
        <f>MONTH(Data[[#This Row],[Date]])</f>
        <v>6</v>
      </c>
      <c r="O951" s="7">
        <f>YEAR(Data[[#This Row],[Date]])</f>
        <v>2022</v>
      </c>
      <c r="P951" s="2">
        <v>0.60138888888888886</v>
      </c>
      <c r="Q951" t="s">
        <v>22</v>
      </c>
      <c r="R951">
        <v>148.00800000000001</v>
      </c>
      <c r="S951">
        <v>52.86</v>
      </c>
      <c r="T951">
        <v>8.9</v>
      </c>
    </row>
    <row r="952" spans="1:20" x14ac:dyDescent="0.55000000000000004">
      <c r="A952" t="s">
        <v>985</v>
      </c>
      <c r="B952" t="s">
        <v>41</v>
      </c>
      <c r="C952" t="s">
        <v>42</v>
      </c>
      <c r="D952" t="str">
        <f>"Br. "&amp;Data[[#This Row],[Branch]]&amp;" ("&amp;Data[[#This Row],[City]]&amp;")"</f>
        <v>Br. B (Mandalay)</v>
      </c>
      <c r="E952" t="s">
        <v>19</v>
      </c>
      <c r="F952" t="s">
        <v>30</v>
      </c>
      <c r="G952" t="s">
        <v>21</v>
      </c>
      <c r="H952">
        <v>39.909999999999997</v>
      </c>
      <c r="I952">
        <v>3</v>
      </c>
      <c r="J952">
        <v>5.9865000000000004</v>
      </c>
      <c r="K952">
        <v>119.73</v>
      </c>
      <c r="L952" s="1">
        <v>44726</v>
      </c>
      <c r="M952" s="7">
        <f>DAY(Data[[#This Row],[Date]])</f>
        <v>14</v>
      </c>
      <c r="N952" s="7">
        <f>MONTH(Data[[#This Row],[Date]])</f>
        <v>6</v>
      </c>
      <c r="O952" s="7">
        <f>YEAR(Data[[#This Row],[Date]])</f>
        <v>2022</v>
      </c>
      <c r="P952" s="2">
        <v>0.52777777777777779</v>
      </c>
      <c r="Q952" t="s">
        <v>22</v>
      </c>
      <c r="R952">
        <v>83.811000000000007</v>
      </c>
      <c r="S952">
        <v>29.932500000000001</v>
      </c>
      <c r="T952">
        <v>9.3000000000000007</v>
      </c>
    </row>
    <row r="953" spans="1:20" x14ac:dyDescent="0.55000000000000004">
      <c r="A953" t="s">
        <v>986</v>
      </c>
      <c r="B953" t="s">
        <v>41</v>
      </c>
      <c r="C953" t="s">
        <v>42</v>
      </c>
      <c r="D953" t="str">
        <f>"Br. "&amp;Data[[#This Row],[Branch]]&amp;" ("&amp;Data[[#This Row],[City]]&amp;")"</f>
        <v>Br. B (Mandalay)</v>
      </c>
      <c r="E953" t="s">
        <v>19</v>
      </c>
      <c r="F953" t="s">
        <v>20</v>
      </c>
      <c r="G953" t="s">
        <v>31</v>
      </c>
      <c r="H953">
        <v>21.9</v>
      </c>
      <c r="I953">
        <v>3</v>
      </c>
      <c r="J953">
        <v>3.2850000000000001</v>
      </c>
      <c r="K953">
        <v>65.7</v>
      </c>
      <c r="L953" s="1">
        <v>44726</v>
      </c>
      <c r="M953" s="7">
        <f>DAY(Data[[#This Row],[Date]])</f>
        <v>14</v>
      </c>
      <c r="N953" s="7">
        <f>MONTH(Data[[#This Row],[Date]])</f>
        <v>6</v>
      </c>
      <c r="O953" s="7">
        <f>YEAR(Data[[#This Row],[Date]])</f>
        <v>2022</v>
      </c>
      <c r="P953" s="2">
        <v>0.77986111111111112</v>
      </c>
      <c r="Q953" t="s">
        <v>22</v>
      </c>
      <c r="R953">
        <v>45.99</v>
      </c>
      <c r="S953">
        <v>16.425000000000001</v>
      </c>
      <c r="T953">
        <v>4.7</v>
      </c>
    </row>
    <row r="954" spans="1:20" x14ac:dyDescent="0.55000000000000004">
      <c r="A954" t="s">
        <v>987</v>
      </c>
      <c r="B954" t="s">
        <v>41</v>
      </c>
      <c r="C954" t="s">
        <v>42</v>
      </c>
      <c r="D954" t="str">
        <f>"Br. "&amp;Data[[#This Row],[Branch]]&amp;" ("&amp;Data[[#This Row],[City]]&amp;")"</f>
        <v>Br. B (Mandalay)</v>
      </c>
      <c r="E954" t="s">
        <v>19</v>
      </c>
      <c r="F954" t="s">
        <v>20</v>
      </c>
      <c r="G954" t="s">
        <v>43</v>
      </c>
      <c r="H954">
        <v>62.85</v>
      </c>
      <c r="I954">
        <v>4</v>
      </c>
      <c r="J954">
        <v>12.57</v>
      </c>
      <c r="K954">
        <v>251.4</v>
      </c>
      <c r="L954" s="1">
        <v>44726</v>
      </c>
      <c r="M954" s="7">
        <f>DAY(Data[[#This Row],[Date]])</f>
        <v>14</v>
      </c>
      <c r="N954" s="7">
        <f>MONTH(Data[[#This Row],[Date]])</f>
        <v>6</v>
      </c>
      <c r="O954" s="7">
        <f>YEAR(Data[[#This Row],[Date]])</f>
        <v>2022</v>
      </c>
      <c r="P954" s="2">
        <v>0.55694444444444446</v>
      </c>
      <c r="Q954" t="s">
        <v>22</v>
      </c>
      <c r="R954">
        <v>175.98</v>
      </c>
      <c r="S954">
        <v>62.85</v>
      </c>
      <c r="T954">
        <v>8.6999999999999993</v>
      </c>
    </row>
    <row r="955" spans="1:20" x14ac:dyDescent="0.55000000000000004">
      <c r="A955" t="s">
        <v>988</v>
      </c>
      <c r="B955" t="s">
        <v>24</v>
      </c>
      <c r="C955" t="s">
        <v>25</v>
      </c>
      <c r="D955" t="str">
        <f>"Br. "&amp;Data[[#This Row],[Branch]]&amp;" ("&amp;Data[[#This Row],[City]]&amp;")"</f>
        <v>Br. C (Naypyitaw)</v>
      </c>
      <c r="E955" t="s">
        <v>19</v>
      </c>
      <c r="F955" t="s">
        <v>20</v>
      </c>
      <c r="G955" t="s">
        <v>43</v>
      </c>
      <c r="H955">
        <v>21.04</v>
      </c>
      <c r="I955">
        <v>4</v>
      </c>
      <c r="J955">
        <v>4.2080000000000002</v>
      </c>
      <c r="K955">
        <v>84.16</v>
      </c>
      <c r="L955" s="1">
        <v>44726</v>
      </c>
      <c r="M955" s="7">
        <f>DAY(Data[[#This Row],[Date]])</f>
        <v>14</v>
      </c>
      <c r="N955" s="7">
        <f>MONTH(Data[[#This Row],[Date]])</f>
        <v>6</v>
      </c>
      <c r="O955" s="7">
        <f>YEAR(Data[[#This Row],[Date]])</f>
        <v>2022</v>
      </c>
      <c r="P955" s="2">
        <v>0.58194444444444449</v>
      </c>
      <c r="Q955" t="s">
        <v>28</v>
      </c>
      <c r="R955">
        <v>58.911999999999999</v>
      </c>
      <c r="S955">
        <v>21.04</v>
      </c>
      <c r="T955">
        <v>7.6</v>
      </c>
    </row>
    <row r="956" spans="1:20" x14ac:dyDescent="0.55000000000000004">
      <c r="A956" t="s">
        <v>989</v>
      </c>
      <c r="B956" t="s">
        <v>41</v>
      </c>
      <c r="C956" t="s">
        <v>42</v>
      </c>
      <c r="D956" t="str">
        <f>"Br. "&amp;Data[[#This Row],[Branch]]&amp;" ("&amp;Data[[#This Row],[City]]&amp;")"</f>
        <v>Br. B (Mandalay)</v>
      </c>
      <c r="E956" t="s">
        <v>19</v>
      </c>
      <c r="F956" t="s">
        <v>30</v>
      </c>
      <c r="G956" t="s">
        <v>31</v>
      </c>
      <c r="H956">
        <v>65.91</v>
      </c>
      <c r="I956">
        <v>6</v>
      </c>
      <c r="J956">
        <v>19.773</v>
      </c>
      <c r="K956">
        <v>395.46</v>
      </c>
      <c r="L956" s="1">
        <v>44726</v>
      </c>
      <c r="M956" s="7">
        <f>DAY(Data[[#This Row],[Date]])</f>
        <v>14</v>
      </c>
      <c r="N956" s="7">
        <f>MONTH(Data[[#This Row],[Date]])</f>
        <v>6</v>
      </c>
      <c r="O956" s="7">
        <f>YEAR(Data[[#This Row],[Date]])</f>
        <v>2022</v>
      </c>
      <c r="P956" s="2">
        <v>0.48958333333333331</v>
      </c>
      <c r="Q956" t="s">
        <v>28</v>
      </c>
      <c r="R956">
        <v>276.822</v>
      </c>
      <c r="S956">
        <v>98.864999999999995</v>
      </c>
      <c r="T956">
        <v>5.7</v>
      </c>
    </row>
    <row r="957" spans="1:20" x14ac:dyDescent="0.55000000000000004">
      <c r="A957" t="s">
        <v>990</v>
      </c>
      <c r="B957" t="s">
        <v>17</v>
      </c>
      <c r="C957" t="s">
        <v>18</v>
      </c>
      <c r="D957" t="str">
        <f>"Br. "&amp;Data[[#This Row],[Branch]]&amp;" ("&amp;Data[[#This Row],[City]]&amp;")"</f>
        <v>Br. A (Yangon)</v>
      </c>
      <c r="E957" t="s">
        <v>26</v>
      </c>
      <c r="F957" t="s">
        <v>20</v>
      </c>
      <c r="G957" t="s">
        <v>45</v>
      </c>
      <c r="H957">
        <v>42.57</v>
      </c>
      <c r="I957">
        <v>7</v>
      </c>
      <c r="J957">
        <v>14.8995</v>
      </c>
      <c r="K957">
        <v>297.99</v>
      </c>
      <c r="L957" s="1">
        <v>44726</v>
      </c>
      <c r="M957" s="7">
        <f>DAY(Data[[#This Row],[Date]])</f>
        <v>14</v>
      </c>
      <c r="N957" s="7">
        <f>MONTH(Data[[#This Row],[Date]])</f>
        <v>6</v>
      </c>
      <c r="O957" s="7">
        <f>YEAR(Data[[#This Row],[Date]])</f>
        <v>2022</v>
      </c>
      <c r="P957" s="2">
        <v>0.49375000000000002</v>
      </c>
      <c r="Q957" t="s">
        <v>28</v>
      </c>
      <c r="R957">
        <v>208.59299999999999</v>
      </c>
      <c r="S957">
        <v>74.497500000000002</v>
      </c>
      <c r="T957">
        <v>6.8</v>
      </c>
    </row>
    <row r="958" spans="1:20" x14ac:dyDescent="0.55000000000000004">
      <c r="A958" t="s">
        <v>991</v>
      </c>
      <c r="B958" t="s">
        <v>24</v>
      </c>
      <c r="C958" t="s">
        <v>25</v>
      </c>
      <c r="D958" t="str">
        <f>"Br. "&amp;Data[[#This Row],[Branch]]&amp;" ("&amp;Data[[#This Row],[City]]&amp;")"</f>
        <v>Br. C (Naypyitaw)</v>
      </c>
      <c r="E958" t="s">
        <v>19</v>
      </c>
      <c r="F958" t="s">
        <v>30</v>
      </c>
      <c r="G958" t="s">
        <v>43</v>
      </c>
      <c r="H958">
        <v>50.49</v>
      </c>
      <c r="I958">
        <v>9</v>
      </c>
      <c r="J958">
        <v>22.720500000000001</v>
      </c>
      <c r="K958">
        <v>454.41</v>
      </c>
      <c r="L958" s="1">
        <v>44726</v>
      </c>
      <c r="M958" s="7">
        <f>DAY(Data[[#This Row],[Date]])</f>
        <v>14</v>
      </c>
      <c r="N958" s="7">
        <f>MONTH(Data[[#This Row],[Date]])</f>
        <v>6</v>
      </c>
      <c r="O958" s="7">
        <f>YEAR(Data[[#This Row],[Date]])</f>
        <v>2022</v>
      </c>
      <c r="P958" s="2">
        <v>0.71944444444444444</v>
      </c>
      <c r="Q958" t="s">
        <v>28</v>
      </c>
      <c r="R958">
        <v>318.08699999999999</v>
      </c>
      <c r="S958">
        <v>113.60250000000001</v>
      </c>
      <c r="T958">
        <v>5.4</v>
      </c>
    </row>
    <row r="959" spans="1:20" x14ac:dyDescent="0.55000000000000004">
      <c r="A959" t="s">
        <v>992</v>
      </c>
      <c r="B959" t="s">
        <v>41</v>
      </c>
      <c r="C959" t="s">
        <v>42</v>
      </c>
      <c r="D959" t="str">
        <f>"Br. "&amp;Data[[#This Row],[Branch]]&amp;" ("&amp;Data[[#This Row],[City]]&amp;")"</f>
        <v>Br. B (Mandalay)</v>
      </c>
      <c r="E959" t="s">
        <v>26</v>
      </c>
      <c r="F959" t="s">
        <v>30</v>
      </c>
      <c r="G959" t="s">
        <v>27</v>
      </c>
      <c r="H959">
        <v>46.02</v>
      </c>
      <c r="I959">
        <v>6</v>
      </c>
      <c r="J959">
        <v>13.805999999999999</v>
      </c>
      <c r="K959">
        <v>276.12</v>
      </c>
      <c r="L959" s="1">
        <v>44726</v>
      </c>
      <c r="M959" s="7">
        <f>DAY(Data[[#This Row],[Date]])</f>
        <v>14</v>
      </c>
      <c r="N959" s="7">
        <f>MONTH(Data[[#This Row],[Date]])</f>
        <v>6</v>
      </c>
      <c r="O959" s="7">
        <f>YEAR(Data[[#This Row],[Date]])</f>
        <v>2022</v>
      </c>
      <c r="P959" s="2">
        <v>0.66319444444444442</v>
      </c>
      <c r="Q959" t="s">
        <v>28</v>
      </c>
      <c r="R959">
        <v>193.28399999999999</v>
      </c>
      <c r="S959">
        <v>69.03</v>
      </c>
      <c r="T959">
        <v>7.1</v>
      </c>
    </row>
    <row r="960" spans="1:20" x14ac:dyDescent="0.55000000000000004">
      <c r="A960" t="s">
        <v>993</v>
      </c>
      <c r="B960" t="s">
        <v>24</v>
      </c>
      <c r="C960" t="s">
        <v>25</v>
      </c>
      <c r="D960" t="str">
        <f>"Br. "&amp;Data[[#This Row],[Branch]]&amp;" ("&amp;Data[[#This Row],[City]]&amp;")"</f>
        <v>Br. C (Naypyitaw)</v>
      </c>
      <c r="E960" t="s">
        <v>26</v>
      </c>
      <c r="F960" t="s">
        <v>20</v>
      </c>
      <c r="G960" t="s">
        <v>31</v>
      </c>
      <c r="H960">
        <v>15.8</v>
      </c>
      <c r="I960">
        <v>10</v>
      </c>
      <c r="J960">
        <v>7.9</v>
      </c>
      <c r="K960">
        <v>158</v>
      </c>
      <c r="L960" s="1">
        <v>44726</v>
      </c>
      <c r="M960" s="7">
        <f>DAY(Data[[#This Row],[Date]])</f>
        <v>14</v>
      </c>
      <c r="N960" s="7">
        <f>MONTH(Data[[#This Row],[Date]])</f>
        <v>6</v>
      </c>
      <c r="O960" s="7">
        <f>YEAR(Data[[#This Row],[Date]])</f>
        <v>2022</v>
      </c>
      <c r="P960" s="2">
        <v>0.50486111111111109</v>
      </c>
      <c r="Q960" t="s">
        <v>28</v>
      </c>
      <c r="R960">
        <v>110.6</v>
      </c>
      <c r="S960">
        <v>39.5</v>
      </c>
      <c r="T960">
        <v>7.8</v>
      </c>
    </row>
    <row r="961" spans="1:20" x14ac:dyDescent="0.55000000000000004">
      <c r="A961" t="s">
        <v>994</v>
      </c>
      <c r="B961" t="s">
        <v>17</v>
      </c>
      <c r="C961" t="s">
        <v>18</v>
      </c>
      <c r="D961" t="str">
        <f>"Br. "&amp;Data[[#This Row],[Branch]]&amp;" ("&amp;Data[[#This Row],[City]]&amp;")"</f>
        <v>Br. A (Yangon)</v>
      </c>
      <c r="E961" t="s">
        <v>19</v>
      </c>
      <c r="F961" t="s">
        <v>20</v>
      </c>
      <c r="G961" t="s">
        <v>43</v>
      </c>
      <c r="H961">
        <v>98.66</v>
      </c>
      <c r="I961">
        <v>9</v>
      </c>
      <c r="J961">
        <v>44.396999999999998</v>
      </c>
      <c r="K961">
        <v>887.94</v>
      </c>
      <c r="L961" s="1">
        <v>44726</v>
      </c>
      <c r="M961" s="7">
        <f>DAY(Data[[#This Row],[Date]])</f>
        <v>14</v>
      </c>
      <c r="N961" s="7">
        <f>MONTH(Data[[#This Row],[Date]])</f>
        <v>6</v>
      </c>
      <c r="O961" s="7">
        <f>YEAR(Data[[#This Row],[Date]])</f>
        <v>2022</v>
      </c>
      <c r="P961" s="2">
        <v>0.62986111111111109</v>
      </c>
      <c r="Q961" t="s">
        <v>28</v>
      </c>
      <c r="R961">
        <v>621.55799999999999</v>
      </c>
      <c r="S961">
        <v>221.98500000000001</v>
      </c>
      <c r="T961">
        <v>8.4</v>
      </c>
    </row>
    <row r="962" spans="1:20" x14ac:dyDescent="0.55000000000000004">
      <c r="A962" t="s">
        <v>995</v>
      </c>
      <c r="B962" t="s">
        <v>24</v>
      </c>
      <c r="C962" t="s">
        <v>25</v>
      </c>
      <c r="D962" t="str">
        <f>"Br. "&amp;Data[[#This Row],[Branch]]&amp;" ("&amp;Data[[#This Row],[City]]&amp;")"</f>
        <v>Br. C (Naypyitaw)</v>
      </c>
      <c r="E962" t="s">
        <v>19</v>
      </c>
      <c r="F962" t="s">
        <v>30</v>
      </c>
      <c r="G962" t="s">
        <v>45</v>
      </c>
      <c r="H962">
        <v>91.98</v>
      </c>
      <c r="I962">
        <v>1</v>
      </c>
      <c r="J962">
        <v>4.5990000000000002</v>
      </c>
      <c r="K962">
        <v>91.98</v>
      </c>
      <c r="L962" s="1">
        <v>44726</v>
      </c>
      <c r="M962" s="7">
        <f>DAY(Data[[#This Row],[Date]])</f>
        <v>14</v>
      </c>
      <c r="N962" s="7">
        <f>MONTH(Data[[#This Row],[Date]])</f>
        <v>6</v>
      </c>
      <c r="O962" s="7">
        <f>YEAR(Data[[#This Row],[Date]])</f>
        <v>2022</v>
      </c>
      <c r="P962" s="2">
        <v>0.64513888888888893</v>
      </c>
      <c r="Q962" t="s">
        <v>28</v>
      </c>
      <c r="R962">
        <v>64.385999999999996</v>
      </c>
      <c r="S962">
        <v>22.995000000000001</v>
      </c>
      <c r="T962">
        <v>9.8000000000000007</v>
      </c>
    </row>
    <row r="963" spans="1:20" x14ac:dyDescent="0.55000000000000004">
      <c r="A963" t="s">
        <v>996</v>
      </c>
      <c r="B963" t="s">
        <v>17</v>
      </c>
      <c r="C963" t="s">
        <v>18</v>
      </c>
      <c r="D963" t="str">
        <f>"Br. "&amp;Data[[#This Row],[Branch]]&amp;" ("&amp;Data[[#This Row],[City]]&amp;")"</f>
        <v>Br. A (Yangon)</v>
      </c>
      <c r="E963" t="s">
        <v>19</v>
      </c>
      <c r="F963" t="s">
        <v>30</v>
      </c>
      <c r="G963" t="s">
        <v>27</v>
      </c>
      <c r="H963">
        <v>20.89</v>
      </c>
      <c r="I963">
        <v>2</v>
      </c>
      <c r="J963">
        <v>2.089</v>
      </c>
      <c r="K963">
        <v>41.78</v>
      </c>
      <c r="L963" s="1">
        <v>44726</v>
      </c>
      <c r="M963" s="7">
        <f>DAY(Data[[#This Row],[Date]])</f>
        <v>14</v>
      </c>
      <c r="N963" s="7">
        <f>MONTH(Data[[#This Row],[Date]])</f>
        <v>6</v>
      </c>
      <c r="O963" s="7">
        <f>YEAR(Data[[#This Row],[Date]])</f>
        <v>2022</v>
      </c>
      <c r="P963" s="2">
        <v>0.78125</v>
      </c>
      <c r="Q963" t="s">
        <v>28</v>
      </c>
      <c r="R963">
        <v>29.245999999999999</v>
      </c>
      <c r="S963">
        <v>10.445</v>
      </c>
      <c r="T963">
        <v>9.8000000000000007</v>
      </c>
    </row>
    <row r="964" spans="1:20" x14ac:dyDescent="0.55000000000000004">
      <c r="A964" t="s">
        <v>997</v>
      </c>
      <c r="B964" t="s">
        <v>17</v>
      </c>
      <c r="C964" t="s">
        <v>18</v>
      </c>
      <c r="D964" t="str">
        <f>"Br. "&amp;Data[[#This Row],[Branch]]&amp;" ("&amp;Data[[#This Row],[City]]&amp;")"</f>
        <v>Br. A (Yangon)</v>
      </c>
      <c r="E964" t="s">
        <v>26</v>
      </c>
      <c r="F964" t="s">
        <v>20</v>
      </c>
      <c r="G964" t="s">
        <v>45</v>
      </c>
      <c r="H964">
        <v>15.5</v>
      </c>
      <c r="I964">
        <v>1</v>
      </c>
      <c r="J964">
        <v>0.77500000000000002</v>
      </c>
      <c r="K964">
        <v>15.5</v>
      </c>
      <c r="L964" s="1">
        <v>44726</v>
      </c>
      <c r="M964" s="7">
        <f>DAY(Data[[#This Row],[Date]])</f>
        <v>14</v>
      </c>
      <c r="N964" s="7">
        <f>MONTH(Data[[#This Row],[Date]])</f>
        <v>6</v>
      </c>
      <c r="O964" s="7">
        <f>YEAR(Data[[#This Row],[Date]])</f>
        <v>2022</v>
      </c>
      <c r="P964" s="2">
        <v>0.64097222222222228</v>
      </c>
      <c r="Q964" t="s">
        <v>32</v>
      </c>
      <c r="R964">
        <v>10.85</v>
      </c>
      <c r="S964">
        <v>3.875</v>
      </c>
      <c r="T964">
        <v>7.4</v>
      </c>
    </row>
    <row r="965" spans="1:20" x14ac:dyDescent="0.55000000000000004">
      <c r="A965" t="s">
        <v>998</v>
      </c>
      <c r="B965" t="s">
        <v>24</v>
      </c>
      <c r="C965" t="s">
        <v>25</v>
      </c>
      <c r="D965" t="str">
        <f>"Br. "&amp;Data[[#This Row],[Branch]]&amp;" ("&amp;Data[[#This Row],[City]]&amp;")"</f>
        <v>Br. C (Naypyitaw)</v>
      </c>
      <c r="E965" t="s">
        <v>19</v>
      </c>
      <c r="F965" t="s">
        <v>30</v>
      </c>
      <c r="G965" t="s">
        <v>27</v>
      </c>
      <c r="H965">
        <v>96.82</v>
      </c>
      <c r="I965">
        <v>3</v>
      </c>
      <c r="J965">
        <v>14.523</v>
      </c>
      <c r="K965">
        <v>290.45999999999998</v>
      </c>
      <c r="L965" s="1">
        <v>44726</v>
      </c>
      <c r="M965" s="7">
        <f>DAY(Data[[#This Row],[Date]])</f>
        <v>14</v>
      </c>
      <c r="N965" s="7">
        <f>MONTH(Data[[#This Row],[Date]])</f>
        <v>6</v>
      </c>
      <c r="O965" s="7">
        <f>YEAR(Data[[#This Row],[Date]])</f>
        <v>2022</v>
      </c>
      <c r="P965" s="2">
        <v>0.85902777777777772</v>
      </c>
      <c r="Q965" t="s">
        <v>28</v>
      </c>
      <c r="R965">
        <v>203.322</v>
      </c>
      <c r="S965">
        <v>72.614999999999995</v>
      </c>
      <c r="T965">
        <v>6.7</v>
      </c>
    </row>
    <row r="966" spans="1:20" x14ac:dyDescent="0.55000000000000004">
      <c r="A966" t="s">
        <v>999</v>
      </c>
      <c r="B966" t="s">
        <v>41</v>
      </c>
      <c r="C966" t="s">
        <v>42</v>
      </c>
      <c r="D966" t="str">
        <f>"Br. "&amp;Data[[#This Row],[Branch]]&amp;" ("&amp;Data[[#This Row],[City]]&amp;")"</f>
        <v>Br. B (Mandalay)</v>
      </c>
      <c r="E966" t="s">
        <v>26</v>
      </c>
      <c r="F966" t="s">
        <v>30</v>
      </c>
      <c r="G966" t="s">
        <v>43</v>
      </c>
      <c r="H966">
        <v>33.33</v>
      </c>
      <c r="I966">
        <v>2</v>
      </c>
      <c r="J966">
        <v>3.3330000000000002</v>
      </c>
      <c r="K966">
        <v>66.66</v>
      </c>
      <c r="L966" s="1">
        <v>44726</v>
      </c>
      <c r="M966" s="7">
        <f>DAY(Data[[#This Row],[Date]])</f>
        <v>14</v>
      </c>
      <c r="N966" s="7">
        <f>MONTH(Data[[#This Row],[Date]])</f>
        <v>6</v>
      </c>
      <c r="O966" s="7">
        <f>YEAR(Data[[#This Row],[Date]])</f>
        <v>2022</v>
      </c>
      <c r="P966" s="2">
        <v>0.6118055555555556</v>
      </c>
      <c r="Q966" t="s">
        <v>32</v>
      </c>
      <c r="R966">
        <v>46.661999999999999</v>
      </c>
      <c r="S966">
        <v>16.664999999999999</v>
      </c>
      <c r="T966">
        <v>6.4</v>
      </c>
    </row>
    <row r="967" spans="1:20" x14ac:dyDescent="0.55000000000000004">
      <c r="A967" t="s">
        <v>1000</v>
      </c>
      <c r="B967" t="s">
        <v>41</v>
      </c>
      <c r="C967" t="s">
        <v>42</v>
      </c>
      <c r="D967" t="str">
        <f>"Br. "&amp;Data[[#This Row],[Branch]]&amp;" ("&amp;Data[[#This Row],[City]]&amp;")"</f>
        <v>Br. B (Mandalay)</v>
      </c>
      <c r="E967" t="s">
        <v>26</v>
      </c>
      <c r="F967" t="s">
        <v>20</v>
      </c>
      <c r="G967" t="s">
        <v>27</v>
      </c>
      <c r="H967">
        <v>38.270000000000003</v>
      </c>
      <c r="I967">
        <v>2</v>
      </c>
      <c r="J967">
        <v>3.827</v>
      </c>
      <c r="K967">
        <v>76.540000000000006</v>
      </c>
      <c r="L967" s="1">
        <v>44726</v>
      </c>
      <c r="M967" s="7">
        <f>DAY(Data[[#This Row],[Date]])</f>
        <v>14</v>
      </c>
      <c r="N967" s="7">
        <f>MONTH(Data[[#This Row],[Date]])</f>
        <v>6</v>
      </c>
      <c r="O967" s="7">
        <f>YEAR(Data[[#This Row],[Date]])</f>
        <v>2022</v>
      </c>
      <c r="P967" s="2">
        <v>0.76249999999999996</v>
      </c>
      <c r="Q967" t="s">
        <v>32</v>
      </c>
      <c r="R967">
        <v>53.578000000000003</v>
      </c>
      <c r="S967">
        <v>19.135000000000002</v>
      </c>
      <c r="T967">
        <v>5.8</v>
      </c>
    </row>
    <row r="968" spans="1:20" x14ac:dyDescent="0.55000000000000004">
      <c r="A968" t="s">
        <v>1001</v>
      </c>
      <c r="B968" t="s">
        <v>17</v>
      </c>
      <c r="C968" t="s">
        <v>18</v>
      </c>
      <c r="D968" t="str">
        <f>"Br. "&amp;Data[[#This Row],[Branch]]&amp;" ("&amp;Data[[#This Row],[City]]&amp;")"</f>
        <v>Br. A (Yangon)</v>
      </c>
      <c r="E968" t="s">
        <v>26</v>
      </c>
      <c r="F968" t="s">
        <v>20</v>
      </c>
      <c r="G968" t="s">
        <v>31</v>
      </c>
      <c r="H968">
        <v>33.299999999999997</v>
      </c>
      <c r="I968">
        <v>9</v>
      </c>
      <c r="J968">
        <v>14.984999999999999</v>
      </c>
      <c r="K968">
        <v>299.7</v>
      </c>
      <c r="L968" s="1">
        <v>44726</v>
      </c>
      <c r="M968" s="7">
        <f>DAY(Data[[#This Row],[Date]])</f>
        <v>14</v>
      </c>
      <c r="N968" s="7">
        <f>MONTH(Data[[#This Row],[Date]])</f>
        <v>6</v>
      </c>
      <c r="O968" s="7">
        <f>YEAR(Data[[#This Row],[Date]])</f>
        <v>2022</v>
      </c>
      <c r="P968" s="2">
        <v>0.64375000000000004</v>
      </c>
      <c r="Q968" t="s">
        <v>22</v>
      </c>
      <c r="R968">
        <v>209.79</v>
      </c>
      <c r="S968">
        <v>74.924999999999997</v>
      </c>
      <c r="T968">
        <v>7.2</v>
      </c>
    </row>
    <row r="969" spans="1:20" x14ac:dyDescent="0.55000000000000004">
      <c r="A969" t="s">
        <v>1002</v>
      </c>
      <c r="B969" t="s">
        <v>17</v>
      </c>
      <c r="C969" t="s">
        <v>18</v>
      </c>
      <c r="D969" t="str">
        <f>"Br. "&amp;Data[[#This Row],[Branch]]&amp;" ("&amp;Data[[#This Row],[City]]&amp;")"</f>
        <v>Br. A (Yangon)</v>
      </c>
      <c r="E969" t="s">
        <v>19</v>
      </c>
      <c r="F969" t="s">
        <v>30</v>
      </c>
      <c r="G969" t="s">
        <v>31</v>
      </c>
      <c r="H969">
        <v>81.010000000000005</v>
      </c>
      <c r="I969">
        <v>3</v>
      </c>
      <c r="J969">
        <v>12.1515</v>
      </c>
      <c r="K969">
        <v>243.03</v>
      </c>
      <c r="L969" s="1">
        <v>44726</v>
      </c>
      <c r="M969" s="7">
        <f>DAY(Data[[#This Row],[Date]])</f>
        <v>14</v>
      </c>
      <c r="N969" s="7">
        <f>MONTH(Data[[#This Row],[Date]])</f>
        <v>6</v>
      </c>
      <c r="O969" s="7">
        <f>YEAR(Data[[#This Row],[Date]])</f>
        <v>2022</v>
      </c>
      <c r="P969" s="2">
        <v>0.53819444444444442</v>
      </c>
      <c r="Q969" t="s">
        <v>32</v>
      </c>
      <c r="R969">
        <v>170.12100000000001</v>
      </c>
      <c r="S969">
        <v>60.7575</v>
      </c>
      <c r="T969">
        <v>9.3000000000000007</v>
      </c>
    </row>
    <row r="970" spans="1:20" x14ac:dyDescent="0.55000000000000004">
      <c r="A970" t="s">
        <v>1003</v>
      </c>
      <c r="B970" t="s">
        <v>17</v>
      </c>
      <c r="C970" t="s">
        <v>18</v>
      </c>
      <c r="D970" t="str">
        <f>"Br. "&amp;Data[[#This Row],[Branch]]&amp;" ("&amp;Data[[#This Row],[City]]&amp;")"</f>
        <v>Br. A (Yangon)</v>
      </c>
      <c r="E970" t="s">
        <v>26</v>
      </c>
      <c r="F970" t="s">
        <v>20</v>
      </c>
      <c r="G970" t="s">
        <v>21</v>
      </c>
      <c r="H970">
        <v>15.8</v>
      </c>
      <c r="I970">
        <v>3</v>
      </c>
      <c r="J970">
        <v>2.37</v>
      </c>
      <c r="K970">
        <v>47.4</v>
      </c>
      <c r="L970" s="1">
        <v>44726</v>
      </c>
      <c r="M970" s="7">
        <f>DAY(Data[[#This Row],[Date]])</f>
        <v>14</v>
      </c>
      <c r="N970" s="7">
        <f>MONTH(Data[[#This Row],[Date]])</f>
        <v>6</v>
      </c>
      <c r="O970" s="7">
        <f>YEAR(Data[[#This Row],[Date]])</f>
        <v>2022</v>
      </c>
      <c r="P970" s="2">
        <v>0.75138888888888888</v>
      </c>
      <c r="Q970" t="s">
        <v>28</v>
      </c>
      <c r="R970">
        <v>33.18</v>
      </c>
      <c r="S970">
        <v>11.85</v>
      </c>
      <c r="T970">
        <v>9.5</v>
      </c>
    </row>
    <row r="971" spans="1:20" x14ac:dyDescent="0.55000000000000004">
      <c r="A971" t="s">
        <v>1004</v>
      </c>
      <c r="B971" t="s">
        <v>41</v>
      </c>
      <c r="C971" t="s">
        <v>42</v>
      </c>
      <c r="D971" t="str">
        <f>"Br. "&amp;Data[[#This Row],[Branch]]&amp;" ("&amp;Data[[#This Row],[City]]&amp;")"</f>
        <v>Br. B (Mandalay)</v>
      </c>
      <c r="E971" t="s">
        <v>19</v>
      </c>
      <c r="F971" t="s">
        <v>20</v>
      </c>
      <c r="G971" t="s">
        <v>27</v>
      </c>
      <c r="H971">
        <v>34.49</v>
      </c>
      <c r="I971">
        <v>5</v>
      </c>
      <c r="J971">
        <v>8.6225000000000005</v>
      </c>
      <c r="K971">
        <v>172.45</v>
      </c>
      <c r="L971" s="1">
        <v>44726</v>
      </c>
      <c r="M971" s="7">
        <f>DAY(Data[[#This Row],[Date]])</f>
        <v>14</v>
      </c>
      <c r="N971" s="7">
        <f>MONTH(Data[[#This Row],[Date]])</f>
        <v>6</v>
      </c>
      <c r="O971" s="7">
        <f>YEAR(Data[[#This Row],[Date]])</f>
        <v>2022</v>
      </c>
      <c r="P971" s="2">
        <v>0.82222222222222219</v>
      </c>
      <c r="Q971" t="s">
        <v>32</v>
      </c>
      <c r="R971">
        <v>120.715</v>
      </c>
      <c r="S971">
        <v>43.112499999999997</v>
      </c>
      <c r="T971">
        <v>9</v>
      </c>
    </row>
    <row r="972" spans="1:20" x14ac:dyDescent="0.55000000000000004">
      <c r="A972" t="s">
        <v>1005</v>
      </c>
      <c r="B972" t="s">
        <v>41</v>
      </c>
      <c r="C972" t="s">
        <v>42</v>
      </c>
      <c r="D972" t="str">
        <f>"Br. "&amp;Data[[#This Row],[Branch]]&amp;" ("&amp;Data[[#This Row],[City]]&amp;")"</f>
        <v>Br. B (Mandalay)</v>
      </c>
      <c r="E972" t="s">
        <v>19</v>
      </c>
      <c r="F972" t="s">
        <v>20</v>
      </c>
      <c r="G972" t="s">
        <v>43</v>
      </c>
      <c r="H972">
        <v>84.63</v>
      </c>
      <c r="I972">
        <v>10</v>
      </c>
      <c r="J972">
        <v>42.314999999999998</v>
      </c>
      <c r="K972">
        <v>846.3</v>
      </c>
      <c r="L972" s="1">
        <v>44726</v>
      </c>
      <c r="M972" s="7">
        <f>DAY(Data[[#This Row],[Date]])</f>
        <v>14</v>
      </c>
      <c r="N972" s="7">
        <f>MONTH(Data[[#This Row],[Date]])</f>
        <v>6</v>
      </c>
      <c r="O972" s="7">
        <f>YEAR(Data[[#This Row],[Date]])</f>
        <v>2022</v>
      </c>
      <c r="P972" s="2">
        <v>0.48333333333333334</v>
      </c>
      <c r="Q972" t="s">
        <v>32</v>
      </c>
      <c r="R972">
        <v>592.41</v>
      </c>
      <c r="S972">
        <v>211.57499999999999</v>
      </c>
      <c r="T972">
        <v>9</v>
      </c>
    </row>
    <row r="973" spans="1:20" x14ac:dyDescent="0.55000000000000004">
      <c r="A973" t="s">
        <v>1006</v>
      </c>
      <c r="B973" t="s">
        <v>41</v>
      </c>
      <c r="C973" t="s">
        <v>42</v>
      </c>
      <c r="D973" t="str">
        <f>"Br. "&amp;Data[[#This Row],[Branch]]&amp;" ("&amp;Data[[#This Row],[City]]&amp;")"</f>
        <v>Br. B (Mandalay)</v>
      </c>
      <c r="E973" t="s">
        <v>19</v>
      </c>
      <c r="F973" t="s">
        <v>30</v>
      </c>
      <c r="G973" t="s">
        <v>31</v>
      </c>
      <c r="H973">
        <v>36.909999999999997</v>
      </c>
      <c r="I973">
        <v>7</v>
      </c>
      <c r="J973">
        <v>12.9185</v>
      </c>
      <c r="K973">
        <v>258.37</v>
      </c>
      <c r="L973" s="1">
        <v>44726</v>
      </c>
      <c r="M973" s="7">
        <f>DAY(Data[[#This Row],[Date]])</f>
        <v>14</v>
      </c>
      <c r="N973" s="7">
        <f>MONTH(Data[[#This Row],[Date]])</f>
        <v>6</v>
      </c>
      <c r="O973" s="7">
        <f>YEAR(Data[[#This Row],[Date]])</f>
        <v>2022</v>
      </c>
      <c r="P973" s="2">
        <v>0.57708333333333328</v>
      </c>
      <c r="Q973" t="s">
        <v>22</v>
      </c>
      <c r="R973">
        <v>180.85900000000001</v>
      </c>
      <c r="S973">
        <v>64.592500000000001</v>
      </c>
      <c r="T973">
        <v>6.7</v>
      </c>
    </row>
    <row r="974" spans="1:20" x14ac:dyDescent="0.55000000000000004">
      <c r="A974" t="s">
        <v>1007</v>
      </c>
      <c r="B974" t="s">
        <v>41</v>
      </c>
      <c r="C974" t="s">
        <v>42</v>
      </c>
      <c r="D974" t="str">
        <f>"Br. "&amp;Data[[#This Row],[Branch]]&amp;" ("&amp;Data[[#This Row],[City]]&amp;")"</f>
        <v>Br. B (Mandalay)</v>
      </c>
      <c r="E974" t="s">
        <v>26</v>
      </c>
      <c r="F974" t="s">
        <v>30</v>
      </c>
      <c r="G974" t="s">
        <v>27</v>
      </c>
      <c r="H974">
        <v>87.08</v>
      </c>
      <c r="I974">
        <v>7</v>
      </c>
      <c r="J974">
        <v>30.478000000000002</v>
      </c>
      <c r="K974">
        <v>609.55999999999995</v>
      </c>
      <c r="L974" s="1">
        <v>44726</v>
      </c>
      <c r="M974" s="7">
        <f>DAY(Data[[#This Row],[Date]])</f>
        <v>14</v>
      </c>
      <c r="N974" s="7">
        <f>MONTH(Data[[#This Row],[Date]])</f>
        <v>6</v>
      </c>
      <c r="O974" s="7">
        <f>YEAR(Data[[#This Row],[Date]])</f>
        <v>2022</v>
      </c>
      <c r="P974" s="2">
        <v>0.63680555555555551</v>
      </c>
      <c r="Q974" t="s">
        <v>28</v>
      </c>
      <c r="R974">
        <v>426.69200000000001</v>
      </c>
      <c r="S974">
        <v>152.38999999999999</v>
      </c>
      <c r="T974">
        <v>5.5</v>
      </c>
    </row>
    <row r="975" spans="1:20" x14ac:dyDescent="0.55000000000000004">
      <c r="A975" t="s">
        <v>1008</v>
      </c>
      <c r="B975" t="s">
        <v>17</v>
      </c>
      <c r="C975" t="s">
        <v>18</v>
      </c>
      <c r="D975" t="str">
        <f>"Br. "&amp;Data[[#This Row],[Branch]]&amp;" ("&amp;Data[[#This Row],[City]]&amp;")"</f>
        <v>Br. A (Yangon)</v>
      </c>
      <c r="E975" t="s">
        <v>26</v>
      </c>
      <c r="F975" t="s">
        <v>30</v>
      </c>
      <c r="G975" t="s">
        <v>31</v>
      </c>
      <c r="H975">
        <v>80.08</v>
      </c>
      <c r="I975">
        <v>3</v>
      </c>
      <c r="J975">
        <v>12.012</v>
      </c>
      <c r="K975">
        <v>240.24</v>
      </c>
      <c r="L975" s="1">
        <v>44726</v>
      </c>
      <c r="M975" s="7">
        <f>DAY(Data[[#This Row],[Date]])</f>
        <v>14</v>
      </c>
      <c r="N975" s="7">
        <f>MONTH(Data[[#This Row],[Date]])</f>
        <v>6</v>
      </c>
      <c r="O975" s="7">
        <f>YEAR(Data[[#This Row],[Date]])</f>
        <v>2022</v>
      </c>
      <c r="P975" s="2">
        <v>0.64513888888888893</v>
      </c>
      <c r="Q975" t="s">
        <v>28</v>
      </c>
      <c r="R975">
        <v>168.16800000000001</v>
      </c>
      <c r="S975">
        <v>60.06</v>
      </c>
      <c r="T975">
        <v>5.4</v>
      </c>
    </row>
    <row r="976" spans="1:20" x14ac:dyDescent="0.55000000000000004">
      <c r="A976" t="s">
        <v>1009</v>
      </c>
      <c r="B976" t="s">
        <v>24</v>
      </c>
      <c r="C976" t="s">
        <v>25</v>
      </c>
      <c r="D976" t="str">
        <f>"Br. "&amp;Data[[#This Row],[Branch]]&amp;" ("&amp;Data[[#This Row],[City]]&amp;")"</f>
        <v>Br. C (Naypyitaw)</v>
      </c>
      <c r="E976" t="s">
        <v>26</v>
      </c>
      <c r="F976" t="s">
        <v>30</v>
      </c>
      <c r="G976" t="s">
        <v>45</v>
      </c>
      <c r="H976">
        <v>86.13</v>
      </c>
      <c r="I976">
        <v>2</v>
      </c>
      <c r="J976">
        <v>8.6129999999999995</v>
      </c>
      <c r="K976">
        <v>172.26</v>
      </c>
      <c r="L976" s="1">
        <v>44726</v>
      </c>
      <c r="M976" s="7">
        <f>DAY(Data[[#This Row],[Date]])</f>
        <v>14</v>
      </c>
      <c r="N976" s="7">
        <f>MONTH(Data[[#This Row],[Date]])</f>
        <v>6</v>
      </c>
      <c r="O976" s="7">
        <f>YEAR(Data[[#This Row],[Date]])</f>
        <v>2022</v>
      </c>
      <c r="P976" s="2">
        <v>0.74930555555555556</v>
      </c>
      <c r="Q976" t="s">
        <v>28</v>
      </c>
      <c r="R976">
        <v>120.58199999999999</v>
      </c>
      <c r="S976">
        <v>43.064999999999998</v>
      </c>
      <c r="T976">
        <v>8.1999999999999993</v>
      </c>
    </row>
    <row r="977" spans="1:20" x14ac:dyDescent="0.55000000000000004">
      <c r="A977" t="s">
        <v>1010</v>
      </c>
      <c r="B977" t="s">
        <v>41</v>
      </c>
      <c r="C977" t="s">
        <v>42</v>
      </c>
      <c r="D977" t="str">
        <f>"Br. "&amp;Data[[#This Row],[Branch]]&amp;" ("&amp;Data[[#This Row],[City]]&amp;")"</f>
        <v>Br. B (Mandalay)</v>
      </c>
      <c r="E977" t="s">
        <v>19</v>
      </c>
      <c r="F977" t="s">
        <v>30</v>
      </c>
      <c r="G977" t="s">
        <v>45</v>
      </c>
      <c r="H977">
        <v>49.92</v>
      </c>
      <c r="I977">
        <v>2</v>
      </c>
      <c r="J977">
        <v>4.992</v>
      </c>
      <c r="K977">
        <v>99.84</v>
      </c>
      <c r="L977" s="1">
        <v>44726</v>
      </c>
      <c r="M977" s="7">
        <f>DAY(Data[[#This Row],[Date]])</f>
        <v>14</v>
      </c>
      <c r="N977" s="7">
        <f>MONTH(Data[[#This Row],[Date]])</f>
        <v>6</v>
      </c>
      <c r="O977" s="7">
        <f>YEAR(Data[[#This Row],[Date]])</f>
        <v>2022</v>
      </c>
      <c r="P977" s="2">
        <v>0.49652777777777779</v>
      </c>
      <c r="Q977" t="s">
        <v>32</v>
      </c>
      <c r="R977">
        <v>69.888000000000005</v>
      </c>
      <c r="S977">
        <v>24.96</v>
      </c>
      <c r="T977">
        <v>7</v>
      </c>
    </row>
    <row r="978" spans="1:20" x14ac:dyDescent="0.55000000000000004">
      <c r="A978" t="s">
        <v>1011</v>
      </c>
      <c r="B978" t="s">
        <v>17</v>
      </c>
      <c r="C978" t="s">
        <v>18</v>
      </c>
      <c r="D978" t="str">
        <f>"Br. "&amp;Data[[#This Row],[Branch]]&amp;" ("&amp;Data[[#This Row],[City]]&amp;")"</f>
        <v>Br. A (Yangon)</v>
      </c>
      <c r="E978" t="s">
        <v>26</v>
      </c>
      <c r="F978" t="s">
        <v>20</v>
      </c>
      <c r="G978" t="s">
        <v>43</v>
      </c>
      <c r="H978">
        <v>74.66</v>
      </c>
      <c r="I978">
        <v>4</v>
      </c>
      <c r="J978">
        <v>14.932</v>
      </c>
      <c r="K978">
        <v>298.64</v>
      </c>
      <c r="L978" s="1">
        <v>44726</v>
      </c>
      <c r="M978" s="7">
        <f>DAY(Data[[#This Row],[Date]])</f>
        <v>14</v>
      </c>
      <c r="N978" s="7">
        <f>MONTH(Data[[#This Row],[Date]])</f>
        <v>6</v>
      </c>
      <c r="O978" s="7">
        <f>YEAR(Data[[#This Row],[Date]])</f>
        <v>2022</v>
      </c>
      <c r="P978" s="2">
        <v>0.44374999999999998</v>
      </c>
      <c r="Q978" t="s">
        <v>28</v>
      </c>
      <c r="R978">
        <v>209.048</v>
      </c>
      <c r="S978">
        <v>74.66</v>
      </c>
      <c r="T978">
        <v>8.5</v>
      </c>
    </row>
    <row r="979" spans="1:20" x14ac:dyDescent="0.55000000000000004">
      <c r="A979" t="s">
        <v>1012</v>
      </c>
      <c r="B979" t="s">
        <v>41</v>
      </c>
      <c r="C979" t="s">
        <v>42</v>
      </c>
      <c r="D979" t="str">
        <f>"Br. "&amp;Data[[#This Row],[Branch]]&amp;" ("&amp;Data[[#This Row],[City]]&amp;")"</f>
        <v>Br. B (Mandalay)</v>
      </c>
      <c r="E979" t="s">
        <v>19</v>
      </c>
      <c r="F979" t="s">
        <v>30</v>
      </c>
      <c r="G979" t="s">
        <v>43</v>
      </c>
      <c r="H979">
        <v>26.6</v>
      </c>
      <c r="I979">
        <v>6</v>
      </c>
      <c r="J979">
        <v>7.98</v>
      </c>
      <c r="K979">
        <v>159.6</v>
      </c>
      <c r="L979" s="1">
        <v>44726</v>
      </c>
      <c r="M979" s="7">
        <f>DAY(Data[[#This Row],[Date]])</f>
        <v>14</v>
      </c>
      <c r="N979" s="7">
        <f>MONTH(Data[[#This Row],[Date]])</f>
        <v>6</v>
      </c>
      <c r="O979" s="7">
        <f>YEAR(Data[[#This Row],[Date]])</f>
        <v>2022</v>
      </c>
      <c r="P979" s="2">
        <v>0.63194444444444442</v>
      </c>
      <c r="Q979" t="s">
        <v>22</v>
      </c>
      <c r="R979">
        <v>111.72</v>
      </c>
      <c r="S979">
        <v>39.9</v>
      </c>
      <c r="T979">
        <v>4.9000000000000004</v>
      </c>
    </row>
    <row r="980" spans="1:20" x14ac:dyDescent="0.55000000000000004">
      <c r="A980" t="s">
        <v>1013</v>
      </c>
      <c r="B980" t="s">
        <v>41</v>
      </c>
      <c r="C980" t="s">
        <v>42</v>
      </c>
      <c r="D980" t="str">
        <f>"Br. "&amp;Data[[#This Row],[Branch]]&amp;" ("&amp;Data[[#This Row],[City]]&amp;")"</f>
        <v>Br. B (Mandalay)</v>
      </c>
      <c r="E980" t="s">
        <v>26</v>
      </c>
      <c r="F980" t="s">
        <v>20</v>
      </c>
      <c r="G980" t="s">
        <v>27</v>
      </c>
      <c r="H980">
        <v>25.45</v>
      </c>
      <c r="I980">
        <v>1</v>
      </c>
      <c r="J980">
        <v>1.2725</v>
      </c>
      <c r="K980">
        <v>25.45</v>
      </c>
      <c r="L980" s="1">
        <v>44726</v>
      </c>
      <c r="M980" s="7">
        <f>DAY(Data[[#This Row],[Date]])</f>
        <v>14</v>
      </c>
      <c r="N980" s="7">
        <f>MONTH(Data[[#This Row],[Date]])</f>
        <v>6</v>
      </c>
      <c r="O980" s="7">
        <f>YEAR(Data[[#This Row],[Date]])</f>
        <v>2022</v>
      </c>
      <c r="P980" s="2">
        <v>0.75694444444444442</v>
      </c>
      <c r="Q980" t="s">
        <v>32</v>
      </c>
      <c r="R980">
        <v>17.815000000000001</v>
      </c>
      <c r="S980">
        <v>6.3624999999999998</v>
      </c>
      <c r="T980">
        <v>5.0999999999999996</v>
      </c>
    </row>
    <row r="981" spans="1:20" x14ac:dyDescent="0.55000000000000004">
      <c r="A981" t="s">
        <v>1014</v>
      </c>
      <c r="B981" t="s">
        <v>41</v>
      </c>
      <c r="C981" t="s">
        <v>42</v>
      </c>
      <c r="D981" t="str">
        <f>"Br. "&amp;Data[[#This Row],[Branch]]&amp;" ("&amp;Data[[#This Row],[City]]&amp;")"</f>
        <v>Br. B (Mandalay)</v>
      </c>
      <c r="E981" t="s">
        <v>26</v>
      </c>
      <c r="F981" t="s">
        <v>20</v>
      </c>
      <c r="G981" t="s">
        <v>43</v>
      </c>
      <c r="H981">
        <v>67.77</v>
      </c>
      <c r="I981">
        <v>1</v>
      </c>
      <c r="J981">
        <v>3.3885000000000001</v>
      </c>
      <c r="K981">
        <v>67.77</v>
      </c>
      <c r="L981" s="1">
        <v>44726</v>
      </c>
      <c r="M981" s="7">
        <f>DAY(Data[[#This Row],[Date]])</f>
        <v>14</v>
      </c>
      <c r="N981" s="7">
        <f>MONTH(Data[[#This Row],[Date]])</f>
        <v>6</v>
      </c>
      <c r="O981" s="7">
        <f>YEAR(Data[[#This Row],[Date]])</f>
        <v>2022</v>
      </c>
      <c r="P981" s="2">
        <v>0.86319444444444449</v>
      </c>
      <c r="Q981" t="s">
        <v>32</v>
      </c>
      <c r="R981">
        <v>47.439</v>
      </c>
      <c r="S981">
        <v>16.942499999999999</v>
      </c>
      <c r="T981">
        <v>6.5</v>
      </c>
    </row>
    <row r="982" spans="1:20" x14ac:dyDescent="0.55000000000000004">
      <c r="A982" t="s">
        <v>1015</v>
      </c>
      <c r="B982" t="s">
        <v>24</v>
      </c>
      <c r="C982" t="s">
        <v>25</v>
      </c>
      <c r="D982" t="str">
        <f>"Br. "&amp;Data[[#This Row],[Branch]]&amp;" ("&amp;Data[[#This Row],[City]]&amp;")"</f>
        <v>Br. C (Naypyitaw)</v>
      </c>
      <c r="E982" t="s">
        <v>19</v>
      </c>
      <c r="F982" t="s">
        <v>30</v>
      </c>
      <c r="G982" t="s">
        <v>43</v>
      </c>
      <c r="H982">
        <v>59.59</v>
      </c>
      <c r="I982">
        <v>4</v>
      </c>
      <c r="J982">
        <v>11.917999999999999</v>
      </c>
      <c r="K982">
        <v>238.36</v>
      </c>
      <c r="L982" s="1">
        <v>44726</v>
      </c>
      <c r="M982" s="7">
        <f>DAY(Data[[#This Row],[Date]])</f>
        <v>14</v>
      </c>
      <c r="N982" s="7">
        <f>MONTH(Data[[#This Row],[Date]])</f>
        <v>6</v>
      </c>
      <c r="O982" s="7">
        <f>YEAR(Data[[#This Row],[Date]])</f>
        <v>2022</v>
      </c>
      <c r="P982" s="2">
        <v>0.53194444444444444</v>
      </c>
      <c r="Q982" t="s">
        <v>28</v>
      </c>
      <c r="R982">
        <v>166.852</v>
      </c>
      <c r="S982">
        <v>59.59</v>
      </c>
      <c r="T982">
        <v>9.8000000000000007</v>
      </c>
    </row>
    <row r="983" spans="1:20" x14ac:dyDescent="0.55000000000000004">
      <c r="A983" t="s">
        <v>1016</v>
      </c>
      <c r="B983" t="s">
        <v>17</v>
      </c>
      <c r="C983" t="s">
        <v>18</v>
      </c>
      <c r="D983" t="str">
        <f>"Br. "&amp;Data[[#This Row],[Branch]]&amp;" ("&amp;Data[[#This Row],[City]]&amp;")"</f>
        <v>Br. A (Yangon)</v>
      </c>
      <c r="E983" t="s">
        <v>26</v>
      </c>
      <c r="F983" t="s">
        <v>30</v>
      </c>
      <c r="G983" t="s">
        <v>21</v>
      </c>
      <c r="H983">
        <v>58.15</v>
      </c>
      <c r="I983">
        <v>4</v>
      </c>
      <c r="J983">
        <v>11.63</v>
      </c>
      <c r="K983">
        <v>232.6</v>
      </c>
      <c r="L983" s="1">
        <v>44726</v>
      </c>
      <c r="M983" s="7">
        <f>DAY(Data[[#This Row],[Date]])</f>
        <v>14</v>
      </c>
      <c r="N983" s="7">
        <f>MONTH(Data[[#This Row],[Date]])</f>
        <v>6</v>
      </c>
      <c r="O983" s="7">
        <f>YEAR(Data[[#This Row],[Date]])</f>
        <v>2022</v>
      </c>
      <c r="P983" s="2">
        <v>0.73888888888888893</v>
      </c>
      <c r="Q983" t="s">
        <v>28</v>
      </c>
      <c r="R983">
        <v>162.82</v>
      </c>
      <c r="S983">
        <v>58.15</v>
      </c>
      <c r="T983">
        <v>8.4</v>
      </c>
    </row>
    <row r="984" spans="1:20" x14ac:dyDescent="0.55000000000000004">
      <c r="A984" t="s">
        <v>1017</v>
      </c>
      <c r="B984" t="s">
        <v>17</v>
      </c>
      <c r="C984" t="s">
        <v>18</v>
      </c>
      <c r="D984" t="str">
        <f>"Br. "&amp;Data[[#This Row],[Branch]]&amp;" ("&amp;Data[[#This Row],[City]]&amp;")"</f>
        <v>Br. A (Yangon)</v>
      </c>
      <c r="E984" t="s">
        <v>19</v>
      </c>
      <c r="F984" t="s">
        <v>20</v>
      </c>
      <c r="G984" t="s">
        <v>35</v>
      </c>
      <c r="H984">
        <v>97.48</v>
      </c>
      <c r="I984">
        <v>9</v>
      </c>
      <c r="J984">
        <v>43.866</v>
      </c>
      <c r="K984">
        <v>877.32</v>
      </c>
      <c r="L984" s="1">
        <v>44726</v>
      </c>
      <c r="M984" s="7">
        <f>DAY(Data[[#This Row],[Date]])</f>
        <v>14</v>
      </c>
      <c r="N984" s="7">
        <f>MONTH(Data[[#This Row],[Date]])</f>
        <v>6</v>
      </c>
      <c r="O984" s="7">
        <f>YEAR(Data[[#This Row],[Date]])</f>
        <v>2022</v>
      </c>
      <c r="P984" s="2">
        <v>0.59652777777777777</v>
      </c>
      <c r="Q984" t="s">
        <v>22</v>
      </c>
      <c r="R984">
        <v>614.12400000000002</v>
      </c>
      <c r="S984">
        <v>219.33</v>
      </c>
      <c r="T984">
        <v>7.4</v>
      </c>
    </row>
    <row r="985" spans="1:20" x14ac:dyDescent="0.55000000000000004">
      <c r="A985" t="s">
        <v>1018</v>
      </c>
      <c r="B985" t="s">
        <v>24</v>
      </c>
      <c r="C985" t="s">
        <v>25</v>
      </c>
      <c r="D985" t="str">
        <f>"Br. "&amp;Data[[#This Row],[Branch]]&amp;" ("&amp;Data[[#This Row],[City]]&amp;")"</f>
        <v>Br. C (Naypyitaw)</v>
      </c>
      <c r="E985" t="s">
        <v>26</v>
      </c>
      <c r="F985" t="s">
        <v>30</v>
      </c>
      <c r="G985" t="s">
        <v>21</v>
      </c>
      <c r="H985">
        <v>99.96</v>
      </c>
      <c r="I985">
        <v>7</v>
      </c>
      <c r="J985">
        <v>34.985999999999997</v>
      </c>
      <c r="K985">
        <v>699.72</v>
      </c>
      <c r="L985" s="1">
        <v>44726</v>
      </c>
      <c r="M985" s="7">
        <f>DAY(Data[[#This Row],[Date]])</f>
        <v>14</v>
      </c>
      <c r="N985" s="7">
        <f>MONTH(Data[[#This Row],[Date]])</f>
        <v>6</v>
      </c>
      <c r="O985" s="7">
        <f>YEAR(Data[[#This Row],[Date]])</f>
        <v>2022</v>
      </c>
      <c r="P985" s="2">
        <v>0.43958333333333333</v>
      </c>
      <c r="Q985" t="s">
        <v>28</v>
      </c>
      <c r="R985">
        <v>489.80399999999997</v>
      </c>
      <c r="S985">
        <v>174.93</v>
      </c>
      <c r="T985">
        <v>6.1</v>
      </c>
    </row>
    <row r="986" spans="1:20" x14ac:dyDescent="0.55000000000000004">
      <c r="A986" t="s">
        <v>1019</v>
      </c>
      <c r="B986" t="s">
        <v>24</v>
      </c>
      <c r="C986" t="s">
        <v>25</v>
      </c>
      <c r="D986" t="str">
        <f>"Br. "&amp;Data[[#This Row],[Branch]]&amp;" ("&amp;Data[[#This Row],[City]]&amp;")"</f>
        <v>Br. C (Naypyitaw)</v>
      </c>
      <c r="E986" t="s">
        <v>26</v>
      </c>
      <c r="F986" t="s">
        <v>30</v>
      </c>
      <c r="G986" t="s">
        <v>27</v>
      </c>
      <c r="H986">
        <v>96.37</v>
      </c>
      <c r="I986">
        <v>7</v>
      </c>
      <c r="J986">
        <v>33.729500000000002</v>
      </c>
      <c r="K986">
        <v>674.59</v>
      </c>
      <c r="L986" s="1">
        <v>44726</v>
      </c>
      <c r="M986" s="7">
        <f>DAY(Data[[#This Row],[Date]])</f>
        <v>14</v>
      </c>
      <c r="N986" s="7">
        <f>MONTH(Data[[#This Row],[Date]])</f>
        <v>6</v>
      </c>
      <c r="O986" s="7">
        <f>YEAR(Data[[#This Row],[Date]])</f>
        <v>2022</v>
      </c>
      <c r="P986" s="2">
        <v>0.4861111111111111</v>
      </c>
      <c r="Q986" t="s">
        <v>28</v>
      </c>
      <c r="R986">
        <v>472.21300000000002</v>
      </c>
      <c r="S986">
        <v>168.64750000000001</v>
      </c>
      <c r="T986">
        <v>6</v>
      </c>
    </row>
    <row r="987" spans="1:20" x14ac:dyDescent="0.55000000000000004">
      <c r="A987" t="s">
        <v>1020</v>
      </c>
      <c r="B987" t="s">
        <v>41</v>
      </c>
      <c r="C987" t="s">
        <v>42</v>
      </c>
      <c r="D987" t="str">
        <f>"Br. "&amp;Data[[#This Row],[Branch]]&amp;" ("&amp;Data[[#This Row],[City]]&amp;")"</f>
        <v>Br. B (Mandalay)</v>
      </c>
      <c r="E987" t="s">
        <v>26</v>
      </c>
      <c r="F987" t="s">
        <v>20</v>
      </c>
      <c r="G987" t="s">
        <v>45</v>
      </c>
      <c r="H987">
        <v>63.71</v>
      </c>
      <c r="I987">
        <v>5</v>
      </c>
      <c r="J987">
        <v>15.9275</v>
      </c>
      <c r="K987">
        <v>318.55</v>
      </c>
      <c r="L987" s="1">
        <v>44726</v>
      </c>
      <c r="M987" s="7">
        <f>DAY(Data[[#This Row],[Date]])</f>
        <v>14</v>
      </c>
      <c r="N987" s="7">
        <f>MONTH(Data[[#This Row],[Date]])</f>
        <v>6</v>
      </c>
      <c r="O987" s="7">
        <f>YEAR(Data[[#This Row],[Date]])</f>
        <v>2022</v>
      </c>
      <c r="P987" s="2">
        <v>0.8125</v>
      </c>
      <c r="Q987" t="s">
        <v>22</v>
      </c>
      <c r="R987">
        <v>222.98500000000001</v>
      </c>
      <c r="S987">
        <v>79.637500000000003</v>
      </c>
      <c r="T987">
        <v>8.5</v>
      </c>
    </row>
    <row r="988" spans="1:20" x14ac:dyDescent="0.55000000000000004">
      <c r="A988" t="s">
        <v>1021</v>
      </c>
      <c r="B988" t="s">
        <v>41</v>
      </c>
      <c r="C988" t="s">
        <v>42</v>
      </c>
      <c r="D988" t="str">
        <f>"Br. "&amp;Data[[#This Row],[Branch]]&amp;" ("&amp;Data[[#This Row],[City]]&amp;")"</f>
        <v>Br. B (Mandalay)</v>
      </c>
      <c r="E988" t="s">
        <v>26</v>
      </c>
      <c r="F988" t="s">
        <v>20</v>
      </c>
      <c r="G988" t="s">
        <v>21</v>
      </c>
      <c r="H988">
        <v>14.76</v>
      </c>
      <c r="I988">
        <v>2</v>
      </c>
      <c r="J988">
        <v>1.476</v>
      </c>
      <c r="K988">
        <v>29.52</v>
      </c>
      <c r="L988" s="1">
        <v>44726</v>
      </c>
      <c r="M988" s="7">
        <f>DAY(Data[[#This Row],[Date]])</f>
        <v>14</v>
      </c>
      <c r="N988" s="7">
        <f>MONTH(Data[[#This Row],[Date]])</f>
        <v>6</v>
      </c>
      <c r="O988" s="7">
        <f>YEAR(Data[[#This Row],[Date]])</f>
        <v>2022</v>
      </c>
      <c r="P988" s="2">
        <v>0.61250000000000004</v>
      </c>
      <c r="Q988" t="s">
        <v>22</v>
      </c>
      <c r="R988">
        <v>20.664000000000001</v>
      </c>
      <c r="S988">
        <v>7.38</v>
      </c>
      <c r="T988">
        <v>4.3</v>
      </c>
    </row>
    <row r="989" spans="1:20" x14ac:dyDescent="0.55000000000000004">
      <c r="A989" t="s">
        <v>1022</v>
      </c>
      <c r="B989" t="s">
        <v>41</v>
      </c>
      <c r="C989" t="s">
        <v>42</v>
      </c>
      <c r="D989" t="str">
        <f>"Br. "&amp;Data[[#This Row],[Branch]]&amp;" ("&amp;Data[[#This Row],[City]]&amp;")"</f>
        <v>Br. B (Mandalay)</v>
      </c>
      <c r="E989" t="s">
        <v>19</v>
      </c>
      <c r="F989" t="s">
        <v>30</v>
      </c>
      <c r="G989" t="s">
        <v>21</v>
      </c>
      <c r="H989">
        <v>62</v>
      </c>
      <c r="I989">
        <v>8</v>
      </c>
      <c r="J989">
        <v>24.8</v>
      </c>
      <c r="K989">
        <v>496</v>
      </c>
      <c r="L989" s="1">
        <v>44726</v>
      </c>
      <c r="M989" s="7">
        <f>DAY(Data[[#This Row],[Date]])</f>
        <v>14</v>
      </c>
      <c r="N989" s="7">
        <f>MONTH(Data[[#This Row],[Date]])</f>
        <v>6</v>
      </c>
      <c r="O989" s="7">
        <f>YEAR(Data[[#This Row],[Date]])</f>
        <v>2022</v>
      </c>
      <c r="P989" s="2">
        <v>0.79722222222222228</v>
      </c>
      <c r="Q989" t="s">
        <v>32</v>
      </c>
      <c r="R989">
        <v>347.2</v>
      </c>
      <c r="S989">
        <v>124</v>
      </c>
      <c r="T989">
        <v>6.2</v>
      </c>
    </row>
    <row r="990" spans="1:20" x14ac:dyDescent="0.55000000000000004">
      <c r="A990" t="s">
        <v>1023</v>
      </c>
      <c r="B990" t="s">
        <v>24</v>
      </c>
      <c r="C990" t="s">
        <v>25</v>
      </c>
      <c r="D990" t="str">
        <f>"Br. "&amp;Data[[#This Row],[Branch]]&amp;" ("&amp;Data[[#This Row],[City]]&amp;")"</f>
        <v>Br. C (Naypyitaw)</v>
      </c>
      <c r="E990" t="s">
        <v>19</v>
      </c>
      <c r="F990" t="s">
        <v>30</v>
      </c>
      <c r="G990" t="s">
        <v>27</v>
      </c>
      <c r="H990">
        <v>82.34</v>
      </c>
      <c r="I990">
        <v>10</v>
      </c>
      <c r="J990">
        <v>41.17</v>
      </c>
      <c r="K990">
        <v>823.4</v>
      </c>
      <c r="L990" s="1">
        <v>44726</v>
      </c>
      <c r="M990" s="7">
        <f>DAY(Data[[#This Row],[Date]])</f>
        <v>14</v>
      </c>
      <c r="N990" s="7">
        <f>MONTH(Data[[#This Row],[Date]])</f>
        <v>6</v>
      </c>
      <c r="O990" s="7">
        <f>YEAR(Data[[#This Row],[Date]])</f>
        <v>2022</v>
      </c>
      <c r="P990" s="2">
        <v>0.8</v>
      </c>
      <c r="Q990" t="s">
        <v>22</v>
      </c>
      <c r="R990">
        <v>576.38</v>
      </c>
      <c r="S990">
        <v>205.85</v>
      </c>
      <c r="T990">
        <v>4.3</v>
      </c>
    </row>
    <row r="991" spans="1:20" x14ac:dyDescent="0.55000000000000004">
      <c r="A991" t="s">
        <v>1024</v>
      </c>
      <c r="B991" t="s">
        <v>41</v>
      </c>
      <c r="C991" t="s">
        <v>42</v>
      </c>
      <c r="D991" t="str">
        <f>"Br. "&amp;Data[[#This Row],[Branch]]&amp;" ("&amp;Data[[#This Row],[City]]&amp;")"</f>
        <v>Br. B (Mandalay)</v>
      </c>
      <c r="E991" t="s">
        <v>19</v>
      </c>
      <c r="F991" t="s">
        <v>30</v>
      </c>
      <c r="G991" t="s">
        <v>21</v>
      </c>
      <c r="H991">
        <v>75.37</v>
      </c>
      <c r="I991">
        <v>8</v>
      </c>
      <c r="J991">
        <v>30.148</v>
      </c>
      <c r="K991">
        <v>602.96</v>
      </c>
      <c r="L991" s="1">
        <v>44726</v>
      </c>
      <c r="M991" s="7">
        <f>DAY(Data[[#This Row],[Date]])</f>
        <v>14</v>
      </c>
      <c r="N991" s="7">
        <f>MONTH(Data[[#This Row],[Date]])</f>
        <v>6</v>
      </c>
      <c r="O991" s="7">
        <f>YEAR(Data[[#This Row],[Date]])</f>
        <v>2022</v>
      </c>
      <c r="P991" s="2">
        <v>0.65694444444444444</v>
      </c>
      <c r="Q991" t="s">
        <v>32</v>
      </c>
      <c r="R991">
        <v>422.072</v>
      </c>
      <c r="S991">
        <v>150.74</v>
      </c>
      <c r="T991">
        <v>8.4</v>
      </c>
    </row>
    <row r="992" spans="1:20" x14ac:dyDescent="0.55000000000000004">
      <c r="A992" t="s">
        <v>1025</v>
      </c>
      <c r="B992" t="s">
        <v>17</v>
      </c>
      <c r="C992" t="s">
        <v>18</v>
      </c>
      <c r="D992" t="str">
        <f>"Br. "&amp;Data[[#This Row],[Branch]]&amp;" ("&amp;Data[[#This Row],[City]]&amp;")"</f>
        <v>Br. A (Yangon)</v>
      </c>
      <c r="E992" t="s">
        <v>26</v>
      </c>
      <c r="F992" t="s">
        <v>20</v>
      </c>
      <c r="G992" t="s">
        <v>43</v>
      </c>
      <c r="H992">
        <v>56.56</v>
      </c>
      <c r="I992">
        <v>5</v>
      </c>
      <c r="J992">
        <v>14.14</v>
      </c>
      <c r="K992">
        <v>282.8</v>
      </c>
      <c r="L992" s="1">
        <v>44726</v>
      </c>
      <c r="M992" s="7">
        <f>DAY(Data[[#This Row],[Date]])</f>
        <v>14</v>
      </c>
      <c r="N992" s="7">
        <f>MONTH(Data[[#This Row],[Date]])</f>
        <v>6</v>
      </c>
      <c r="O992" s="7">
        <f>YEAR(Data[[#This Row],[Date]])</f>
        <v>2022</v>
      </c>
      <c r="P992" s="2">
        <v>0.79583333333333328</v>
      </c>
      <c r="Q992" t="s">
        <v>32</v>
      </c>
      <c r="R992">
        <v>197.96</v>
      </c>
      <c r="S992">
        <v>70.7</v>
      </c>
      <c r="T992">
        <v>4.5</v>
      </c>
    </row>
    <row r="993" spans="1:20" x14ac:dyDescent="0.55000000000000004">
      <c r="A993" t="s">
        <v>1026</v>
      </c>
      <c r="B993" t="s">
        <v>41</v>
      </c>
      <c r="C993" t="s">
        <v>42</v>
      </c>
      <c r="D993" t="str">
        <f>"Br. "&amp;Data[[#This Row],[Branch]]&amp;" ("&amp;Data[[#This Row],[City]]&amp;")"</f>
        <v>Br. B (Mandalay)</v>
      </c>
      <c r="E993" t="s">
        <v>26</v>
      </c>
      <c r="F993" t="s">
        <v>20</v>
      </c>
      <c r="G993" t="s">
        <v>35</v>
      </c>
      <c r="H993">
        <v>76.599999999999994</v>
      </c>
      <c r="I993">
        <v>10</v>
      </c>
      <c r="J993">
        <v>38.299999999999997</v>
      </c>
      <c r="K993">
        <v>766</v>
      </c>
      <c r="L993" s="1">
        <v>44726</v>
      </c>
      <c r="M993" s="7">
        <f>DAY(Data[[#This Row],[Date]])</f>
        <v>14</v>
      </c>
      <c r="N993" s="7">
        <f>MONTH(Data[[#This Row],[Date]])</f>
        <v>6</v>
      </c>
      <c r="O993" s="7">
        <f>YEAR(Data[[#This Row],[Date]])</f>
        <v>2022</v>
      </c>
      <c r="P993" s="2">
        <v>0.75694444444444442</v>
      </c>
      <c r="Q993" t="s">
        <v>22</v>
      </c>
      <c r="R993">
        <v>536.20000000000005</v>
      </c>
      <c r="S993">
        <v>191.5</v>
      </c>
      <c r="T993">
        <v>6</v>
      </c>
    </row>
    <row r="994" spans="1:20" x14ac:dyDescent="0.55000000000000004">
      <c r="A994" t="s">
        <v>1027</v>
      </c>
      <c r="B994" t="s">
        <v>17</v>
      </c>
      <c r="C994" t="s">
        <v>18</v>
      </c>
      <c r="D994" t="str">
        <f>"Br. "&amp;Data[[#This Row],[Branch]]&amp;" ("&amp;Data[[#This Row],[City]]&amp;")"</f>
        <v>Br. A (Yangon)</v>
      </c>
      <c r="E994" t="s">
        <v>26</v>
      </c>
      <c r="F994" t="s">
        <v>30</v>
      </c>
      <c r="G994" t="s">
        <v>27</v>
      </c>
      <c r="H994">
        <v>58.03</v>
      </c>
      <c r="I994">
        <v>2</v>
      </c>
      <c r="J994">
        <v>5.8029999999999999</v>
      </c>
      <c r="K994">
        <v>116.06</v>
      </c>
      <c r="L994" s="1">
        <v>44726</v>
      </c>
      <c r="M994" s="7">
        <f>DAY(Data[[#This Row],[Date]])</f>
        <v>14</v>
      </c>
      <c r="N994" s="7">
        <f>MONTH(Data[[#This Row],[Date]])</f>
        <v>6</v>
      </c>
      <c r="O994" s="7">
        <f>YEAR(Data[[#This Row],[Date]])</f>
        <v>2022</v>
      </c>
      <c r="P994" s="2">
        <v>0.86527777777777781</v>
      </c>
      <c r="Q994" t="s">
        <v>22</v>
      </c>
      <c r="R994">
        <v>81.242000000000004</v>
      </c>
      <c r="S994">
        <v>29.015000000000001</v>
      </c>
      <c r="T994">
        <v>8.8000000000000007</v>
      </c>
    </row>
    <row r="995" spans="1:20" x14ac:dyDescent="0.55000000000000004">
      <c r="A995" t="s">
        <v>1028</v>
      </c>
      <c r="B995" t="s">
        <v>41</v>
      </c>
      <c r="C995" t="s">
        <v>42</v>
      </c>
      <c r="D995" t="str">
        <f>"Br. "&amp;Data[[#This Row],[Branch]]&amp;" ("&amp;Data[[#This Row],[City]]&amp;")"</f>
        <v>Br. B (Mandalay)</v>
      </c>
      <c r="E995" t="s">
        <v>26</v>
      </c>
      <c r="F995" t="s">
        <v>30</v>
      </c>
      <c r="G995" t="s">
        <v>45</v>
      </c>
      <c r="H995">
        <v>17.489999999999998</v>
      </c>
      <c r="I995">
        <v>10</v>
      </c>
      <c r="J995">
        <v>8.7449999999999992</v>
      </c>
      <c r="K995">
        <v>174.9</v>
      </c>
      <c r="L995" s="1">
        <v>44726</v>
      </c>
      <c r="M995" s="7">
        <f>DAY(Data[[#This Row],[Date]])</f>
        <v>14</v>
      </c>
      <c r="N995" s="7">
        <f>MONTH(Data[[#This Row],[Date]])</f>
        <v>6</v>
      </c>
      <c r="O995" s="7">
        <f>YEAR(Data[[#This Row],[Date]])</f>
        <v>2022</v>
      </c>
      <c r="P995" s="2">
        <v>0.77430555555555558</v>
      </c>
      <c r="Q995" t="s">
        <v>22</v>
      </c>
      <c r="R995">
        <v>122.43</v>
      </c>
      <c r="S995">
        <v>43.725000000000001</v>
      </c>
      <c r="T995">
        <v>6.6</v>
      </c>
    </row>
    <row r="996" spans="1:20" x14ac:dyDescent="0.55000000000000004">
      <c r="A996" t="s">
        <v>1029</v>
      </c>
      <c r="B996" t="s">
        <v>24</v>
      </c>
      <c r="C996" t="s">
        <v>25</v>
      </c>
      <c r="D996" t="str">
        <f>"Br. "&amp;Data[[#This Row],[Branch]]&amp;" ("&amp;Data[[#This Row],[City]]&amp;")"</f>
        <v>Br. C (Naypyitaw)</v>
      </c>
      <c r="E996" t="s">
        <v>19</v>
      </c>
      <c r="F996" t="s">
        <v>20</v>
      </c>
      <c r="G996" t="s">
        <v>27</v>
      </c>
      <c r="H996">
        <v>60.95</v>
      </c>
      <c r="I996">
        <v>1</v>
      </c>
      <c r="J996">
        <v>3.0474999999999999</v>
      </c>
      <c r="K996">
        <v>60.95</v>
      </c>
      <c r="L996" s="1">
        <v>44726</v>
      </c>
      <c r="M996" s="7">
        <f>DAY(Data[[#This Row],[Date]])</f>
        <v>14</v>
      </c>
      <c r="N996" s="7">
        <f>MONTH(Data[[#This Row],[Date]])</f>
        <v>6</v>
      </c>
      <c r="O996" s="7">
        <f>YEAR(Data[[#This Row],[Date]])</f>
        <v>2022</v>
      </c>
      <c r="P996" s="2">
        <v>0.4861111111111111</v>
      </c>
      <c r="Q996" t="s">
        <v>22</v>
      </c>
      <c r="R996">
        <v>42.664999999999999</v>
      </c>
      <c r="S996">
        <v>15.237500000000001</v>
      </c>
      <c r="T996">
        <v>5.9</v>
      </c>
    </row>
    <row r="997" spans="1:20" x14ac:dyDescent="0.55000000000000004">
      <c r="A997" t="s">
        <v>1030</v>
      </c>
      <c r="B997" t="s">
        <v>24</v>
      </c>
      <c r="C997" t="s">
        <v>25</v>
      </c>
      <c r="D997" t="str">
        <f>"Br. "&amp;Data[[#This Row],[Branch]]&amp;" ("&amp;Data[[#This Row],[City]]&amp;")"</f>
        <v>Br. C (Naypyitaw)</v>
      </c>
      <c r="E997" t="s">
        <v>26</v>
      </c>
      <c r="F997" t="s">
        <v>30</v>
      </c>
      <c r="G997" t="s">
        <v>21</v>
      </c>
      <c r="H997">
        <v>40.35</v>
      </c>
      <c r="I997">
        <v>1</v>
      </c>
      <c r="J997">
        <v>2.0175000000000001</v>
      </c>
      <c r="K997">
        <v>40.35</v>
      </c>
      <c r="L997" s="1">
        <v>44726</v>
      </c>
      <c r="M997" s="7">
        <f>DAY(Data[[#This Row],[Date]])</f>
        <v>14</v>
      </c>
      <c r="N997" s="7">
        <f>MONTH(Data[[#This Row],[Date]])</f>
        <v>6</v>
      </c>
      <c r="O997" s="7">
        <f>YEAR(Data[[#This Row],[Date]])</f>
        <v>2022</v>
      </c>
      <c r="P997" s="2">
        <v>0.57361111111111107</v>
      </c>
      <c r="Q997" t="s">
        <v>22</v>
      </c>
      <c r="R997">
        <v>28.245000000000001</v>
      </c>
      <c r="S997">
        <v>10.0875</v>
      </c>
      <c r="T997">
        <v>6.2</v>
      </c>
    </row>
    <row r="998" spans="1:20" x14ac:dyDescent="0.55000000000000004">
      <c r="A998" t="s">
        <v>1031</v>
      </c>
      <c r="B998" t="s">
        <v>41</v>
      </c>
      <c r="C998" t="s">
        <v>42</v>
      </c>
      <c r="D998" t="str">
        <f>"Br. "&amp;Data[[#This Row],[Branch]]&amp;" ("&amp;Data[[#This Row],[City]]&amp;")"</f>
        <v>Br. B (Mandalay)</v>
      </c>
      <c r="E998" t="s">
        <v>26</v>
      </c>
      <c r="F998" t="s">
        <v>20</v>
      </c>
      <c r="G998" t="s">
        <v>31</v>
      </c>
      <c r="H998">
        <v>97.38</v>
      </c>
      <c r="I998">
        <v>10</v>
      </c>
      <c r="J998">
        <v>48.69</v>
      </c>
      <c r="K998">
        <v>973.8</v>
      </c>
      <c r="L998" s="1">
        <v>44726</v>
      </c>
      <c r="M998" s="7">
        <f>DAY(Data[[#This Row],[Date]])</f>
        <v>14</v>
      </c>
      <c r="N998" s="7">
        <f>MONTH(Data[[#This Row],[Date]])</f>
        <v>6</v>
      </c>
      <c r="O998" s="7">
        <f>YEAR(Data[[#This Row],[Date]])</f>
        <v>2022</v>
      </c>
      <c r="P998" s="2">
        <v>0.71944444444444444</v>
      </c>
      <c r="Q998" t="s">
        <v>22</v>
      </c>
      <c r="R998">
        <v>681.66</v>
      </c>
      <c r="S998">
        <v>243.45</v>
      </c>
      <c r="T998">
        <v>4.4000000000000004</v>
      </c>
    </row>
    <row r="999" spans="1:20" x14ac:dyDescent="0.55000000000000004">
      <c r="A999" t="s">
        <v>1032</v>
      </c>
      <c r="B999" t="s">
        <v>17</v>
      </c>
      <c r="C999" t="s">
        <v>18</v>
      </c>
      <c r="D999" t="str">
        <f>"Br. "&amp;Data[[#This Row],[Branch]]&amp;" ("&amp;Data[[#This Row],[City]]&amp;")"</f>
        <v>Br. A (Yangon)</v>
      </c>
      <c r="E999" t="s">
        <v>19</v>
      </c>
      <c r="F999" t="s">
        <v>30</v>
      </c>
      <c r="G999" t="s">
        <v>43</v>
      </c>
      <c r="H999">
        <v>31.84</v>
      </c>
      <c r="I999">
        <v>1</v>
      </c>
      <c r="J999">
        <v>1.5920000000000001</v>
      </c>
      <c r="K999">
        <v>31.84</v>
      </c>
      <c r="L999" s="1">
        <v>44726</v>
      </c>
      <c r="M999" s="7">
        <f>DAY(Data[[#This Row],[Date]])</f>
        <v>14</v>
      </c>
      <c r="N999" s="7">
        <f>MONTH(Data[[#This Row],[Date]])</f>
        <v>6</v>
      </c>
      <c r="O999" s="7">
        <f>YEAR(Data[[#This Row],[Date]])</f>
        <v>2022</v>
      </c>
      <c r="P999" s="2">
        <v>0.55694444444444446</v>
      </c>
      <c r="Q999" t="s">
        <v>28</v>
      </c>
      <c r="R999">
        <v>22.288</v>
      </c>
      <c r="S999">
        <v>7.96</v>
      </c>
      <c r="T999">
        <v>7.7</v>
      </c>
    </row>
    <row r="1000" spans="1:20" x14ac:dyDescent="0.55000000000000004">
      <c r="A1000" t="s">
        <v>1033</v>
      </c>
      <c r="B1000" t="s">
        <v>17</v>
      </c>
      <c r="C1000" t="s">
        <v>18</v>
      </c>
      <c r="D1000" t="str">
        <f>"Br. "&amp;Data[[#This Row],[Branch]]&amp;" ("&amp;Data[[#This Row],[City]]&amp;")"</f>
        <v>Br. A (Yangon)</v>
      </c>
      <c r="E1000" t="s">
        <v>26</v>
      </c>
      <c r="F1000" t="s">
        <v>30</v>
      </c>
      <c r="G1000" t="s">
        <v>31</v>
      </c>
      <c r="H1000">
        <v>65.819999999999993</v>
      </c>
      <c r="I1000">
        <v>1</v>
      </c>
      <c r="J1000">
        <v>3.2909999999999999</v>
      </c>
      <c r="K1000">
        <v>65.819999999999993</v>
      </c>
      <c r="L1000" s="1">
        <v>44726</v>
      </c>
      <c r="M1000" s="7">
        <f>DAY(Data[[#This Row],[Date]])</f>
        <v>14</v>
      </c>
      <c r="N1000" s="7">
        <f>MONTH(Data[[#This Row],[Date]])</f>
        <v>6</v>
      </c>
      <c r="O1000" s="7">
        <f>YEAR(Data[[#This Row],[Date]])</f>
        <v>2022</v>
      </c>
      <c r="P1000" s="2">
        <v>0.6479166666666667</v>
      </c>
      <c r="Q1000" t="s">
        <v>28</v>
      </c>
      <c r="R1000">
        <v>46.073999999999998</v>
      </c>
      <c r="S1000">
        <v>16.454999999999998</v>
      </c>
      <c r="T1000">
        <v>4.0999999999999996</v>
      </c>
    </row>
    <row r="1001" spans="1:20" x14ac:dyDescent="0.55000000000000004">
      <c r="A1001" t="s">
        <v>1034</v>
      </c>
      <c r="B1001" t="s">
        <v>17</v>
      </c>
      <c r="C1001" t="s">
        <v>18</v>
      </c>
      <c r="D1001" t="str">
        <f>"Br. "&amp;Data[[#This Row],[Branch]]&amp;" ("&amp;Data[[#This Row],[City]]&amp;")"</f>
        <v>Br. A (Yangon)</v>
      </c>
      <c r="E1001" t="s">
        <v>19</v>
      </c>
      <c r="F1001" t="s">
        <v>20</v>
      </c>
      <c r="G1001" t="s">
        <v>45</v>
      </c>
      <c r="H1001">
        <v>88.34</v>
      </c>
      <c r="I1001">
        <v>7</v>
      </c>
      <c r="J1001">
        <v>30.919</v>
      </c>
      <c r="K1001">
        <v>618.38</v>
      </c>
      <c r="L1001" s="1">
        <v>44726</v>
      </c>
      <c r="M1001" s="7">
        <f>DAY(Data[[#This Row],[Date]])</f>
        <v>14</v>
      </c>
      <c r="N1001" s="7">
        <f>MONTH(Data[[#This Row],[Date]])</f>
        <v>6</v>
      </c>
      <c r="O1001" s="7">
        <f>YEAR(Data[[#This Row],[Date]])</f>
        <v>2022</v>
      </c>
      <c r="P1001" s="2">
        <v>0.56111111111111112</v>
      </c>
      <c r="Q1001" t="s">
        <v>28</v>
      </c>
      <c r="R1001">
        <v>432.86599999999999</v>
      </c>
      <c r="S1001">
        <v>154.595</v>
      </c>
      <c r="T1001">
        <v>6.6</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0"/>
  <sheetViews>
    <sheetView zoomScaleNormal="100" workbookViewId="0">
      <selection activeCell="F19" sqref="F19"/>
    </sheetView>
  </sheetViews>
  <sheetFormatPr defaultRowHeight="14.4" x14ac:dyDescent="0.55000000000000004"/>
  <cols>
    <col min="2" max="2" width="11.3125" bestFit="1" customWidth="1"/>
  </cols>
  <sheetData>
    <row r="1" spans="1:2" x14ac:dyDescent="0.55000000000000004">
      <c r="A1" t="s">
        <v>1035</v>
      </c>
      <c r="B1" t="s">
        <v>0</v>
      </c>
    </row>
    <row r="2" spans="1:2" x14ac:dyDescent="0.55000000000000004">
      <c r="A2" t="s">
        <v>1036</v>
      </c>
      <c r="B2" t="s">
        <v>16</v>
      </c>
    </row>
    <row r="3" spans="1:2" x14ac:dyDescent="0.55000000000000004">
      <c r="A3" t="s">
        <v>1036</v>
      </c>
      <c r="B3" t="s">
        <v>23</v>
      </c>
    </row>
    <row r="4" spans="1:2" x14ac:dyDescent="0.55000000000000004">
      <c r="A4" t="s">
        <v>1036</v>
      </c>
      <c r="B4" t="s">
        <v>29</v>
      </c>
    </row>
    <row r="5" spans="1:2" x14ac:dyDescent="0.55000000000000004">
      <c r="A5" t="s">
        <v>1036</v>
      </c>
      <c r="B5" t="s">
        <v>33</v>
      </c>
    </row>
    <row r="6" spans="1:2" x14ac:dyDescent="0.55000000000000004">
      <c r="A6" t="s">
        <v>1036</v>
      </c>
      <c r="B6" t="s">
        <v>34</v>
      </c>
    </row>
    <row r="7" spans="1:2" x14ac:dyDescent="0.55000000000000004">
      <c r="A7" t="s">
        <v>1036</v>
      </c>
      <c r="B7" t="s">
        <v>36</v>
      </c>
    </row>
    <row r="8" spans="1:2" x14ac:dyDescent="0.55000000000000004">
      <c r="A8" t="s">
        <v>1036</v>
      </c>
      <c r="B8" t="s">
        <v>37</v>
      </c>
    </row>
    <row r="9" spans="1:2" x14ac:dyDescent="0.55000000000000004">
      <c r="A9" t="s">
        <v>1036</v>
      </c>
      <c r="B9" t="s">
        <v>38</v>
      </c>
    </row>
    <row r="10" spans="1:2" x14ac:dyDescent="0.55000000000000004">
      <c r="A10" t="s">
        <v>1036</v>
      </c>
      <c r="B10" t="s">
        <v>39</v>
      </c>
    </row>
    <row r="11" spans="1:2" x14ac:dyDescent="0.55000000000000004">
      <c r="A11" t="s">
        <v>1036</v>
      </c>
      <c r="B11" t="s">
        <v>40</v>
      </c>
    </row>
    <row r="12" spans="1:2" x14ac:dyDescent="0.55000000000000004">
      <c r="A12" t="s">
        <v>1036</v>
      </c>
      <c r="B12" t="s">
        <v>44</v>
      </c>
    </row>
    <row r="13" spans="1:2" x14ac:dyDescent="0.55000000000000004">
      <c r="A13" t="s">
        <v>1036</v>
      </c>
      <c r="B13" t="s">
        <v>46</v>
      </c>
    </row>
    <row r="14" spans="1:2" x14ac:dyDescent="0.55000000000000004">
      <c r="A14" t="s">
        <v>1036</v>
      </c>
      <c r="B14" t="s">
        <v>47</v>
      </c>
    </row>
    <row r="15" spans="1:2" x14ac:dyDescent="0.55000000000000004">
      <c r="A15" t="s">
        <v>1036</v>
      </c>
      <c r="B15" t="s">
        <v>48</v>
      </c>
    </row>
    <row r="16" spans="1:2" x14ac:dyDescent="0.55000000000000004">
      <c r="A16" t="s">
        <v>1036</v>
      </c>
      <c r="B16" t="s">
        <v>49</v>
      </c>
    </row>
    <row r="17" spans="1:2" x14ac:dyDescent="0.55000000000000004">
      <c r="A17" t="s">
        <v>1036</v>
      </c>
      <c r="B17" t="s">
        <v>50</v>
      </c>
    </row>
    <row r="18" spans="1:2" x14ac:dyDescent="0.55000000000000004">
      <c r="A18" t="s">
        <v>1036</v>
      </c>
      <c r="B18" t="s">
        <v>51</v>
      </c>
    </row>
    <row r="19" spans="1:2" x14ac:dyDescent="0.55000000000000004">
      <c r="A19" t="s">
        <v>1036</v>
      </c>
      <c r="B19" t="s">
        <v>52</v>
      </c>
    </row>
    <row r="20" spans="1:2" x14ac:dyDescent="0.55000000000000004">
      <c r="A20" t="s">
        <v>1036</v>
      </c>
      <c r="B20" t="s">
        <v>53</v>
      </c>
    </row>
    <row r="21" spans="1:2" x14ac:dyDescent="0.55000000000000004">
      <c r="A21" t="s">
        <v>1036</v>
      </c>
      <c r="B21" t="s">
        <v>54</v>
      </c>
    </row>
    <row r="22" spans="1:2" x14ac:dyDescent="0.55000000000000004">
      <c r="A22" t="s">
        <v>1036</v>
      </c>
      <c r="B22" t="s">
        <v>55</v>
      </c>
    </row>
    <row r="23" spans="1:2" x14ac:dyDescent="0.55000000000000004">
      <c r="A23" t="s">
        <v>1036</v>
      </c>
      <c r="B23" t="s">
        <v>56</v>
      </c>
    </row>
    <row r="24" spans="1:2" x14ac:dyDescent="0.55000000000000004">
      <c r="A24" t="s">
        <v>1036</v>
      </c>
      <c r="B24" t="s">
        <v>57</v>
      </c>
    </row>
    <row r="25" spans="1:2" x14ac:dyDescent="0.55000000000000004">
      <c r="A25" t="s">
        <v>1036</v>
      </c>
      <c r="B25" t="s">
        <v>172</v>
      </c>
    </row>
    <row r="26" spans="1:2" x14ac:dyDescent="0.55000000000000004">
      <c r="A26" t="s">
        <v>1036</v>
      </c>
      <c r="B26" t="s">
        <v>173</v>
      </c>
    </row>
    <row r="27" spans="1:2" x14ac:dyDescent="0.55000000000000004">
      <c r="A27" t="s">
        <v>1036</v>
      </c>
      <c r="B27" t="s">
        <v>174</v>
      </c>
    </row>
    <row r="28" spans="1:2" x14ac:dyDescent="0.55000000000000004">
      <c r="A28" t="s">
        <v>1036</v>
      </c>
      <c r="B28" t="s">
        <v>175</v>
      </c>
    </row>
    <row r="29" spans="1:2" x14ac:dyDescent="0.55000000000000004">
      <c r="A29" t="s">
        <v>1036</v>
      </c>
      <c r="B29" t="s">
        <v>176</v>
      </c>
    </row>
    <row r="30" spans="1:2" x14ac:dyDescent="0.55000000000000004">
      <c r="A30" t="s">
        <v>1036</v>
      </c>
      <c r="B30" t="s">
        <v>177</v>
      </c>
    </row>
    <row r="31" spans="1:2" x14ac:dyDescent="0.55000000000000004">
      <c r="A31" t="s">
        <v>1036</v>
      </c>
      <c r="B31" t="s">
        <v>178</v>
      </c>
    </row>
    <row r="32" spans="1:2" x14ac:dyDescent="0.55000000000000004">
      <c r="A32" t="s">
        <v>1036</v>
      </c>
      <c r="B32" t="s">
        <v>179</v>
      </c>
    </row>
    <row r="33" spans="1:2" x14ac:dyDescent="0.55000000000000004">
      <c r="A33" t="s">
        <v>1036</v>
      </c>
      <c r="B33" t="s">
        <v>180</v>
      </c>
    </row>
    <row r="34" spans="1:2" x14ac:dyDescent="0.55000000000000004">
      <c r="A34" t="s">
        <v>1036</v>
      </c>
      <c r="B34" t="s">
        <v>181</v>
      </c>
    </row>
    <row r="35" spans="1:2" x14ac:dyDescent="0.55000000000000004">
      <c r="A35" t="s">
        <v>1036</v>
      </c>
      <c r="B35" t="s">
        <v>182</v>
      </c>
    </row>
    <row r="36" spans="1:2" x14ac:dyDescent="0.55000000000000004">
      <c r="A36" t="s">
        <v>1036</v>
      </c>
      <c r="B36" t="s">
        <v>183</v>
      </c>
    </row>
    <row r="37" spans="1:2" x14ac:dyDescent="0.55000000000000004">
      <c r="A37" t="s">
        <v>1036</v>
      </c>
      <c r="B37" t="s">
        <v>184</v>
      </c>
    </row>
    <row r="38" spans="1:2" x14ac:dyDescent="0.55000000000000004">
      <c r="A38" t="s">
        <v>1036</v>
      </c>
      <c r="B38" t="s">
        <v>185</v>
      </c>
    </row>
    <row r="39" spans="1:2" x14ac:dyDescent="0.55000000000000004">
      <c r="A39" t="s">
        <v>1036</v>
      </c>
      <c r="B39" t="s">
        <v>186</v>
      </c>
    </row>
    <row r="40" spans="1:2" x14ac:dyDescent="0.55000000000000004">
      <c r="A40" t="s">
        <v>1036</v>
      </c>
      <c r="B40" t="s">
        <v>187</v>
      </c>
    </row>
    <row r="41" spans="1:2" x14ac:dyDescent="0.55000000000000004">
      <c r="A41" t="s">
        <v>1036</v>
      </c>
      <c r="B41" t="s">
        <v>188</v>
      </c>
    </row>
    <row r="42" spans="1:2" x14ac:dyDescent="0.55000000000000004">
      <c r="A42" t="s">
        <v>1036</v>
      </c>
      <c r="B42" t="s">
        <v>189</v>
      </c>
    </row>
    <row r="43" spans="1:2" x14ac:dyDescent="0.55000000000000004">
      <c r="A43" t="s">
        <v>1036</v>
      </c>
      <c r="B43" t="s">
        <v>190</v>
      </c>
    </row>
    <row r="44" spans="1:2" x14ac:dyDescent="0.55000000000000004">
      <c r="A44" t="s">
        <v>1036</v>
      </c>
      <c r="B44" t="s">
        <v>191</v>
      </c>
    </row>
    <row r="45" spans="1:2" x14ac:dyDescent="0.55000000000000004">
      <c r="A45" t="s">
        <v>1036</v>
      </c>
      <c r="B45" t="s">
        <v>192</v>
      </c>
    </row>
    <row r="46" spans="1:2" x14ac:dyDescent="0.55000000000000004">
      <c r="A46" t="s">
        <v>1036</v>
      </c>
      <c r="B46" t="s">
        <v>193</v>
      </c>
    </row>
    <row r="47" spans="1:2" x14ac:dyDescent="0.55000000000000004">
      <c r="A47" t="s">
        <v>1036</v>
      </c>
      <c r="B47" t="s">
        <v>194</v>
      </c>
    </row>
    <row r="48" spans="1:2" x14ac:dyDescent="0.55000000000000004">
      <c r="A48" t="s">
        <v>1036</v>
      </c>
      <c r="B48" t="s">
        <v>195</v>
      </c>
    </row>
    <row r="49" spans="1:2" x14ac:dyDescent="0.55000000000000004">
      <c r="A49" t="s">
        <v>1036</v>
      </c>
      <c r="B49" t="s">
        <v>196</v>
      </c>
    </row>
    <row r="50" spans="1:2" x14ac:dyDescent="0.55000000000000004">
      <c r="A50" t="s">
        <v>1036</v>
      </c>
      <c r="B50" t="s">
        <v>197</v>
      </c>
    </row>
    <row r="51" spans="1:2" x14ac:dyDescent="0.55000000000000004">
      <c r="A51" t="s">
        <v>1036</v>
      </c>
      <c r="B51" t="s">
        <v>198</v>
      </c>
    </row>
    <row r="52" spans="1:2" x14ac:dyDescent="0.55000000000000004">
      <c r="A52" t="s">
        <v>1036</v>
      </c>
      <c r="B52" t="s">
        <v>199</v>
      </c>
    </row>
    <row r="53" spans="1:2" x14ac:dyDescent="0.55000000000000004">
      <c r="A53" t="s">
        <v>1036</v>
      </c>
      <c r="B53" t="s">
        <v>200</v>
      </c>
    </row>
    <row r="54" spans="1:2" x14ac:dyDescent="0.55000000000000004">
      <c r="A54" t="s">
        <v>1036</v>
      </c>
      <c r="B54" t="s">
        <v>201</v>
      </c>
    </row>
    <row r="55" spans="1:2" x14ac:dyDescent="0.55000000000000004">
      <c r="A55" t="s">
        <v>1036</v>
      </c>
      <c r="B55" t="s">
        <v>202</v>
      </c>
    </row>
    <row r="56" spans="1:2" x14ac:dyDescent="0.55000000000000004">
      <c r="A56" t="s">
        <v>1036</v>
      </c>
      <c r="B56" t="s">
        <v>203</v>
      </c>
    </row>
    <row r="57" spans="1:2" x14ac:dyDescent="0.55000000000000004">
      <c r="A57" t="s">
        <v>1036</v>
      </c>
      <c r="B57" t="s">
        <v>204</v>
      </c>
    </row>
    <row r="58" spans="1:2" x14ac:dyDescent="0.55000000000000004">
      <c r="A58" t="s">
        <v>1036</v>
      </c>
      <c r="B58" t="s">
        <v>205</v>
      </c>
    </row>
    <row r="59" spans="1:2" x14ac:dyDescent="0.55000000000000004">
      <c r="A59" t="s">
        <v>1036</v>
      </c>
      <c r="B59" t="s">
        <v>206</v>
      </c>
    </row>
    <row r="60" spans="1:2" x14ac:dyDescent="0.55000000000000004">
      <c r="A60" t="s">
        <v>1036</v>
      </c>
      <c r="B60" t="s">
        <v>416</v>
      </c>
    </row>
    <row r="61" spans="1:2" x14ac:dyDescent="0.55000000000000004">
      <c r="A61" t="s">
        <v>1036</v>
      </c>
      <c r="B61" t="s">
        <v>417</v>
      </c>
    </row>
    <row r="62" spans="1:2" x14ac:dyDescent="0.55000000000000004">
      <c r="A62" t="s">
        <v>1036</v>
      </c>
      <c r="B62" t="s">
        <v>418</v>
      </c>
    </row>
    <row r="63" spans="1:2" x14ac:dyDescent="0.55000000000000004">
      <c r="A63" t="s">
        <v>1036</v>
      </c>
      <c r="B63" t="s">
        <v>419</v>
      </c>
    </row>
    <row r="64" spans="1:2" x14ac:dyDescent="0.55000000000000004">
      <c r="A64" t="s">
        <v>1036</v>
      </c>
      <c r="B64" t="s">
        <v>420</v>
      </c>
    </row>
    <row r="65" spans="1:2" x14ac:dyDescent="0.55000000000000004">
      <c r="A65" t="s">
        <v>1036</v>
      </c>
      <c r="B65" t="s">
        <v>421</v>
      </c>
    </row>
    <row r="66" spans="1:2" x14ac:dyDescent="0.55000000000000004">
      <c r="A66" t="s">
        <v>1036</v>
      </c>
      <c r="B66" t="s">
        <v>422</v>
      </c>
    </row>
    <row r="67" spans="1:2" x14ac:dyDescent="0.55000000000000004">
      <c r="A67" t="s">
        <v>1036</v>
      </c>
      <c r="B67" t="s">
        <v>423</v>
      </c>
    </row>
    <row r="68" spans="1:2" x14ac:dyDescent="0.55000000000000004">
      <c r="A68" t="s">
        <v>1036</v>
      </c>
      <c r="B68" t="s">
        <v>424</v>
      </c>
    </row>
    <row r="69" spans="1:2" x14ac:dyDescent="0.55000000000000004">
      <c r="A69" t="s">
        <v>1036</v>
      </c>
      <c r="B69" t="s">
        <v>425</v>
      </c>
    </row>
    <row r="70" spans="1:2" x14ac:dyDescent="0.55000000000000004">
      <c r="A70" t="s">
        <v>1036</v>
      </c>
      <c r="B70" t="s">
        <v>426</v>
      </c>
    </row>
    <row r="71" spans="1:2" x14ac:dyDescent="0.55000000000000004">
      <c r="A71" t="s">
        <v>1036</v>
      </c>
      <c r="B71" t="s">
        <v>427</v>
      </c>
    </row>
    <row r="72" spans="1:2" x14ac:dyDescent="0.55000000000000004">
      <c r="A72" t="s">
        <v>1036</v>
      </c>
      <c r="B72" t="s">
        <v>428</v>
      </c>
    </row>
    <row r="73" spans="1:2" x14ac:dyDescent="0.55000000000000004">
      <c r="A73" t="s">
        <v>1036</v>
      </c>
      <c r="B73" t="s">
        <v>429</v>
      </c>
    </row>
    <row r="74" spans="1:2" x14ac:dyDescent="0.55000000000000004">
      <c r="A74" t="s">
        <v>1036</v>
      </c>
      <c r="B74" t="s">
        <v>430</v>
      </c>
    </row>
    <row r="75" spans="1:2" x14ac:dyDescent="0.55000000000000004">
      <c r="A75" t="s">
        <v>1036</v>
      </c>
      <c r="B75" t="s">
        <v>431</v>
      </c>
    </row>
    <row r="76" spans="1:2" x14ac:dyDescent="0.55000000000000004">
      <c r="A76" t="s">
        <v>1036</v>
      </c>
      <c r="B76" t="s">
        <v>432</v>
      </c>
    </row>
    <row r="77" spans="1:2" x14ac:dyDescent="0.55000000000000004">
      <c r="A77" t="s">
        <v>1036</v>
      </c>
      <c r="B77" t="s">
        <v>433</v>
      </c>
    </row>
    <row r="78" spans="1:2" x14ac:dyDescent="0.55000000000000004">
      <c r="A78" t="s">
        <v>1036</v>
      </c>
      <c r="B78" t="s">
        <v>434</v>
      </c>
    </row>
    <row r="79" spans="1:2" x14ac:dyDescent="0.55000000000000004">
      <c r="A79" t="s">
        <v>1036</v>
      </c>
      <c r="B79" t="s">
        <v>435</v>
      </c>
    </row>
    <row r="80" spans="1:2" x14ac:dyDescent="0.55000000000000004">
      <c r="A80" t="s">
        <v>1036</v>
      </c>
      <c r="B80" t="s">
        <v>436</v>
      </c>
    </row>
    <row r="81" spans="1:2" x14ac:dyDescent="0.55000000000000004">
      <c r="A81" t="s">
        <v>1036</v>
      </c>
      <c r="B81" t="s">
        <v>437</v>
      </c>
    </row>
    <row r="82" spans="1:2" x14ac:dyDescent="0.55000000000000004">
      <c r="A82" t="s">
        <v>1036</v>
      </c>
      <c r="B82" t="s">
        <v>438</v>
      </c>
    </row>
    <row r="83" spans="1:2" x14ac:dyDescent="0.55000000000000004">
      <c r="A83" t="s">
        <v>1036</v>
      </c>
      <c r="B83" t="s">
        <v>439</v>
      </c>
    </row>
    <row r="84" spans="1:2" x14ac:dyDescent="0.55000000000000004">
      <c r="A84" t="s">
        <v>1036</v>
      </c>
      <c r="B84" t="s">
        <v>440</v>
      </c>
    </row>
    <row r="85" spans="1:2" x14ac:dyDescent="0.55000000000000004">
      <c r="A85" t="s">
        <v>1036</v>
      </c>
      <c r="B85" t="s">
        <v>441</v>
      </c>
    </row>
    <row r="86" spans="1:2" x14ac:dyDescent="0.55000000000000004">
      <c r="A86" t="s">
        <v>1036</v>
      </c>
      <c r="B86" t="s">
        <v>442</v>
      </c>
    </row>
    <row r="87" spans="1:2" x14ac:dyDescent="0.55000000000000004">
      <c r="A87" t="s">
        <v>1036</v>
      </c>
      <c r="B87" t="s">
        <v>443</v>
      </c>
    </row>
    <row r="88" spans="1:2" x14ac:dyDescent="0.55000000000000004">
      <c r="A88" t="s">
        <v>1036</v>
      </c>
      <c r="B88" t="s">
        <v>444</v>
      </c>
    </row>
    <row r="89" spans="1:2" x14ac:dyDescent="0.55000000000000004">
      <c r="A89" t="s">
        <v>1036</v>
      </c>
      <c r="B89" t="s">
        <v>445</v>
      </c>
    </row>
    <row r="90" spans="1:2" x14ac:dyDescent="0.55000000000000004">
      <c r="A90" t="s">
        <v>1036</v>
      </c>
      <c r="B90" t="s">
        <v>446</v>
      </c>
    </row>
    <row r="91" spans="1:2" x14ac:dyDescent="0.55000000000000004">
      <c r="A91" t="s">
        <v>1036</v>
      </c>
      <c r="B91" t="s">
        <v>447</v>
      </c>
    </row>
    <row r="92" spans="1:2" x14ac:dyDescent="0.55000000000000004">
      <c r="A92" t="s">
        <v>1036</v>
      </c>
      <c r="B92" t="s">
        <v>448</v>
      </c>
    </row>
    <row r="93" spans="1:2" x14ac:dyDescent="0.55000000000000004">
      <c r="A93" t="s">
        <v>1036</v>
      </c>
      <c r="B93" t="s">
        <v>449</v>
      </c>
    </row>
    <row r="94" spans="1:2" x14ac:dyDescent="0.55000000000000004">
      <c r="A94" t="s">
        <v>1036</v>
      </c>
      <c r="B94" t="s">
        <v>450</v>
      </c>
    </row>
    <row r="95" spans="1:2" x14ac:dyDescent="0.55000000000000004">
      <c r="A95" t="s">
        <v>1036</v>
      </c>
      <c r="B95" t="s">
        <v>451</v>
      </c>
    </row>
    <row r="96" spans="1:2" x14ac:dyDescent="0.55000000000000004">
      <c r="A96" t="s">
        <v>1036</v>
      </c>
      <c r="B96" t="s">
        <v>452</v>
      </c>
    </row>
    <row r="97" spans="1:2" x14ac:dyDescent="0.55000000000000004">
      <c r="A97" t="s">
        <v>1036</v>
      </c>
      <c r="B97" t="s">
        <v>453</v>
      </c>
    </row>
    <row r="98" spans="1:2" x14ac:dyDescent="0.55000000000000004">
      <c r="A98" t="s">
        <v>1036</v>
      </c>
      <c r="B98" t="s">
        <v>991</v>
      </c>
    </row>
    <row r="99" spans="1:2" x14ac:dyDescent="0.55000000000000004">
      <c r="A99" t="s">
        <v>1036</v>
      </c>
      <c r="B99" t="s">
        <v>992</v>
      </c>
    </row>
    <row r="100" spans="1:2" x14ac:dyDescent="0.55000000000000004">
      <c r="A100" t="s">
        <v>1036</v>
      </c>
      <c r="B100" t="s">
        <v>993</v>
      </c>
    </row>
    <row r="101" spans="1:2" x14ac:dyDescent="0.55000000000000004">
      <c r="A101" t="s">
        <v>1036</v>
      </c>
      <c r="B101" t="s">
        <v>994</v>
      </c>
    </row>
    <row r="102" spans="1:2" x14ac:dyDescent="0.55000000000000004">
      <c r="A102" t="s">
        <v>1036</v>
      </c>
      <c r="B102" t="s">
        <v>995</v>
      </c>
    </row>
    <row r="103" spans="1:2" x14ac:dyDescent="0.55000000000000004">
      <c r="A103" t="s">
        <v>1036</v>
      </c>
      <c r="B103" t="s">
        <v>996</v>
      </c>
    </row>
    <row r="104" spans="1:2" x14ac:dyDescent="0.55000000000000004">
      <c r="A104" t="s">
        <v>1036</v>
      </c>
      <c r="B104" t="s">
        <v>997</v>
      </c>
    </row>
    <row r="105" spans="1:2" x14ac:dyDescent="0.55000000000000004">
      <c r="A105" t="s">
        <v>1036</v>
      </c>
      <c r="B105" t="s">
        <v>998</v>
      </c>
    </row>
    <row r="106" spans="1:2" x14ac:dyDescent="0.55000000000000004">
      <c r="A106" t="s">
        <v>1036</v>
      </c>
      <c r="B106" t="s">
        <v>999</v>
      </c>
    </row>
    <row r="107" spans="1:2" x14ac:dyDescent="0.55000000000000004">
      <c r="A107" t="s">
        <v>1036</v>
      </c>
      <c r="B107" t="s">
        <v>1000</v>
      </c>
    </row>
    <row r="108" spans="1:2" x14ac:dyDescent="0.55000000000000004">
      <c r="A108" t="s">
        <v>1036</v>
      </c>
      <c r="B108" t="s">
        <v>1001</v>
      </c>
    </row>
    <row r="109" spans="1:2" x14ac:dyDescent="0.55000000000000004">
      <c r="A109" t="s">
        <v>1036</v>
      </c>
      <c r="B109" t="s">
        <v>1002</v>
      </c>
    </row>
    <row r="110" spans="1:2" x14ac:dyDescent="0.55000000000000004">
      <c r="A110" t="s">
        <v>1036</v>
      </c>
      <c r="B110" t="s">
        <v>1003</v>
      </c>
    </row>
    <row r="111" spans="1:2" x14ac:dyDescent="0.55000000000000004">
      <c r="A111" t="s">
        <v>1036</v>
      </c>
      <c r="B111" t="s">
        <v>1004</v>
      </c>
    </row>
    <row r="112" spans="1:2" x14ac:dyDescent="0.55000000000000004">
      <c r="A112" t="s">
        <v>1036</v>
      </c>
      <c r="B112" t="s">
        <v>1005</v>
      </c>
    </row>
    <row r="113" spans="1:2" x14ac:dyDescent="0.55000000000000004">
      <c r="A113" t="s">
        <v>1036</v>
      </c>
      <c r="B113" t="s">
        <v>1006</v>
      </c>
    </row>
    <row r="114" spans="1:2" x14ac:dyDescent="0.55000000000000004">
      <c r="A114" t="s">
        <v>1036</v>
      </c>
      <c r="B114" t="s">
        <v>1007</v>
      </c>
    </row>
    <row r="115" spans="1:2" x14ac:dyDescent="0.55000000000000004">
      <c r="A115" t="s">
        <v>1036</v>
      </c>
      <c r="B115" t="s">
        <v>1008</v>
      </c>
    </row>
    <row r="116" spans="1:2" x14ac:dyDescent="0.55000000000000004">
      <c r="A116" t="s">
        <v>1036</v>
      </c>
      <c r="B116" t="s">
        <v>1009</v>
      </c>
    </row>
    <row r="117" spans="1:2" x14ac:dyDescent="0.55000000000000004">
      <c r="A117" t="s">
        <v>1036</v>
      </c>
      <c r="B117" t="s">
        <v>1010</v>
      </c>
    </row>
    <row r="118" spans="1:2" x14ac:dyDescent="0.55000000000000004">
      <c r="A118" t="s">
        <v>1036</v>
      </c>
      <c r="B118" t="s">
        <v>1011</v>
      </c>
    </row>
    <row r="119" spans="1:2" x14ac:dyDescent="0.55000000000000004">
      <c r="A119" t="s">
        <v>1036</v>
      </c>
      <c r="B119" t="s">
        <v>1012</v>
      </c>
    </row>
    <row r="120" spans="1:2" x14ac:dyDescent="0.55000000000000004">
      <c r="A120" t="s">
        <v>1036</v>
      </c>
      <c r="B120" t="s">
        <v>1013</v>
      </c>
    </row>
    <row r="121" spans="1:2" x14ac:dyDescent="0.55000000000000004">
      <c r="A121" t="s">
        <v>1036</v>
      </c>
      <c r="B121" t="s">
        <v>1014</v>
      </c>
    </row>
    <row r="122" spans="1:2" x14ac:dyDescent="0.55000000000000004">
      <c r="A122" t="s">
        <v>1036</v>
      </c>
      <c r="B122" t="s">
        <v>1015</v>
      </c>
    </row>
    <row r="123" spans="1:2" x14ac:dyDescent="0.55000000000000004">
      <c r="A123" t="s">
        <v>1036</v>
      </c>
      <c r="B123" t="s">
        <v>1016</v>
      </c>
    </row>
    <row r="124" spans="1:2" x14ac:dyDescent="0.55000000000000004">
      <c r="A124" t="s">
        <v>1036</v>
      </c>
      <c r="B124" t="s">
        <v>1017</v>
      </c>
    </row>
    <row r="125" spans="1:2" x14ac:dyDescent="0.55000000000000004">
      <c r="A125" t="s">
        <v>1036</v>
      </c>
      <c r="B125" t="s">
        <v>1018</v>
      </c>
    </row>
    <row r="126" spans="1:2" x14ac:dyDescent="0.55000000000000004">
      <c r="A126" t="s">
        <v>1036</v>
      </c>
      <c r="B126" t="s">
        <v>1019</v>
      </c>
    </row>
    <row r="127" spans="1:2" x14ac:dyDescent="0.55000000000000004">
      <c r="A127" t="s">
        <v>1036</v>
      </c>
      <c r="B127" t="s">
        <v>1020</v>
      </c>
    </row>
    <row r="128" spans="1:2" x14ac:dyDescent="0.55000000000000004">
      <c r="A128" t="s">
        <v>1036</v>
      </c>
      <c r="B128" t="s">
        <v>1021</v>
      </c>
    </row>
    <row r="129" spans="1:2" x14ac:dyDescent="0.55000000000000004">
      <c r="A129" t="s">
        <v>1036</v>
      </c>
      <c r="B129" t="s">
        <v>1022</v>
      </c>
    </row>
    <row r="130" spans="1:2" x14ac:dyDescent="0.55000000000000004">
      <c r="A130" t="s">
        <v>1036</v>
      </c>
      <c r="B130" t="s">
        <v>1023</v>
      </c>
    </row>
    <row r="131" spans="1:2" x14ac:dyDescent="0.55000000000000004">
      <c r="A131" t="s">
        <v>1036</v>
      </c>
      <c r="B131" t="s">
        <v>1024</v>
      </c>
    </row>
    <row r="132" spans="1:2" x14ac:dyDescent="0.55000000000000004">
      <c r="A132" t="s">
        <v>1036</v>
      </c>
      <c r="B132" t="s">
        <v>1025</v>
      </c>
    </row>
    <row r="133" spans="1:2" x14ac:dyDescent="0.55000000000000004">
      <c r="A133" t="s">
        <v>1036</v>
      </c>
      <c r="B133" t="s">
        <v>1026</v>
      </c>
    </row>
    <row r="134" spans="1:2" x14ac:dyDescent="0.55000000000000004">
      <c r="A134" t="s">
        <v>1036</v>
      </c>
      <c r="B134" t="s">
        <v>1027</v>
      </c>
    </row>
    <row r="135" spans="1:2" x14ac:dyDescent="0.55000000000000004">
      <c r="A135" t="s">
        <v>1036</v>
      </c>
      <c r="B135" t="s">
        <v>1028</v>
      </c>
    </row>
    <row r="136" spans="1:2" x14ac:dyDescent="0.55000000000000004">
      <c r="A136" t="s">
        <v>1036</v>
      </c>
      <c r="B136" t="s">
        <v>1029</v>
      </c>
    </row>
    <row r="137" spans="1:2" x14ac:dyDescent="0.55000000000000004">
      <c r="A137" t="s">
        <v>1036</v>
      </c>
      <c r="B137" t="s">
        <v>1030</v>
      </c>
    </row>
    <row r="138" spans="1:2" x14ac:dyDescent="0.55000000000000004">
      <c r="A138" t="s">
        <v>1036</v>
      </c>
      <c r="B138" t="s">
        <v>1031</v>
      </c>
    </row>
    <row r="139" spans="1:2" x14ac:dyDescent="0.55000000000000004">
      <c r="A139" t="s">
        <v>1036</v>
      </c>
      <c r="B139" t="s">
        <v>1032</v>
      </c>
    </row>
    <row r="140" spans="1:2" x14ac:dyDescent="0.55000000000000004">
      <c r="A140" t="s">
        <v>1036</v>
      </c>
      <c r="B140" t="s">
        <v>1033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Views>
    <sheetView zoomScaleNormal="100" workbookViewId="0">
      <selection activeCell="I11" sqref="I11"/>
    </sheetView>
  </sheetViews>
  <sheetFormatPr defaultRowHeight="14.4" x14ac:dyDescent="0.55000000000000004"/>
  <cols>
    <col min="1" max="1" width="9.68359375" bestFit="1" customWidth="1"/>
    <col min="2" max="2" width="18.7890625" bestFit="1" customWidth="1"/>
  </cols>
  <sheetData>
    <row r="1" spans="1:2" x14ac:dyDescent="0.55000000000000004">
      <c r="A1" t="s">
        <v>1037</v>
      </c>
      <c r="B1" t="s">
        <v>1038</v>
      </c>
    </row>
    <row r="2" spans="1:2" x14ac:dyDescent="0.55000000000000004">
      <c r="A2" t="s">
        <v>18</v>
      </c>
      <c r="B2" t="s">
        <v>1039</v>
      </c>
    </row>
    <row r="3" spans="1:2" x14ac:dyDescent="0.55000000000000004">
      <c r="A3" t="s">
        <v>25</v>
      </c>
      <c r="B3" t="s">
        <v>1040</v>
      </c>
    </row>
    <row r="4" spans="1:2" x14ac:dyDescent="0.55000000000000004">
      <c r="A4" t="s">
        <v>42</v>
      </c>
      <c r="B4" t="s">
        <v>1041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103"/>
  <sheetViews>
    <sheetView zoomScale="68" zoomScaleNormal="85" workbookViewId="0"/>
  </sheetViews>
  <sheetFormatPr defaultRowHeight="14.4" x14ac:dyDescent="0.55000000000000004"/>
  <cols>
    <col min="1" max="1" width="17.89453125" bestFit="1" customWidth="1"/>
    <col min="2" max="2" width="30.83984375" bestFit="1" customWidth="1"/>
    <col min="3" max="3" width="10.9453125" customWidth="1"/>
    <col min="5" max="5" width="12.05078125" bestFit="1" customWidth="1"/>
    <col min="6" max="6" width="13.15625" customWidth="1"/>
    <col min="7" max="7" width="10.89453125" customWidth="1"/>
    <col min="8" max="8" width="13.15625" customWidth="1"/>
    <col min="9" max="9" width="15.41796875" customWidth="1"/>
    <col min="10" max="10" width="18.26171875" customWidth="1"/>
    <col min="11" max="11" width="18" customWidth="1"/>
    <col min="12" max="12" width="14.734375" customWidth="1"/>
    <col min="13" max="13" width="14.578125" customWidth="1"/>
    <col min="14" max="14" width="15.62890625" customWidth="1"/>
    <col min="15" max="16" width="12.1015625" customWidth="1"/>
    <col min="17" max="17" width="18" customWidth="1"/>
    <col min="18" max="18" width="13.734375" customWidth="1"/>
    <col min="19" max="19" width="14.83984375" customWidth="1"/>
    <col min="20" max="20" width="14.68359375" customWidth="1"/>
    <col min="21" max="22" width="10.9453125" customWidth="1"/>
    <col min="23" max="24" width="11.9453125" customWidth="1"/>
    <col min="25" max="25" width="8.41796875" style="23" customWidth="1"/>
    <col min="26" max="26" width="8.41796875" style="32" customWidth="1"/>
    <col min="27" max="27" width="21.578125" customWidth="1"/>
    <col min="28" max="28" width="15.62890625" customWidth="1"/>
    <col min="29" max="29" width="12.1015625" customWidth="1"/>
    <col min="30" max="30" width="11.1015625" customWidth="1"/>
    <col min="31" max="32" width="12.1015625" customWidth="1"/>
    <col min="33" max="33" width="11.9453125" customWidth="1"/>
    <col min="34" max="34" width="21.578125" customWidth="1"/>
    <col min="35" max="35" width="14.89453125" customWidth="1"/>
    <col min="36" max="37" width="10.9453125" customWidth="1"/>
    <col min="38" max="39" width="11.9453125" customWidth="1"/>
    <col min="40" max="40" width="13.5234375" customWidth="1"/>
    <col min="41" max="41" width="12.47265625" customWidth="1"/>
    <col min="42" max="44" width="13.5234375" customWidth="1"/>
    <col min="45" max="47" width="14.5234375" customWidth="1"/>
    <col min="48" max="48" width="8.41796875" customWidth="1"/>
    <col min="49" max="50" width="7.41796875" customWidth="1"/>
    <col min="51" max="51" width="8.41796875" customWidth="1"/>
    <col min="52" max="54" width="7.41796875" customWidth="1"/>
    <col min="55" max="55" width="8.41796875" customWidth="1"/>
    <col min="56" max="58" width="7.41796875" customWidth="1"/>
    <col min="59" max="59" width="8.41796875" customWidth="1"/>
    <col min="60" max="61" width="7.41796875" customWidth="1"/>
    <col min="62" max="62" width="8.41796875" customWidth="1"/>
    <col min="63" max="63" width="7.41796875" customWidth="1"/>
    <col min="64" max="64" width="8.41796875" customWidth="1"/>
    <col min="65" max="69" width="7.41796875" customWidth="1"/>
    <col min="70" max="70" width="8.41796875" customWidth="1"/>
    <col min="71" max="75" width="7.41796875" customWidth="1"/>
    <col min="76" max="76" width="10.20703125" customWidth="1"/>
    <col min="77" max="550" width="10.83984375" customWidth="1"/>
    <col min="551" max="551" width="10.83984375" bestFit="1" customWidth="1"/>
    <col min="552" max="552" width="10.83984375" customWidth="1"/>
    <col min="553" max="553" width="10.83984375" bestFit="1" customWidth="1"/>
    <col min="554" max="554" width="10.83984375" customWidth="1"/>
    <col min="555" max="555" width="10.83984375" bestFit="1" customWidth="1"/>
    <col min="556" max="556" width="10.83984375" customWidth="1"/>
    <col min="557" max="557" width="10.83984375" bestFit="1" customWidth="1"/>
    <col min="558" max="558" width="10.83984375" customWidth="1"/>
    <col min="559" max="559" width="10.83984375" bestFit="1" customWidth="1"/>
    <col min="560" max="560" width="10.83984375" customWidth="1"/>
    <col min="561" max="561" width="10.83984375" bestFit="1" customWidth="1"/>
    <col min="562" max="562" width="10.83984375" customWidth="1"/>
    <col min="563" max="563" width="10.83984375" bestFit="1" customWidth="1"/>
    <col min="564" max="564" width="10.83984375" customWidth="1"/>
    <col min="565" max="565" width="10.83984375" bestFit="1" customWidth="1"/>
    <col min="566" max="566" width="10.83984375" customWidth="1"/>
    <col min="567" max="567" width="10.83984375" bestFit="1" customWidth="1"/>
    <col min="568" max="568" width="10.83984375" customWidth="1"/>
    <col min="569" max="569" width="10.83984375" bestFit="1" customWidth="1"/>
    <col min="570" max="570" width="10.83984375" customWidth="1"/>
    <col min="571" max="571" width="10.83984375" bestFit="1" customWidth="1"/>
    <col min="572" max="572" width="10.83984375" customWidth="1"/>
    <col min="573" max="573" width="10.83984375" bestFit="1" customWidth="1"/>
    <col min="574" max="574" width="10.83984375" customWidth="1"/>
    <col min="575" max="575" width="10.83984375" bestFit="1" customWidth="1"/>
    <col min="576" max="576" width="10.83984375" customWidth="1"/>
    <col min="577" max="577" width="10.83984375" bestFit="1" customWidth="1"/>
    <col min="578" max="578" width="10.83984375" customWidth="1"/>
    <col min="579" max="579" width="10.83984375" bestFit="1" customWidth="1"/>
    <col min="580" max="580" width="10.83984375" customWidth="1"/>
    <col min="581" max="581" width="10.83984375" bestFit="1" customWidth="1"/>
    <col min="582" max="582" width="10.83984375" customWidth="1"/>
    <col min="583" max="583" width="10.83984375" bestFit="1" customWidth="1"/>
    <col min="584" max="584" width="10.83984375" customWidth="1"/>
    <col min="585" max="585" width="10.83984375" bestFit="1" customWidth="1"/>
    <col min="586" max="586" width="10.83984375" customWidth="1"/>
    <col min="587" max="587" width="10.83984375" bestFit="1" customWidth="1"/>
    <col min="588" max="588" width="10.83984375" customWidth="1"/>
    <col min="589" max="589" width="10.83984375" bestFit="1" customWidth="1"/>
    <col min="590" max="590" width="10.83984375" customWidth="1"/>
    <col min="591" max="591" width="10.83984375" bestFit="1" customWidth="1"/>
    <col min="592" max="592" width="10.83984375" customWidth="1"/>
    <col min="593" max="593" width="10.83984375" bestFit="1" customWidth="1"/>
    <col min="594" max="594" width="10.83984375" customWidth="1"/>
    <col min="595" max="595" width="10.83984375" bestFit="1" customWidth="1"/>
    <col min="596" max="596" width="10.83984375" customWidth="1"/>
    <col min="597" max="597" width="10.83984375" bestFit="1" customWidth="1"/>
    <col min="598" max="598" width="10.83984375" customWidth="1"/>
    <col min="599" max="599" width="10.83984375" bestFit="1" customWidth="1"/>
    <col min="600" max="600" width="10.83984375" customWidth="1"/>
    <col min="601" max="601" width="10.83984375" bestFit="1" customWidth="1"/>
    <col min="602" max="602" width="10.83984375" customWidth="1"/>
    <col min="603" max="603" width="10.83984375" bestFit="1" customWidth="1"/>
    <col min="604" max="604" width="10.83984375" customWidth="1"/>
    <col min="605" max="605" width="10.83984375" bestFit="1" customWidth="1"/>
    <col min="606" max="606" width="10.83984375" customWidth="1"/>
    <col min="607" max="607" width="10.83984375" bestFit="1" customWidth="1"/>
    <col min="608" max="608" width="10.83984375" customWidth="1"/>
    <col min="609" max="609" width="10.83984375" bestFit="1" customWidth="1"/>
    <col min="610" max="610" width="10.83984375" customWidth="1"/>
    <col min="611" max="611" width="10.83984375" bestFit="1" customWidth="1"/>
    <col min="612" max="612" width="10.83984375" customWidth="1"/>
    <col min="613" max="613" width="10.83984375" bestFit="1" customWidth="1"/>
    <col min="614" max="614" width="10.83984375" customWidth="1"/>
    <col min="615" max="615" width="10.83984375" bestFit="1" customWidth="1"/>
    <col min="616" max="616" width="10.83984375" customWidth="1"/>
    <col min="617" max="617" width="10.83984375" bestFit="1" customWidth="1"/>
    <col min="618" max="618" width="10.83984375" customWidth="1"/>
    <col min="619" max="619" width="10.83984375" bestFit="1" customWidth="1"/>
    <col min="620" max="620" width="10.83984375" customWidth="1"/>
    <col min="621" max="621" width="10.83984375" bestFit="1" customWidth="1"/>
    <col min="622" max="622" width="10.83984375" customWidth="1"/>
    <col min="623" max="623" width="10.83984375" bestFit="1" customWidth="1"/>
    <col min="624" max="624" width="10.83984375" customWidth="1"/>
    <col min="625" max="625" width="10.83984375" bestFit="1" customWidth="1"/>
    <col min="626" max="626" width="10.83984375" customWidth="1"/>
    <col min="627" max="627" width="10.83984375" bestFit="1" customWidth="1"/>
    <col min="628" max="628" width="10.83984375" customWidth="1"/>
    <col min="629" max="629" width="10.83984375" bestFit="1" customWidth="1"/>
    <col min="630" max="630" width="10.83984375" customWidth="1"/>
    <col min="631" max="631" width="10.83984375" bestFit="1" customWidth="1"/>
    <col min="632" max="632" width="10.83984375" customWidth="1"/>
    <col min="633" max="633" width="10.83984375" bestFit="1" customWidth="1"/>
    <col min="634" max="634" width="10.83984375" customWidth="1"/>
    <col min="635" max="635" width="10.83984375" bestFit="1" customWidth="1"/>
    <col min="636" max="636" width="10.83984375" customWidth="1"/>
    <col min="637" max="637" width="10.83984375" bestFit="1" customWidth="1"/>
    <col min="638" max="638" width="10.83984375" customWidth="1"/>
    <col min="639" max="639" width="10.83984375" bestFit="1" customWidth="1"/>
    <col min="640" max="640" width="10.83984375" customWidth="1"/>
    <col min="641" max="641" width="10.83984375" bestFit="1" customWidth="1"/>
    <col min="642" max="642" width="10.83984375" customWidth="1"/>
    <col min="643" max="643" width="10.83984375" bestFit="1" customWidth="1"/>
    <col min="644" max="644" width="10.83984375" customWidth="1"/>
    <col min="645" max="645" width="10.83984375" bestFit="1" customWidth="1"/>
    <col min="646" max="646" width="10.83984375" customWidth="1"/>
    <col min="647" max="647" width="10.83984375" bestFit="1" customWidth="1"/>
    <col min="648" max="648" width="10.83984375" customWidth="1"/>
    <col min="649" max="649" width="10.83984375" bestFit="1" customWidth="1"/>
    <col min="650" max="650" width="10.83984375" customWidth="1"/>
    <col min="651" max="651" width="10.83984375" bestFit="1" customWidth="1"/>
    <col min="652" max="652" width="10.83984375" customWidth="1"/>
    <col min="653" max="653" width="10.83984375" bestFit="1" customWidth="1"/>
    <col min="654" max="654" width="10.83984375" customWidth="1"/>
    <col min="655" max="655" width="10.83984375" bestFit="1" customWidth="1"/>
    <col min="656" max="656" width="10.83984375" customWidth="1"/>
    <col min="657" max="657" width="10.83984375" bestFit="1" customWidth="1"/>
    <col min="658" max="658" width="10.83984375" customWidth="1"/>
    <col min="659" max="659" width="10.83984375" bestFit="1" customWidth="1"/>
    <col min="660" max="660" width="10.83984375" customWidth="1"/>
    <col min="661" max="661" width="10.83984375" bestFit="1" customWidth="1"/>
    <col min="662" max="662" width="10.83984375" customWidth="1"/>
    <col min="663" max="663" width="10.83984375" bestFit="1" customWidth="1"/>
    <col min="664" max="664" width="10.83984375" customWidth="1"/>
    <col min="665" max="665" width="10.83984375" bestFit="1" customWidth="1"/>
    <col min="666" max="666" width="10.83984375" customWidth="1"/>
    <col min="667" max="667" width="10.83984375" bestFit="1" customWidth="1"/>
    <col min="668" max="668" width="10.83984375" customWidth="1"/>
    <col min="669" max="669" width="10.83984375" bestFit="1" customWidth="1"/>
    <col min="670" max="670" width="10.83984375" customWidth="1"/>
    <col min="671" max="671" width="10.83984375" bestFit="1" customWidth="1"/>
    <col min="672" max="672" width="10.83984375" customWidth="1"/>
    <col min="673" max="673" width="10.83984375" bestFit="1" customWidth="1"/>
    <col min="674" max="674" width="10.83984375" customWidth="1"/>
    <col min="675" max="675" width="10.83984375" bestFit="1" customWidth="1"/>
    <col min="676" max="676" width="10.83984375" customWidth="1"/>
    <col min="677" max="677" width="10.83984375" bestFit="1" customWidth="1"/>
    <col min="678" max="678" width="10.83984375" customWidth="1"/>
    <col min="679" max="679" width="10.83984375" bestFit="1" customWidth="1"/>
    <col min="680" max="680" width="10.83984375" customWidth="1"/>
    <col min="681" max="681" width="10.83984375" bestFit="1" customWidth="1"/>
    <col min="682" max="682" width="10.83984375" customWidth="1"/>
    <col min="683" max="683" width="10.83984375" bestFit="1" customWidth="1"/>
    <col min="684" max="684" width="10.83984375" customWidth="1"/>
    <col min="685" max="685" width="10.83984375" bestFit="1" customWidth="1"/>
    <col min="686" max="686" width="10.83984375" customWidth="1"/>
    <col min="687" max="687" width="10.83984375" bestFit="1" customWidth="1"/>
    <col min="688" max="688" width="10.83984375" customWidth="1"/>
    <col min="689" max="689" width="10.83984375" bestFit="1" customWidth="1"/>
    <col min="690" max="690" width="10.83984375" customWidth="1"/>
    <col min="691" max="691" width="10.83984375" bestFit="1" customWidth="1"/>
    <col min="692" max="692" width="10.83984375" customWidth="1"/>
    <col min="693" max="693" width="10.83984375" bestFit="1" customWidth="1"/>
    <col min="694" max="694" width="10.83984375" customWidth="1"/>
    <col min="695" max="695" width="10.83984375" bestFit="1" customWidth="1"/>
    <col min="696" max="696" width="10.83984375" customWidth="1"/>
    <col min="697" max="697" width="10.83984375" bestFit="1" customWidth="1"/>
    <col min="698" max="698" width="10.83984375" customWidth="1"/>
    <col min="699" max="699" width="10.83984375" bestFit="1" customWidth="1"/>
    <col min="700" max="700" width="10.83984375" customWidth="1"/>
    <col min="701" max="701" width="10.83984375" bestFit="1" customWidth="1"/>
    <col min="702" max="702" width="10.83984375" customWidth="1"/>
    <col min="703" max="703" width="10.83984375" bestFit="1" customWidth="1"/>
    <col min="704" max="704" width="10.83984375" customWidth="1"/>
    <col min="705" max="705" width="10.83984375" bestFit="1" customWidth="1"/>
    <col min="706" max="706" width="10.83984375" customWidth="1"/>
    <col min="707" max="707" width="10.83984375" bestFit="1" customWidth="1"/>
    <col min="708" max="708" width="10.83984375" customWidth="1"/>
    <col min="709" max="709" width="10.83984375" bestFit="1" customWidth="1"/>
    <col min="710" max="710" width="10.83984375" customWidth="1"/>
    <col min="711" max="711" width="10.83984375" bestFit="1" customWidth="1"/>
    <col min="712" max="712" width="10.83984375" customWidth="1"/>
    <col min="713" max="713" width="10.83984375" bestFit="1" customWidth="1"/>
    <col min="714" max="714" width="10.83984375" customWidth="1"/>
    <col min="715" max="715" width="10.83984375" bestFit="1" customWidth="1"/>
    <col min="716" max="716" width="10.83984375" customWidth="1"/>
    <col min="717" max="717" width="10.83984375" bestFit="1" customWidth="1"/>
    <col min="718" max="718" width="10.83984375" customWidth="1"/>
    <col min="719" max="719" width="10.83984375" bestFit="1" customWidth="1"/>
    <col min="720" max="720" width="10.83984375" customWidth="1"/>
    <col min="721" max="721" width="10.83984375" bestFit="1" customWidth="1"/>
    <col min="722" max="722" width="10.83984375" customWidth="1"/>
    <col min="723" max="723" width="10.83984375" bestFit="1" customWidth="1"/>
    <col min="724" max="724" width="10.83984375" customWidth="1"/>
    <col min="725" max="725" width="10.83984375" bestFit="1" customWidth="1"/>
    <col min="726" max="726" width="10.83984375" customWidth="1"/>
    <col min="727" max="727" width="10.83984375" bestFit="1" customWidth="1"/>
    <col min="728" max="728" width="10.83984375" customWidth="1"/>
    <col min="729" max="729" width="10.83984375" bestFit="1" customWidth="1"/>
    <col min="730" max="730" width="10.83984375" customWidth="1"/>
    <col min="731" max="731" width="10.83984375" bestFit="1" customWidth="1"/>
    <col min="732" max="732" width="10.83984375" customWidth="1"/>
    <col min="733" max="733" width="10.83984375" bestFit="1" customWidth="1"/>
    <col min="734" max="734" width="10.83984375" customWidth="1"/>
    <col min="735" max="735" width="10.83984375" bestFit="1" customWidth="1"/>
    <col min="736" max="736" width="10.83984375" customWidth="1"/>
    <col min="737" max="737" width="10.83984375" bestFit="1" customWidth="1"/>
    <col min="738" max="738" width="10.83984375" customWidth="1"/>
    <col min="739" max="739" width="10.83984375" bestFit="1" customWidth="1"/>
    <col min="740" max="740" width="10.83984375" customWidth="1"/>
    <col min="741" max="741" width="10.83984375" bestFit="1" customWidth="1"/>
    <col min="742" max="742" width="10.83984375" customWidth="1"/>
    <col min="743" max="743" width="10.83984375" bestFit="1" customWidth="1"/>
    <col min="744" max="744" width="10.83984375" customWidth="1"/>
    <col min="745" max="745" width="10.83984375" bestFit="1" customWidth="1"/>
    <col min="746" max="746" width="10.83984375" customWidth="1"/>
    <col min="747" max="747" width="10.83984375" bestFit="1" customWidth="1"/>
    <col min="748" max="748" width="10.83984375" customWidth="1"/>
    <col min="749" max="749" width="10.83984375" bestFit="1" customWidth="1"/>
    <col min="750" max="750" width="10.83984375" customWidth="1"/>
    <col min="751" max="751" width="10.83984375" bestFit="1" customWidth="1"/>
    <col min="752" max="752" width="10.83984375" customWidth="1"/>
    <col min="753" max="753" width="10.83984375" bestFit="1" customWidth="1"/>
    <col min="754" max="754" width="10.83984375" customWidth="1"/>
    <col min="755" max="755" width="10.83984375" bestFit="1" customWidth="1"/>
    <col min="756" max="756" width="10.83984375" customWidth="1"/>
    <col min="757" max="757" width="10.83984375" bestFit="1" customWidth="1"/>
    <col min="758" max="758" width="10.83984375" customWidth="1"/>
    <col min="759" max="759" width="10.83984375" bestFit="1" customWidth="1"/>
    <col min="760" max="760" width="10.83984375" customWidth="1"/>
    <col min="761" max="761" width="10.83984375" bestFit="1" customWidth="1"/>
    <col min="762" max="762" width="10.83984375" customWidth="1"/>
    <col min="763" max="763" width="10.83984375" bestFit="1" customWidth="1"/>
    <col min="764" max="764" width="10.83984375" customWidth="1"/>
    <col min="765" max="765" width="10.83984375" bestFit="1" customWidth="1"/>
    <col min="766" max="766" width="10.83984375" customWidth="1"/>
    <col min="767" max="767" width="10.83984375" bestFit="1" customWidth="1"/>
    <col min="768" max="768" width="10.83984375" customWidth="1"/>
    <col min="769" max="769" width="10.83984375" bestFit="1" customWidth="1"/>
    <col min="770" max="770" width="10.83984375" customWidth="1"/>
    <col min="771" max="771" width="10.83984375" bestFit="1" customWidth="1"/>
    <col min="772" max="772" width="10.83984375" customWidth="1"/>
    <col min="773" max="773" width="10.83984375" bestFit="1" customWidth="1"/>
    <col min="774" max="774" width="10.83984375" customWidth="1"/>
    <col min="775" max="775" width="10.83984375" bestFit="1" customWidth="1"/>
    <col min="776" max="776" width="10.83984375" customWidth="1"/>
    <col min="777" max="777" width="10.83984375" bestFit="1" customWidth="1"/>
    <col min="778" max="778" width="10.83984375" customWidth="1"/>
    <col min="779" max="779" width="10.83984375" bestFit="1" customWidth="1"/>
    <col min="780" max="780" width="10.83984375" customWidth="1"/>
    <col min="781" max="781" width="10.83984375" bestFit="1" customWidth="1"/>
    <col min="782" max="782" width="10.83984375" customWidth="1"/>
    <col min="783" max="783" width="10.83984375" bestFit="1" customWidth="1"/>
    <col min="784" max="784" width="10.83984375" customWidth="1"/>
    <col min="785" max="785" width="10.83984375" bestFit="1" customWidth="1"/>
    <col min="786" max="786" width="10.83984375" customWidth="1"/>
    <col min="787" max="787" width="10.83984375" bestFit="1" customWidth="1"/>
    <col min="788" max="788" width="10.83984375" customWidth="1"/>
    <col min="789" max="789" width="10.83984375" bestFit="1" customWidth="1"/>
    <col min="790" max="790" width="10.83984375" customWidth="1"/>
    <col min="791" max="791" width="10.83984375" bestFit="1" customWidth="1"/>
    <col min="792" max="792" width="10.83984375" customWidth="1"/>
    <col min="793" max="793" width="10.83984375" bestFit="1" customWidth="1"/>
    <col min="794" max="794" width="10.83984375" customWidth="1"/>
    <col min="795" max="795" width="10.83984375" bestFit="1" customWidth="1"/>
    <col min="796" max="796" width="10.83984375" customWidth="1"/>
    <col min="797" max="797" width="10.83984375" bestFit="1" customWidth="1"/>
    <col min="798" max="798" width="10.83984375" customWidth="1"/>
    <col min="799" max="799" width="10.83984375" bestFit="1" customWidth="1"/>
    <col min="800" max="800" width="10.83984375" customWidth="1"/>
    <col min="801" max="801" width="10.83984375" bestFit="1" customWidth="1"/>
    <col min="802" max="802" width="10.83984375" customWidth="1"/>
    <col min="803" max="803" width="10.83984375" bestFit="1" customWidth="1"/>
    <col min="804" max="804" width="10.83984375" customWidth="1"/>
    <col min="805" max="805" width="10.83984375" bestFit="1" customWidth="1"/>
    <col min="806" max="806" width="10.83984375" customWidth="1"/>
    <col min="807" max="807" width="10.83984375" bestFit="1" customWidth="1"/>
    <col min="808" max="808" width="10.83984375" customWidth="1"/>
    <col min="809" max="809" width="10.83984375" bestFit="1" customWidth="1"/>
    <col min="810" max="810" width="10.83984375" customWidth="1"/>
    <col min="811" max="811" width="10.83984375" bestFit="1" customWidth="1"/>
    <col min="812" max="812" width="10.83984375" customWidth="1"/>
    <col min="813" max="813" width="10.83984375" bestFit="1" customWidth="1"/>
    <col min="814" max="814" width="10.83984375" customWidth="1"/>
    <col min="815" max="815" width="10.83984375" bestFit="1" customWidth="1"/>
    <col min="816" max="816" width="10.83984375" customWidth="1"/>
    <col min="817" max="817" width="10.83984375" bestFit="1" customWidth="1"/>
    <col min="818" max="818" width="10.83984375" customWidth="1"/>
    <col min="819" max="819" width="10.83984375" bestFit="1" customWidth="1"/>
    <col min="820" max="820" width="10.83984375" customWidth="1"/>
    <col min="821" max="821" width="10.83984375" bestFit="1" customWidth="1"/>
    <col min="822" max="822" width="10.83984375" customWidth="1"/>
    <col min="823" max="823" width="10.83984375" bestFit="1" customWidth="1"/>
    <col min="824" max="824" width="10.83984375" customWidth="1"/>
    <col min="825" max="825" width="10.83984375" bestFit="1" customWidth="1"/>
    <col min="826" max="826" width="10.83984375" customWidth="1"/>
    <col min="827" max="827" width="10.83984375" bestFit="1" customWidth="1"/>
    <col min="828" max="828" width="10.83984375" customWidth="1"/>
    <col min="829" max="829" width="10.83984375" bestFit="1" customWidth="1"/>
    <col min="830" max="830" width="10.83984375" customWidth="1"/>
    <col min="831" max="831" width="10.83984375" bestFit="1" customWidth="1"/>
    <col min="832" max="832" width="10.83984375" customWidth="1"/>
    <col min="833" max="833" width="10.83984375" bestFit="1" customWidth="1"/>
    <col min="834" max="834" width="10.83984375" customWidth="1"/>
    <col min="835" max="835" width="10.83984375" bestFit="1" customWidth="1"/>
    <col min="836" max="836" width="10.83984375" customWidth="1"/>
    <col min="837" max="837" width="10.83984375" bestFit="1" customWidth="1"/>
    <col min="838" max="838" width="10.83984375" customWidth="1"/>
    <col min="839" max="839" width="10.83984375" bestFit="1" customWidth="1"/>
    <col min="840" max="840" width="10.83984375" customWidth="1"/>
    <col min="841" max="841" width="10.83984375" bestFit="1" customWidth="1"/>
    <col min="842" max="842" width="10.83984375" customWidth="1"/>
    <col min="843" max="843" width="10.83984375" bestFit="1" customWidth="1"/>
    <col min="844" max="844" width="10.83984375" customWidth="1"/>
    <col min="845" max="845" width="10.83984375" bestFit="1" customWidth="1"/>
    <col min="846" max="846" width="10.83984375" customWidth="1"/>
    <col min="847" max="847" width="10.83984375" bestFit="1" customWidth="1"/>
    <col min="848" max="848" width="10.83984375" customWidth="1"/>
    <col min="849" max="849" width="10.83984375" bestFit="1" customWidth="1"/>
    <col min="850" max="850" width="10.83984375" customWidth="1"/>
    <col min="851" max="851" width="10.83984375" bestFit="1" customWidth="1"/>
    <col min="852" max="852" width="10.83984375" customWidth="1"/>
    <col min="853" max="853" width="10.83984375" bestFit="1" customWidth="1"/>
    <col min="854" max="854" width="10.83984375" customWidth="1"/>
    <col min="855" max="855" width="10.83984375" bestFit="1" customWidth="1"/>
    <col min="856" max="856" width="10.83984375" customWidth="1"/>
    <col min="857" max="857" width="10.83984375" bestFit="1" customWidth="1"/>
    <col min="858" max="858" width="10.83984375" customWidth="1"/>
    <col min="859" max="859" width="10.83984375" bestFit="1" customWidth="1"/>
    <col min="860" max="860" width="10.83984375" customWidth="1"/>
    <col min="861" max="861" width="10.83984375" bestFit="1" customWidth="1"/>
    <col min="862" max="862" width="10.83984375" customWidth="1"/>
    <col min="863" max="863" width="10.83984375" bestFit="1" customWidth="1"/>
    <col min="864" max="864" width="10.83984375" customWidth="1"/>
    <col min="865" max="865" width="10.83984375" bestFit="1" customWidth="1"/>
    <col min="866" max="866" width="10.83984375" customWidth="1"/>
    <col min="867" max="867" width="10.83984375" bestFit="1" customWidth="1"/>
    <col min="868" max="868" width="10.83984375" customWidth="1"/>
    <col min="869" max="869" width="10.83984375" bestFit="1" customWidth="1"/>
    <col min="870" max="870" width="10.83984375" customWidth="1"/>
    <col min="871" max="871" width="10.83984375" bestFit="1" customWidth="1"/>
    <col min="872" max="872" width="10.83984375" customWidth="1"/>
    <col min="873" max="873" width="10.83984375" bestFit="1" customWidth="1"/>
    <col min="874" max="874" width="10.83984375" customWidth="1"/>
    <col min="875" max="875" width="10.83984375" bestFit="1" customWidth="1"/>
    <col min="876" max="876" width="10.83984375" customWidth="1"/>
    <col min="877" max="877" width="10.83984375" bestFit="1" customWidth="1"/>
    <col min="878" max="878" width="10.83984375" customWidth="1"/>
    <col min="879" max="879" width="10.83984375" bestFit="1" customWidth="1"/>
    <col min="880" max="880" width="10.83984375" customWidth="1"/>
    <col min="881" max="881" width="10.83984375" bestFit="1" customWidth="1"/>
    <col min="882" max="882" width="10.83984375" customWidth="1"/>
    <col min="883" max="883" width="10.83984375" bestFit="1" customWidth="1"/>
    <col min="884" max="884" width="10.83984375" customWidth="1"/>
    <col min="885" max="885" width="10.83984375" bestFit="1" customWidth="1"/>
    <col min="886" max="886" width="10.83984375" customWidth="1"/>
    <col min="887" max="887" width="10.83984375" bestFit="1" customWidth="1"/>
    <col min="888" max="888" width="10.83984375" customWidth="1"/>
    <col min="889" max="889" width="10.83984375" bestFit="1" customWidth="1"/>
    <col min="890" max="890" width="10.83984375" customWidth="1"/>
    <col min="891" max="891" width="10.83984375" bestFit="1" customWidth="1"/>
    <col min="892" max="892" width="10.83984375" customWidth="1"/>
    <col min="893" max="893" width="10.83984375" bestFit="1" customWidth="1"/>
    <col min="894" max="894" width="10.83984375" customWidth="1"/>
    <col min="895" max="895" width="10.83984375" bestFit="1" customWidth="1"/>
    <col min="896" max="896" width="10.83984375" customWidth="1"/>
    <col min="897" max="897" width="10.83984375" bestFit="1" customWidth="1"/>
    <col min="898" max="898" width="10.83984375" customWidth="1"/>
    <col min="899" max="899" width="10.83984375" bestFit="1" customWidth="1"/>
    <col min="900" max="900" width="10.83984375" customWidth="1"/>
    <col min="901" max="901" width="10.83984375" bestFit="1" customWidth="1"/>
    <col min="902" max="902" width="10.83984375" customWidth="1"/>
    <col min="903" max="903" width="10.83984375" bestFit="1" customWidth="1"/>
    <col min="904" max="904" width="10.83984375" customWidth="1"/>
    <col min="905" max="905" width="10.83984375" bestFit="1" customWidth="1"/>
    <col min="906" max="906" width="10.83984375" customWidth="1"/>
    <col min="907" max="907" width="10.83984375" bestFit="1" customWidth="1"/>
    <col min="908" max="908" width="10.83984375" customWidth="1"/>
    <col min="909" max="909" width="10.83984375" bestFit="1" customWidth="1"/>
    <col min="910" max="910" width="10.83984375" customWidth="1"/>
    <col min="911" max="911" width="10.83984375" bestFit="1" customWidth="1"/>
    <col min="912" max="912" width="10.83984375" customWidth="1"/>
    <col min="913" max="913" width="10.83984375" bestFit="1" customWidth="1"/>
    <col min="914" max="914" width="10.83984375" customWidth="1"/>
    <col min="915" max="915" width="10.83984375" bestFit="1" customWidth="1"/>
    <col min="916" max="916" width="10.83984375" customWidth="1"/>
    <col min="917" max="917" width="10.83984375" bestFit="1" customWidth="1"/>
    <col min="918" max="918" width="10.83984375" customWidth="1"/>
    <col min="919" max="919" width="10.83984375" bestFit="1" customWidth="1"/>
    <col min="920" max="920" width="10.83984375" customWidth="1"/>
    <col min="921" max="921" width="10.83984375" bestFit="1" customWidth="1"/>
    <col min="922" max="922" width="10.83984375" customWidth="1"/>
    <col min="923" max="923" width="10.83984375" bestFit="1" customWidth="1"/>
    <col min="924" max="924" width="10.83984375" customWidth="1"/>
    <col min="925" max="925" width="10.83984375" bestFit="1" customWidth="1"/>
    <col min="926" max="926" width="10.83984375" customWidth="1"/>
    <col min="927" max="927" width="10.83984375" bestFit="1" customWidth="1"/>
    <col min="928" max="928" width="10.83984375" customWidth="1"/>
    <col min="929" max="929" width="10.83984375" bestFit="1" customWidth="1"/>
    <col min="930" max="930" width="10.83984375" customWidth="1"/>
    <col min="931" max="931" width="10.83984375" bestFit="1" customWidth="1"/>
    <col min="932" max="932" width="10.83984375" customWidth="1"/>
    <col min="933" max="933" width="10.83984375" bestFit="1" customWidth="1"/>
    <col min="934" max="934" width="10.83984375" customWidth="1"/>
    <col min="935" max="935" width="10.83984375" bestFit="1" customWidth="1"/>
    <col min="936" max="936" width="10.83984375" customWidth="1"/>
    <col min="937" max="937" width="10.83984375" bestFit="1" customWidth="1"/>
    <col min="938" max="938" width="10.83984375" customWidth="1"/>
    <col min="939" max="939" width="10.83984375" bestFit="1" customWidth="1"/>
    <col min="940" max="940" width="10.83984375" customWidth="1"/>
    <col min="941" max="941" width="10.83984375" bestFit="1" customWidth="1"/>
    <col min="942" max="942" width="10.83984375" customWidth="1"/>
    <col min="943" max="943" width="10.83984375" bestFit="1" customWidth="1"/>
    <col min="944" max="944" width="10.83984375" customWidth="1"/>
    <col min="945" max="945" width="10.83984375" bestFit="1" customWidth="1"/>
    <col min="946" max="946" width="10.83984375" customWidth="1"/>
    <col min="947" max="947" width="10.83984375" bestFit="1" customWidth="1"/>
    <col min="948" max="948" width="10.83984375" customWidth="1"/>
    <col min="949" max="949" width="10.83984375" bestFit="1" customWidth="1"/>
    <col min="950" max="950" width="10.83984375" customWidth="1"/>
    <col min="951" max="951" width="10.83984375" bestFit="1" customWidth="1"/>
    <col min="952" max="952" width="10.83984375" customWidth="1"/>
    <col min="953" max="953" width="10.83984375" bestFit="1" customWidth="1"/>
    <col min="954" max="954" width="10.83984375" customWidth="1"/>
    <col min="955" max="955" width="10.83984375" bestFit="1" customWidth="1"/>
    <col min="956" max="956" width="10.83984375" customWidth="1"/>
    <col min="957" max="957" width="10.83984375" bestFit="1" customWidth="1"/>
    <col min="958" max="958" width="10.83984375" customWidth="1"/>
    <col min="959" max="959" width="10.83984375" bestFit="1" customWidth="1"/>
    <col min="960" max="960" width="10.83984375" customWidth="1"/>
    <col min="961" max="961" width="10.83984375" bestFit="1" customWidth="1"/>
    <col min="962" max="962" width="10.83984375" customWidth="1"/>
    <col min="963" max="963" width="10.83984375" bestFit="1" customWidth="1"/>
    <col min="964" max="964" width="10.83984375" customWidth="1"/>
    <col min="965" max="965" width="10.83984375" bestFit="1" customWidth="1"/>
    <col min="966" max="966" width="10.83984375" customWidth="1"/>
    <col min="967" max="967" width="10.83984375" bestFit="1" customWidth="1"/>
    <col min="968" max="968" width="10.83984375" customWidth="1"/>
    <col min="969" max="969" width="10.83984375" bestFit="1" customWidth="1"/>
    <col min="970" max="970" width="10.83984375" customWidth="1"/>
    <col min="971" max="971" width="10.83984375" bestFit="1" customWidth="1"/>
    <col min="972" max="972" width="10.83984375" customWidth="1"/>
    <col min="973" max="973" width="10.83984375" bestFit="1" customWidth="1"/>
    <col min="974" max="974" width="10.83984375" customWidth="1"/>
    <col min="975" max="975" width="10.83984375" bestFit="1" customWidth="1"/>
    <col min="976" max="976" width="10.83984375" customWidth="1"/>
    <col min="977" max="977" width="10.83984375" bestFit="1" customWidth="1"/>
    <col min="978" max="978" width="10.83984375" customWidth="1"/>
    <col min="979" max="979" width="10.83984375" bestFit="1" customWidth="1"/>
    <col min="980" max="980" width="10.83984375" customWidth="1"/>
    <col min="981" max="981" width="10.83984375" bestFit="1" customWidth="1"/>
    <col min="982" max="982" width="10.83984375" customWidth="1"/>
    <col min="983" max="983" width="10.83984375" bestFit="1" customWidth="1"/>
    <col min="984" max="984" width="10.83984375" customWidth="1"/>
    <col min="985" max="985" width="10.83984375" bestFit="1" customWidth="1"/>
    <col min="986" max="986" width="10.83984375" customWidth="1"/>
    <col min="987" max="987" width="10.83984375" bestFit="1" customWidth="1"/>
    <col min="988" max="988" width="10.83984375" customWidth="1"/>
    <col min="989" max="989" width="10.83984375" bestFit="1" customWidth="1"/>
    <col min="990" max="990" width="10.83984375" customWidth="1"/>
    <col min="991" max="991" width="10.83984375" bestFit="1" customWidth="1"/>
    <col min="992" max="992" width="10.83984375" customWidth="1"/>
    <col min="993" max="993" width="10.83984375" bestFit="1" customWidth="1"/>
    <col min="994" max="994" width="10.83984375" customWidth="1"/>
    <col min="995" max="995" width="10.83984375" bestFit="1" customWidth="1"/>
    <col min="996" max="996" width="10.83984375" customWidth="1"/>
    <col min="997" max="997" width="10.83984375" bestFit="1" customWidth="1"/>
    <col min="998" max="998" width="10.83984375" customWidth="1"/>
    <col min="999" max="999" width="10.83984375" bestFit="1" customWidth="1"/>
    <col min="1000" max="1000" width="10.83984375" customWidth="1"/>
    <col min="1001" max="1001" width="10.83984375" bestFit="1" customWidth="1"/>
    <col min="1002" max="1002" width="10.83984375" customWidth="1"/>
    <col min="1003" max="1003" width="10.83984375" bestFit="1" customWidth="1"/>
    <col min="1004" max="1004" width="10.83984375" customWidth="1"/>
    <col min="1005" max="1005" width="10.83984375" bestFit="1" customWidth="1"/>
    <col min="1006" max="1006" width="10.83984375" customWidth="1"/>
    <col min="1007" max="1007" width="10.83984375" bestFit="1" customWidth="1"/>
    <col min="1008" max="1008" width="10.83984375" customWidth="1"/>
    <col min="1009" max="1009" width="10.83984375" bestFit="1" customWidth="1"/>
    <col min="1010" max="1010" width="10.83984375" customWidth="1"/>
    <col min="1011" max="1011" width="10.83984375" bestFit="1" customWidth="1"/>
    <col min="1012" max="1012" width="10.83984375" customWidth="1"/>
    <col min="1013" max="1013" width="10.83984375" bestFit="1" customWidth="1"/>
    <col min="1014" max="1014" width="10.83984375" customWidth="1"/>
    <col min="1015" max="1015" width="10.83984375" bestFit="1" customWidth="1"/>
    <col min="1016" max="1016" width="10.83984375" customWidth="1"/>
    <col min="1017" max="1017" width="10.83984375" bestFit="1" customWidth="1"/>
    <col min="1018" max="1018" width="10.83984375" customWidth="1"/>
    <col min="1019" max="1019" width="11.62890625" bestFit="1" customWidth="1"/>
    <col min="1020" max="1020" width="10.83984375" customWidth="1"/>
    <col min="1021" max="1021" width="10.83984375" bestFit="1" customWidth="1"/>
    <col min="1022" max="1022" width="10.83984375" customWidth="1"/>
    <col min="1023" max="1023" width="10.83984375" bestFit="1" customWidth="1"/>
    <col min="1024" max="1024" width="10.83984375" customWidth="1"/>
    <col min="1025" max="1025" width="10.83984375" bestFit="1" customWidth="1"/>
    <col min="1026" max="1026" width="10.83984375" customWidth="1"/>
    <col min="1027" max="1027" width="10.83984375" bestFit="1" customWidth="1"/>
    <col min="1028" max="1028" width="10.83984375" customWidth="1"/>
    <col min="1029" max="1029" width="10.83984375" bestFit="1" customWidth="1"/>
    <col min="1030" max="1030" width="10.83984375" customWidth="1"/>
    <col min="1031" max="1031" width="10.83984375" bestFit="1" customWidth="1"/>
    <col min="1032" max="1032" width="10.83984375" customWidth="1"/>
    <col min="1033" max="2018" width="10.83984375" bestFit="1" customWidth="1"/>
    <col min="2019" max="2019" width="11.9453125" bestFit="1" customWidth="1"/>
    <col min="2020" max="3018" width="10.83984375" bestFit="1" customWidth="1"/>
    <col min="3019" max="3019" width="19.734375" bestFit="1" customWidth="1"/>
    <col min="3020" max="3020" width="16.20703125" bestFit="1" customWidth="1"/>
    <col min="3021" max="3021" width="16.5234375" bestFit="1" customWidth="1"/>
  </cols>
  <sheetData>
    <row r="1" spans="1:39" x14ac:dyDescent="0.55000000000000004">
      <c r="A1" t="s">
        <v>1049</v>
      </c>
      <c r="B1" t="str">
        <f>IF(G1="all","One Day Sales Dashboard In All Years ", "One Day Sales Dashboard In " &amp;G1)</f>
        <v>One Day Sales Dashboard In 2022</v>
      </c>
      <c r="F1" s="5" t="s">
        <v>1052</v>
      </c>
      <c r="G1" t="s" vm="1">
        <v>1107</v>
      </c>
    </row>
    <row r="2" spans="1:39" x14ac:dyDescent="0.55000000000000004">
      <c r="A2" t="s">
        <v>1048</v>
      </c>
      <c r="B2" s="8">
        <f>GETPIVOTDATA("[Measures].[Sum of Total]",$F$3)</f>
        <v>118553.65</v>
      </c>
      <c r="K2" t="s">
        <v>1103</v>
      </c>
      <c r="L2" t="s">
        <v>1104</v>
      </c>
      <c r="M2" t="s">
        <v>1105</v>
      </c>
    </row>
    <row r="3" spans="1:39" x14ac:dyDescent="0.55000000000000004">
      <c r="A3" t="s">
        <v>1053</v>
      </c>
      <c r="B3" s="8">
        <f>GETPIVOTDATA("[Measures].[Sum of Total]",$I$8,"[Returns].[returns]","[Returns].[returns].&amp;")</f>
        <v>105148.11</v>
      </c>
      <c r="F3" t="s">
        <v>1047</v>
      </c>
      <c r="G3" t="s">
        <v>1059</v>
      </c>
      <c r="H3" t="s">
        <v>1061</v>
      </c>
      <c r="I3" t="s">
        <v>1060</v>
      </c>
      <c r="K3" s="9">
        <v>56.345854922279791</v>
      </c>
      <c r="L3" s="9">
        <v>99.96</v>
      </c>
      <c r="M3" s="9">
        <v>10.08</v>
      </c>
    </row>
    <row r="4" spans="1:39" x14ac:dyDescent="0.55000000000000004">
      <c r="A4" t="s">
        <v>1056</v>
      </c>
      <c r="B4" s="10">
        <f>B3/B2</f>
        <v>0.88692427436860866</v>
      </c>
      <c r="C4" s="10">
        <v>1</v>
      </c>
      <c r="F4" s="9">
        <v>118553.65</v>
      </c>
      <c r="G4" s="9">
        <v>29638.412499999999</v>
      </c>
      <c r="H4" s="9">
        <v>5927.6824999999999</v>
      </c>
      <c r="I4" s="9">
        <v>82987.554999999993</v>
      </c>
      <c r="AA4" s="5" t="s">
        <v>1047</v>
      </c>
      <c r="AB4" s="5" t="s">
        <v>1082</v>
      </c>
      <c r="AH4" s="5" t="s">
        <v>1047</v>
      </c>
      <c r="AI4" s="5" t="s">
        <v>1082</v>
      </c>
    </row>
    <row r="5" spans="1:39" x14ac:dyDescent="0.55000000000000004">
      <c r="A5" t="s">
        <v>1055</v>
      </c>
      <c r="B5" s="8">
        <f>GETPIVOTDATA("[Measures].[Sum of Total]",$I$8,"[Returns].[returns]","[Returns].[returns].&amp;[yes]")</f>
        <v>13405.54</v>
      </c>
      <c r="AA5" s="5" t="s">
        <v>1045</v>
      </c>
      <c r="AB5">
        <v>2022</v>
      </c>
      <c r="AC5" t="s">
        <v>1046</v>
      </c>
      <c r="AH5" s="5" t="s">
        <v>1045</v>
      </c>
      <c r="AI5">
        <v>2019</v>
      </c>
      <c r="AJ5">
        <v>2020</v>
      </c>
      <c r="AK5">
        <v>2021</v>
      </c>
      <c r="AL5">
        <v>2022</v>
      </c>
      <c r="AM5" t="s">
        <v>1046</v>
      </c>
    </row>
    <row r="6" spans="1:39" x14ac:dyDescent="0.55000000000000004">
      <c r="A6" t="s">
        <v>1057</v>
      </c>
      <c r="B6" s="10">
        <f>GETPIVOTDATA("[__Xl2].[Measures].[Sum of Total]",$I$8,"[Returns].[returns]","[Returns].[returns].&amp;[yes]")</f>
        <v>0.11307572563139137</v>
      </c>
      <c r="I6" s="5" t="s">
        <v>1052</v>
      </c>
      <c r="J6" t="s" vm="1">
        <v>1107</v>
      </c>
      <c r="AA6" s="6" t="s">
        <v>1071</v>
      </c>
      <c r="AB6" s="9">
        <v>38716.17</v>
      </c>
      <c r="AC6" s="9">
        <v>38716.17</v>
      </c>
      <c r="AH6" s="6" t="s">
        <v>1071</v>
      </c>
      <c r="AI6" s="9">
        <v>13311.52</v>
      </c>
      <c r="AJ6" s="9">
        <v>22337.18</v>
      </c>
      <c r="AK6" s="9">
        <v>26778.34</v>
      </c>
      <c r="AL6" s="9">
        <v>38716.17</v>
      </c>
      <c r="AM6" s="9">
        <v>101143.21</v>
      </c>
    </row>
    <row r="7" spans="1:39" x14ac:dyDescent="0.55000000000000004">
      <c r="A7" t="s">
        <v>1069</v>
      </c>
      <c r="B7" s="8">
        <f>GETPIVOTDATA("[Measures].[Sum of Net Profit]",$F$3)</f>
        <v>29638.412499999999</v>
      </c>
      <c r="AA7" s="6" t="s">
        <v>1072</v>
      </c>
      <c r="AB7" s="9">
        <v>40951.71</v>
      </c>
      <c r="AC7" s="9">
        <v>40951.71</v>
      </c>
      <c r="AH7" s="6" t="s">
        <v>1072</v>
      </c>
      <c r="AI7" s="9">
        <v>10090.879999999999</v>
      </c>
      <c r="AJ7" s="9">
        <v>23020.76</v>
      </c>
      <c r="AK7" s="9">
        <v>27077.29</v>
      </c>
      <c r="AL7" s="9">
        <v>40951.71</v>
      </c>
      <c r="AM7" s="9">
        <v>101140.64</v>
      </c>
    </row>
    <row r="8" spans="1:39" x14ac:dyDescent="0.55000000000000004">
      <c r="A8" t="s">
        <v>1063</v>
      </c>
      <c r="B8" s="17">
        <f>GETPIVOTDATA("[Measures].[Sum of cogs]",$F$3)</f>
        <v>82987.554999999993</v>
      </c>
      <c r="I8" s="5" t="s">
        <v>1045</v>
      </c>
      <c r="J8" t="s">
        <v>1047</v>
      </c>
      <c r="K8" t="s">
        <v>1058</v>
      </c>
      <c r="AA8" s="6" t="s">
        <v>1073</v>
      </c>
      <c r="AB8" s="9">
        <v>38885.769999999997</v>
      </c>
      <c r="AC8" s="9">
        <v>38885.769999999997</v>
      </c>
      <c r="AH8" s="6" t="s">
        <v>1073</v>
      </c>
      <c r="AI8" s="9">
        <v>14429.83</v>
      </c>
      <c r="AJ8" s="9">
        <v>22386.959999999999</v>
      </c>
      <c r="AK8" s="9">
        <v>29600.97</v>
      </c>
      <c r="AL8" s="9">
        <v>38885.769999999997</v>
      </c>
      <c r="AM8" s="9">
        <v>105303.53</v>
      </c>
    </row>
    <row r="9" spans="1:39" x14ac:dyDescent="0.55000000000000004">
      <c r="A9" t="s">
        <v>1064</v>
      </c>
      <c r="B9" s="18">
        <f>B8/B2</f>
        <v>0.7</v>
      </c>
      <c r="I9" s="6" t="s">
        <v>1036</v>
      </c>
      <c r="J9" s="9">
        <v>13405.54</v>
      </c>
      <c r="K9" s="11">
        <v>0.11307572563139137</v>
      </c>
      <c r="AA9" s="6" t="s">
        <v>1046</v>
      </c>
      <c r="AB9" s="9">
        <v>118553.65</v>
      </c>
      <c r="AC9" s="9">
        <v>118553.65</v>
      </c>
      <c r="AH9" s="6" t="s">
        <v>1046</v>
      </c>
      <c r="AI9" s="9">
        <v>37832.230000000003</v>
      </c>
      <c r="AJ9" s="9">
        <v>67744.899999999994</v>
      </c>
      <c r="AK9" s="9">
        <v>83456.600000000006</v>
      </c>
      <c r="AL9" s="9">
        <v>118553.65</v>
      </c>
      <c r="AM9" s="9">
        <v>307587.38</v>
      </c>
    </row>
    <row r="10" spans="1:39" x14ac:dyDescent="0.55000000000000004">
      <c r="A10" t="s">
        <v>1099</v>
      </c>
      <c r="B10" s="19">
        <f>C11/B2</f>
        <v>0.05</v>
      </c>
      <c r="D10" s="12">
        <f>B11</f>
        <v>0.25</v>
      </c>
      <c r="I10" s="6" t="s">
        <v>1054</v>
      </c>
      <c r="J10" s="9">
        <v>105148.11</v>
      </c>
      <c r="K10" s="11">
        <v>0.88692427436860866</v>
      </c>
    </row>
    <row r="11" spans="1:39" x14ac:dyDescent="0.55000000000000004">
      <c r="A11" t="s">
        <v>1062</v>
      </c>
      <c r="B11" s="20">
        <f>B7/B2</f>
        <v>0.25</v>
      </c>
      <c r="C11" s="8">
        <f>GETPIVOTDATA("[Measures].[Sum of Tax 5%]",$F$3)</f>
        <v>5927.6824999999999</v>
      </c>
      <c r="I11" s="6" t="s">
        <v>1046</v>
      </c>
      <c r="J11" s="9">
        <v>118553.65</v>
      </c>
      <c r="K11" s="11">
        <v>1</v>
      </c>
      <c r="AA11" s="24" t="s">
        <v>1108</v>
      </c>
      <c r="AB11" s="25" t="str">
        <f>"BRANCH SALES "&amp;AB13&amp;" VS. "&amp;AC13</f>
        <v>BRANCH SALES 2022 VS. 2021</v>
      </c>
      <c r="AC11" s="25"/>
      <c r="AD11" s="23"/>
    </row>
    <row r="12" spans="1:39" x14ac:dyDescent="0.55000000000000004">
      <c r="A12" s="8" t="s">
        <v>1065</v>
      </c>
      <c r="B12">
        <f>G1*1</f>
        <v>2022</v>
      </c>
      <c r="F12" s="5" t="s">
        <v>1045</v>
      </c>
      <c r="G12" t="s">
        <v>1047</v>
      </c>
      <c r="H12" t="s">
        <v>1058</v>
      </c>
      <c r="L12" s="5" t="s">
        <v>1052</v>
      </c>
      <c r="M12" t="s" vm="1">
        <v>1107</v>
      </c>
    </row>
    <row r="13" spans="1:39" x14ac:dyDescent="0.55000000000000004">
      <c r="A13" t="s">
        <v>1066</v>
      </c>
      <c r="B13">
        <f>B12-1</f>
        <v>2021</v>
      </c>
      <c r="F13" s="6">
        <v>2019</v>
      </c>
      <c r="G13" s="9">
        <v>37832.230000000003</v>
      </c>
      <c r="H13" s="11"/>
      <c r="AA13" t="str">
        <f t="shared" ref="AA13:AB16" si="0">AA5</f>
        <v>Row Labels</v>
      </c>
      <c r="AB13">
        <f t="shared" si="0"/>
        <v>2022</v>
      </c>
      <c r="AC13">
        <f>AB13-1</f>
        <v>2021</v>
      </c>
      <c r="AD13" t="str">
        <f xml:space="preserve"> "Increase "&amp;AB13</f>
        <v>Increase 2022</v>
      </c>
      <c r="AE13" t="str">
        <f>"Decrease "&amp;AB13</f>
        <v>Decrease 2022</v>
      </c>
    </row>
    <row r="14" spans="1:39" x14ac:dyDescent="0.55000000000000004">
      <c r="A14" t="s">
        <v>1067</v>
      </c>
      <c r="B14" s="8">
        <f>VLOOKUP(B13,F12:H17,2,0)</f>
        <v>83456.600000000006</v>
      </c>
      <c r="F14" s="6">
        <v>2020</v>
      </c>
      <c r="G14" s="9">
        <v>67744.899999999994</v>
      </c>
      <c r="H14" s="11">
        <v>0.7906663181102459</v>
      </c>
      <c r="L14" s="5" t="s">
        <v>1045</v>
      </c>
      <c r="M14" t="s">
        <v>1047</v>
      </c>
      <c r="N14" t="s">
        <v>1059</v>
      </c>
      <c r="O14" t="s">
        <v>1060</v>
      </c>
      <c r="P14" t="s">
        <v>1074</v>
      </c>
      <c r="AA14" t="str">
        <f t="shared" si="0"/>
        <v>Br. A (Yangon)</v>
      </c>
      <c r="AB14" s="30">
        <f t="shared" si="0"/>
        <v>38716.17</v>
      </c>
      <c r="AC14" s="30">
        <f>VLOOKUP(AA14,$AH$5:$AM$9,MATCH($AC$13,$AH$5:$AM$5,0),0)</f>
        <v>26778.34</v>
      </c>
      <c r="AD14" s="28">
        <f>IF(AB14&gt;AC14,AB14,"")</f>
        <v>38716.17</v>
      </c>
      <c r="AE14" s="29" t="str">
        <f>IF(AB14&lt;AC14,AB14,"")</f>
        <v/>
      </c>
    </row>
    <row r="15" spans="1:39" x14ac:dyDescent="0.55000000000000004">
      <c r="A15" t="s">
        <v>1068</v>
      </c>
      <c r="B15" s="10">
        <f>IFERROR(VLOOKUP(B12,F12:H17,3,0),"")</f>
        <v>0.42054253348446963</v>
      </c>
      <c r="C15" s="12">
        <f>1-B15</f>
        <v>0.57945746651553032</v>
      </c>
      <c r="F15" s="6">
        <v>2021</v>
      </c>
      <c r="G15" s="9">
        <v>83456.600000000006</v>
      </c>
      <c r="H15" s="11">
        <v>0.23192446959106905</v>
      </c>
      <c r="L15" s="6" t="s">
        <v>27</v>
      </c>
      <c r="M15" s="9">
        <v>24358.1</v>
      </c>
      <c r="N15" s="9">
        <v>6089.5249999999996</v>
      </c>
      <c r="O15" s="9">
        <v>17050.669999999998</v>
      </c>
      <c r="P15" s="9">
        <v>415</v>
      </c>
      <c r="AA15" t="str">
        <f t="shared" si="0"/>
        <v>Br. B (Mandalay)</v>
      </c>
      <c r="AB15" s="30">
        <f t="shared" si="0"/>
        <v>40951.71</v>
      </c>
      <c r="AC15" s="30">
        <f t="shared" ref="AC15:AC16" si="1">VLOOKUP(AA15,$AH$5:$AM$9,MATCH($AC$13,$AH$5:$AM$5,0),0)</f>
        <v>27077.29</v>
      </c>
      <c r="AD15" s="28">
        <f t="shared" ref="AD15:AD16" si="2">IF(AB15&gt;AC15,AB15,"")</f>
        <v>40951.71</v>
      </c>
      <c r="AE15" s="29" t="str">
        <f t="shared" ref="AE15:AE16" si="3">IF(AB15&lt;AC15,AB15,"")</f>
        <v/>
      </c>
    </row>
    <row r="16" spans="1:39" x14ac:dyDescent="0.55000000000000004">
      <c r="A16" t="str">
        <f>IFERROR("Sales % "&amp;B12&amp;" VS. "&amp;B13,"")</f>
        <v>Sales % 2022 VS. 2021</v>
      </c>
      <c r="F16" s="6">
        <v>2022</v>
      </c>
      <c r="G16" s="9">
        <v>118553.65</v>
      </c>
      <c r="H16" s="11">
        <v>0.42054253348446963</v>
      </c>
      <c r="L16" s="6" t="s">
        <v>31</v>
      </c>
      <c r="M16" s="9">
        <v>20946.71</v>
      </c>
      <c r="N16" s="9">
        <v>5236.6774999999998</v>
      </c>
      <c r="O16" s="9">
        <v>14662.697</v>
      </c>
      <c r="P16" s="9">
        <v>357</v>
      </c>
      <c r="AA16" t="str">
        <f t="shared" si="0"/>
        <v>Br. C (Naypyitaw)</v>
      </c>
      <c r="AB16" s="30">
        <f t="shared" si="0"/>
        <v>38885.769999999997</v>
      </c>
      <c r="AC16" s="30">
        <f t="shared" si="1"/>
        <v>29600.97</v>
      </c>
      <c r="AD16" s="28">
        <f t="shared" si="2"/>
        <v>38885.769999999997</v>
      </c>
      <c r="AE16" s="29" t="str">
        <f t="shared" si="3"/>
        <v/>
      </c>
    </row>
    <row r="17" spans="1:39" x14ac:dyDescent="0.55000000000000004">
      <c r="A17" t="s">
        <v>1102</v>
      </c>
      <c r="B17" s="22">
        <f>GETPIVOTDATA("[Measures].[Average of Unit price]",$K$2)</f>
        <v>56.345854922279791</v>
      </c>
      <c r="F17" s="6" t="s">
        <v>1046</v>
      </c>
      <c r="G17" s="9">
        <v>307587.38</v>
      </c>
      <c r="H17" s="11"/>
      <c r="L17" s="6" t="s">
        <v>21</v>
      </c>
      <c r="M17" s="9">
        <v>20511.37</v>
      </c>
      <c r="N17" s="9">
        <v>5127.8424999999997</v>
      </c>
      <c r="O17" s="9">
        <v>14357.959000000001</v>
      </c>
      <c r="P17" s="9">
        <v>356</v>
      </c>
    </row>
    <row r="18" spans="1:39" x14ac:dyDescent="0.55000000000000004">
      <c r="A18" t="s">
        <v>1083</v>
      </c>
      <c r="B18">
        <f>GETPIVOTDATA("[Measures].[Count of Invoice ID]",$M$34)</f>
        <v>386</v>
      </c>
      <c r="I18" s="5" t="s">
        <v>1052</v>
      </c>
      <c r="J18" t="s" vm="1">
        <v>1107</v>
      </c>
      <c r="L18" s="6" t="s">
        <v>43</v>
      </c>
      <c r="M18" s="9">
        <v>18311.5</v>
      </c>
      <c r="N18" s="9">
        <v>4577.875</v>
      </c>
      <c r="O18" s="9">
        <v>12818.05</v>
      </c>
      <c r="P18" s="9">
        <v>337</v>
      </c>
    </row>
    <row r="19" spans="1:39" x14ac:dyDescent="0.55000000000000004">
      <c r="A19" t="s">
        <v>1084</v>
      </c>
      <c r="B19" s="8">
        <f>B2/B18</f>
        <v>307.1338082901554</v>
      </c>
      <c r="F19" s="5" t="s">
        <v>1045</v>
      </c>
      <c r="G19" t="s">
        <v>1047</v>
      </c>
      <c r="L19" s="6" t="s">
        <v>45</v>
      </c>
      <c r="M19" s="9">
        <v>18200.21</v>
      </c>
      <c r="N19" s="9">
        <v>4550.0524999999998</v>
      </c>
      <c r="O19" s="9">
        <v>12740.147000000001</v>
      </c>
      <c r="P19" s="9">
        <v>326</v>
      </c>
    </row>
    <row r="20" spans="1:39" x14ac:dyDescent="0.55000000000000004">
      <c r="F20" s="6">
        <v>2019</v>
      </c>
      <c r="G20" s="9">
        <v>37832.230000000003</v>
      </c>
      <c r="I20" s="5" t="s">
        <v>1045</v>
      </c>
      <c r="J20" t="s">
        <v>1047</v>
      </c>
      <c r="L20" s="6" t="s">
        <v>35</v>
      </c>
      <c r="M20" s="9">
        <v>16225.76</v>
      </c>
      <c r="N20" s="9">
        <v>4056.44</v>
      </c>
      <c r="O20" s="9">
        <v>11358.031999999999</v>
      </c>
      <c r="P20" s="9">
        <v>300</v>
      </c>
    </row>
    <row r="21" spans="1:39" x14ac:dyDescent="0.55000000000000004">
      <c r="A21" s="21" t="s">
        <v>1100</v>
      </c>
      <c r="B21" s="10">
        <f>(B2-B14)/B14</f>
        <v>0.42054253348446963</v>
      </c>
      <c r="F21" s="6">
        <v>2020</v>
      </c>
      <c r="G21" s="9">
        <v>67744.899999999994</v>
      </c>
      <c r="I21" s="6" t="s">
        <v>1071</v>
      </c>
      <c r="J21" s="9">
        <v>38716.17</v>
      </c>
      <c r="L21" s="6" t="s">
        <v>1046</v>
      </c>
      <c r="M21" s="9">
        <v>118553.65</v>
      </c>
      <c r="N21" s="9">
        <v>29638.412499999999</v>
      </c>
      <c r="O21" s="9">
        <v>82987.554999999993</v>
      </c>
      <c r="P21" s="9">
        <v>2091</v>
      </c>
      <c r="AA21" s="5" t="s">
        <v>1096</v>
      </c>
      <c r="AB21" s="5" t="s">
        <v>1082</v>
      </c>
      <c r="AH21" s="5" t="s">
        <v>1096</v>
      </c>
      <c r="AI21" s="5" t="s">
        <v>1082</v>
      </c>
    </row>
    <row r="22" spans="1:39" x14ac:dyDescent="0.55000000000000004">
      <c r="A22" s="21" t="s">
        <v>1101</v>
      </c>
      <c r="B22" s="10"/>
      <c r="F22" s="6">
        <v>2021</v>
      </c>
      <c r="G22" s="9">
        <v>83456.600000000006</v>
      </c>
      <c r="I22" s="6" t="s">
        <v>1072</v>
      </c>
      <c r="J22" s="9">
        <v>40951.71</v>
      </c>
      <c r="Q22" s="5" t="s">
        <v>1052</v>
      </c>
      <c r="R22" t="s" vm="1">
        <v>1107</v>
      </c>
      <c r="AA22" s="5" t="s">
        <v>1045</v>
      </c>
      <c r="AB22">
        <v>2022</v>
      </c>
      <c r="AC22" t="s">
        <v>1046</v>
      </c>
      <c r="AH22" s="5" t="s">
        <v>1045</v>
      </c>
      <c r="AI22">
        <v>2019</v>
      </c>
      <c r="AJ22">
        <v>2020</v>
      </c>
      <c r="AK22">
        <v>2021</v>
      </c>
      <c r="AL22">
        <v>2022</v>
      </c>
      <c r="AM22" t="s">
        <v>1046</v>
      </c>
    </row>
    <row r="23" spans="1:39" x14ac:dyDescent="0.55000000000000004">
      <c r="F23" s="6">
        <v>2022</v>
      </c>
      <c r="G23" s="9">
        <v>118553.65</v>
      </c>
      <c r="I23" s="6" t="s">
        <v>1073</v>
      </c>
      <c r="J23" s="9">
        <v>38885.769999999997</v>
      </c>
      <c r="AA23" s="6" t="s">
        <v>1039</v>
      </c>
      <c r="AB23" s="14">
        <v>6.9499999999999993</v>
      </c>
      <c r="AC23" s="14">
        <v>6.9499999999999993</v>
      </c>
      <c r="AH23" s="6" t="s">
        <v>1039</v>
      </c>
      <c r="AI23" s="14">
        <v>7.0078947368421058</v>
      </c>
      <c r="AJ23" s="14">
        <v>6.8513513513513518</v>
      </c>
      <c r="AK23" s="14">
        <v>7.2829787234042556</v>
      </c>
      <c r="AL23" s="14">
        <v>6.9499999999999993</v>
      </c>
      <c r="AM23" s="14">
        <v>7.0270588235294111</v>
      </c>
    </row>
    <row r="24" spans="1:39" x14ac:dyDescent="0.55000000000000004">
      <c r="F24" s="6" t="s">
        <v>1046</v>
      </c>
      <c r="G24" s="9">
        <v>307587.38</v>
      </c>
      <c r="I24" s="6" t="s">
        <v>1046</v>
      </c>
      <c r="J24" s="9">
        <v>118553.65</v>
      </c>
      <c r="Q24" s="5" t="s">
        <v>1045</v>
      </c>
      <c r="R24" t="s">
        <v>1047</v>
      </c>
      <c r="AA24" s="6" t="s">
        <v>1040</v>
      </c>
      <c r="AB24" s="14">
        <v>6.9336134453781515</v>
      </c>
      <c r="AC24" s="14">
        <v>6.9336134453781515</v>
      </c>
      <c r="AH24" s="6" t="s">
        <v>1040</v>
      </c>
      <c r="AI24" s="14">
        <v>7.0769230769230766</v>
      </c>
      <c r="AJ24" s="14">
        <v>7.2162162162162158</v>
      </c>
      <c r="AK24" s="14">
        <v>7.1333333333333329</v>
      </c>
      <c r="AL24" s="14">
        <v>6.9336134453781515</v>
      </c>
      <c r="AM24" s="14">
        <v>7.0728658536585369</v>
      </c>
    </row>
    <row r="25" spans="1:39" x14ac:dyDescent="0.55000000000000004">
      <c r="K25" s="5" t="s">
        <v>1052</v>
      </c>
      <c r="L25" t="s" vm="1">
        <v>1107</v>
      </c>
      <c r="Q25" s="6" t="s">
        <v>20</v>
      </c>
      <c r="R25" s="9">
        <v>61997.599999999999</v>
      </c>
      <c r="AA25" s="6" t="s">
        <v>1041</v>
      </c>
      <c r="AB25" s="14">
        <v>6.6586466165413531</v>
      </c>
      <c r="AC25" s="14">
        <v>6.6586466165413531</v>
      </c>
      <c r="AH25" s="6" t="s">
        <v>1041</v>
      </c>
      <c r="AI25" s="14">
        <v>6.5709677419354833</v>
      </c>
      <c r="AJ25" s="14">
        <v>6.7059701492537318</v>
      </c>
      <c r="AK25" s="14">
        <v>7.1782178217821784</v>
      </c>
      <c r="AL25" s="14">
        <v>6.6586466165413531</v>
      </c>
      <c r="AM25" s="14">
        <v>6.8180722891566266</v>
      </c>
    </row>
    <row r="26" spans="1:39" x14ac:dyDescent="0.55000000000000004">
      <c r="Q26" s="6" t="s">
        <v>30</v>
      </c>
      <c r="R26" s="9">
        <v>56556.05</v>
      </c>
      <c r="AA26" s="6" t="s">
        <v>1046</v>
      </c>
      <c r="AB26" s="14">
        <v>6.8445595854922283</v>
      </c>
      <c r="AC26" s="14">
        <v>6.8445595854922283</v>
      </c>
      <c r="AH26" s="6" t="s">
        <v>1046</v>
      </c>
      <c r="AI26" s="14">
        <v>6.9074074074074074</v>
      </c>
      <c r="AJ26" s="14">
        <v>6.9316279069767441</v>
      </c>
      <c r="AK26" s="14">
        <v>7.1972508591065294</v>
      </c>
      <c r="AL26" s="14">
        <v>6.8445595854922283</v>
      </c>
      <c r="AM26" s="14">
        <v>6.9726999999999997</v>
      </c>
    </row>
    <row r="27" spans="1:39" x14ac:dyDescent="0.55000000000000004">
      <c r="F27" s="5" t="s">
        <v>1045</v>
      </c>
      <c r="G27" t="s">
        <v>1059</v>
      </c>
      <c r="K27" s="5" t="s">
        <v>1045</v>
      </c>
      <c r="L27" t="s">
        <v>1059</v>
      </c>
      <c r="Q27" s="6" t="s">
        <v>1046</v>
      </c>
      <c r="R27" s="9">
        <v>118553.65</v>
      </c>
    </row>
    <row r="28" spans="1:39" x14ac:dyDescent="0.55000000000000004">
      <c r="F28" s="6">
        <v>2019</v>
      </c>
      <c r="G28" s="9">
        <v>9458.0575000000008</v>
      </c>
      <c r="K28" s="6" t="s">
        <v>1071</v>
      </c>
      <c r="L28" s="12">
        <v>0.32657088162194919</v>
      </c>
      <c r="AA28" s="24" t="s">
        <v>1108</v>
      </c>
      <c r="AB28" s="25" t="str">
        <f>"AVG. CUSTOMER RATING "&amp;AB30&amp;" VS. "&amp;AC30</f>
        <v>AVG. CUSTOMER RATING 2022 VS. 2021</v>
      </c>
      <c r="AC28" s="25"/>
      <c r="AD28" s="23"/>
    </row>
    <row r="29" spans="1:39" x14ac:dyDescent="0.55000000000000004">
      <c r="F29" s="6">
        <v>2020</v>
      </c>
      <c r="G29" s="9">
        <v>16936.224999999999</v>
      </c>
      <c r="K29" s="6" t="s">
        <v>1072</v>
      </c>
      <c r="L29" s="12">
        <v>0.34542766081010584</v>
      </c>
      <c r="M29" s="21" t="s">
        <v>1098</v>
      </c>
      <c r="N29" s="18">
        <f>N31/N30</f>
        <v>0.11139896373056994</v>
      </c>
      <c r="O29" s="12">
        <f>1-N29</f>
        <v>0.8886010362694301</v>
      </c>
    </row>
    <row r="30" spans="1:39" x14ac:dyDescent="0.55000000000000004">
      <c r="F30" s="6">
        <v>2021</v>
      </c>
      <c r="G30" s="9">
        <v>20864.150000000001</v>
      </c>
      <c r="K30" s="6" t="s">
        <v>1073</v>
      </c>
      <c r="L30" s="12">
        <v>0.32800145756794497</v>
      </c>
      <c r="M30" s="21" t="s">
        <v>1077</v>
      </c>
      <c r="N30" s="21">
        <f>GETPIVOTDATA("[Measures].[Count of Invoice ID]",$M$34)</f>
        <v>386</v>
      </c>
      <c r="S30" s="5" t="s">
        <v>1047</v>
      </c>
      <c r="T30" s="5" t="s">
        <v>1082</v>
      </c>
      <c r="AA30" t="str">
        <f t="shared" ref="AA30:AB30" si="4">AA22</f>
        <v>Row Labels</v>
      </c>
      <c r="AB30">
        <f t="shared" si="4"/>
        <v>2022</v>
      </c>
      <c r="AC30">
        <f>AB30-1</f>
        <v>2021</v>
      </c>
      <c r="AD30" t="str">
        <f xml:space="preserve"> "Increase "&amp;AB30</f>
        <v>Increase 2022</v>
      </c>
      <c r="AE30" t="str">
        <f>"Decrease "&amp;AB30</f>
        <v>Decrease 2022</v>
      </c>
    </row>
    <row r="31" spans="1:39" x14ac:dyDescent="0.55000000000000004">
      <c r="F31" s="6">
        <v>2022</v>
      </c>
      <c r="G31" s="9">
        <v>29638.412499999999</v>
      </c>
      <c r="H31" s="5" t="s">
        <v>1052</v>
      </c>
      <c r="I31" t="s" vm="1">
        <v>1107</v>
      </c>
      <c r="K31" s="6" t="s">
        <v>1046</v>
      </c>
      <c r="L31" s="11">
        <v>1</v>
      </c>
      <c r="M31" s="21" t="s">
        <v>1076</v>
      </c>
      <c r="N31" s="21">
        <f>GETPIVOTDATA("[Measures].[Count of Invoice ID]",$M$34,"[Returns].[returns]","[Returns].[returns].&amp;[yes]")</f>
        <v>43</v>
      </c>
      <c r="S31" s="5" t="s">
        <v>1045</v>
      </c>
      <c r="T31">
        <v>2019</v>
      </c>
      <c r="U31">
        <v>2020</v>
      </c>
      <c r="V31">
        <v>2021</v>
      </c>
      <c r="W31">
        <v>2022</v>
      </c>
      <c r="X31" t="s">
        <v>1046</v>
      </c>
      <c r="AA31" t="str">
        <f t="shared" ref="AA31:AB31" si="5">AA23</f>
        <v>Ahmed Elminofy</v>
      </c>
      <c r="AB31" s="26">
        <f t="shared" si="5"/>
        <v>6.9499999999999993</v>
      </c>
      <c r="AC31" s="26">
        <f>VLOOKUP(AA31,$AH$22:$AM$26,MATCH($AC$30,$AH$22:$AM$22,0),0)</f>
        <v>7.2829787234042556</v>
      </c>
      <c r="AD31" s="26" t="str">
        <f>IF(AB31&gt;AC31,AB31,"")</f>
        <v/>
      </c>
      <c r="AE31" s="27">
        <f>IF(AB31&lt;AC31,AB31,"")</f>
        <v>6.9499999999999993</v>
      </c>
    </row>
    <row r="32" spans="1:39" x14ac:dyDescent="0.55000000000000004">
      <c r="F32" s="6" t="s">
        <v>1046</v>
      </c>
      <c r="G32" s="9">
        <v>76896.845000000001</v>
      </c>
      <c r="M32" s="5" t="s">
        <v>1052</v>
      </c>
      <c r="N32" t="s" vm="1">
        <v>1107</v>
      </c>
      <c r="S32" s="6" t="s">
        <v>1085</v>
      </c>
      <c r="T32" s="9">
        <v>6605.51</v>
      </c>
      <c r="U32" s="9">
        <v>4278.29</v>
      </c>
      <c r="V32" s="9">
        <v>6944.42</v>
      </c>
      <c r="W32" s="9">
        <v>12097</v>
      </c>
      <c r="X32" s="9">
        <v>29925.22</v>
      </c>
      <c r="AA32" t="str">
        <f t="shared" ref="AA32:AB32" si="6">AA24</f>
        <v>Mohamed Elbanhawy</v>
      </c>
      <c r="AB32" s="26">
        <f t="shared" si="6"/>
        <v>6.9336134453781515</v>
      </c>
      <c r="AC32" s="26">
        <f t="shared" ref="AC32:AC33" si="7">VLOOKUP(AA32,$AH$22:$AM$26,MATCH($AC$30,$AH$22:$AM$22,0),0)</f>
        <v>7.1333333333333329</v>
      </c>
      <c r="AD32" s="26" t="str">
        <f t="shared" ref="AD32:AD33" si="8">IF(AB32&gt;AC32,AB32,"")</f>
        <v/>
      </c>
      <c r="AE32" s="27">
        <f t="shared" ref="AE32:AE33" si="9">IF(AB32&lt;AC32,AB32,"")</f>
        <v>6.9336134453781515</v>
      </c>
    </row>
    <row r="33" spans="6:39" x14ac:dyDescent="0.55000000000000004">
      <c r="H33" s="5" t="s">
        <v>1045</v>
      </c>
      <c r="I33" t="s">
        <v>1097</v>
      </c>
      <c r="S33" s="6" t="s">
        <v>1087</v>
      </c>
      <c r="T33" s="9">
        <v>2866.54</v>
      </c>
      <c r="U33" s="9">
        <v>4625.5</v>
      </c>
      <c r="V33" s="9">
        <v>6581.96</v>
      </c>
      <c r="W33" s="9">
        <v>14856.79</v>
      </c>
      <c r="X33" s="9">
        <v>28930.79</v>
      </c>
      <c r="AA33" t="str">
        <f t="shared" ref="AA33:AB33" si="10">AA25</f>
        <v>Mostafa Eltantawy</v>
      </c>
      <c r="AB33" s="26">
        <f t="shared" si="10"/>
        <v>6.6586466165413531</v>
      </c>
      <c r="AC33" s="26">
        <f t="shared" si="7"/>
        <v>7.1782178217821784</v>
      </c>
      <c r="AD33" s="26" t="str">
        <f t="shared" si="8"/>
        <v/>
      </c>
      <c r="AE33" s="27">
        <f t="shared" si="9"/>
        <v>6.6586466165413531</v>
      </c>
    </row>
    <row r="34" spans="6:39" x14ac:dyDescent="0.55000000000000004">
      <c r="H34" s="6" t="s">
        <v>28</v>
      </c>
      <c r="I34" s="12">
        <v>0.32642487046632124</v>
      </c>
      <c r="M34" s="5" t="s">
        <v>1045</v>
      </c>
      <c r="N34" t="s">
        <v>1075</v>
      </c>
      <c r="S34" s="6" t="s">
        <v>1086</v>
      </c>
      <c r="T34" s="9">
        <v>2758.21</v>
      </c>
      <c r="U34" s="9">
        <v>5582.87</v>
      </c>
      <c r="V34" s="9">
        <v>8020.28</v>
      </c>
      <c r="W34" s="9">
        <v>8463.2900000000009</v>
      </c>
      <c r="X34" s="9">
        <v>24824.65</v>
      </c>
    </row>
    <row r="35" spans="6:39" x14ac:dyDescent="0.55000000000000004">
      <c r="H35" s="6" t="s">
        <v>32</v>
      </c>
      <c r="I35" s="12">
        <v>0.30569948186528495</v>
      </c>
      <c r="M35" s="6" t="s">
        <v>1036</v>
      </c>
      <c r="N35" s="9">
        <v>43</v>
      </c>
      <c r="S35" s="6" t="s">
        <v>1088</v>
      </c>
      <c r="T35" s="9">
        <v>3383.98</v>
      </c>
      <c r="U35" s="9">
        <v>8287.24</v>
      </c>
      <c r="V35" s="9">
        <v>10770.96</v>
      </c>
      <c r="W35" s="9">
        <v>10627.56</v>
      </c>
      <c r="X35" s="9">
        <v>33069.74</v>
      </c>
    </row>
    <row r="36" spans="6:39" x14ac:dyDescent="0.55000000000000004">
      <c r="H36" s="6" t="s">
        <v>22</v>
      </c>
      <c r="I36" s="12">
        <v>0.36787564766839376</v>
      </c>
      <c r="M36" s="6" t="s">
        <v>1054</v>
      </c>
      <c r="N36" s="9">
        <v>343</v>
      </c>
      <c r="O36" s="13" t="s">
        <v>1078</v>
      </c>
      <c r="P36" s="13">
        <f>GETPIVOTDATA("[Measures].[Sum of Quantity]",$O$40)</f>
        <v>2091</v>
      </c>
      <c r="S36" s="6" t="s">
        <v>1089</v>
      </c>
      <c r="T36" s="9">
        <v>3962.34</v>
      </c>
      <c r="U36" s="9">
        <v>6106.64</v>
      </c>
      <c r="V36" s="9">
        <v>7281.18</v>
      </c>
      <c r="W36" s="9">
        <v>12010.22</v>
      </c>
      <c r="X36" s="9">
        <v>29360.38</v>
      </c>
    </row>
    <row r="37" spans="6:39" x14ac:dyDescent="0.55000000000000004">
      <c r="H37" s="6" t="s">
        <v>1046</v>
      </c>
      <c r="I37" s="11">
        <v>1</v>
      </c>
      <c r="M37" s="6" t="s">
        <v>1046</v>
      </c>
      <c r="N37" s="9">
        <v>386</v>
      </c>
      <c r="O37" s="13" t="s">
        <v>1079</v>
      </c>
      <c r="P37" s="13">
        <f>GETPIVOTDATA("[Measures].[Sum of Quantity]",$O$40,"[Returns].[returns]","[Returns].[returns].&amp;[yes]")</f>
        <v>213</v>
      </c>
      <c r="S37" s="6" t="s">
        <v>1090</v>
      </c>
      <c r="T37" s="9">
        <v>2312.79</v>
      </c>
      <c r="U37" s="9">
        <v>4771.8100000000004</v>
      </c>
      <c r="V37" s="9">
        <v>7849.3</v>
      </c>
      <c r="W37" s="9">
        <v>14760.87</v>
      </c>
      <c r="X37" s="9">
        <v>29694.77</v>
      </c>
      <c r="AA37" s="5" t="s">
        <v>1047</v>
      </c>
      <c r="AB37" s="5" t="s">
        <v>1082</v>
      </c>
      <c r="AH37" s="5" t="s">
        <v>1047</v>
      </c>
      <c r="AI37" s="5" t="s">
        <v>1082</v>
      </c>
    </row>
    <row r="38" spans="6:39" x14ac:dyDescent="0.55000000000000004">
      <c r="F38" s="5" t="s">
        <v>1052</v>
      </c>
      <c r="G38" t="s" vm="1">
        <v>1107</v>
      </c>
      <c r="J38" s="5" t="s">
        <v>1052</v>
      </c>
      <c r="K38" t="s" vm="1">
        <v>1107</v>
      </c>
      <c r="O38" s="5" t="s">
        <v>1052</v>
      </c>
      <c r="P38" t="s" vm="1">
        <v>1107</v>
      </c>
      <c r="S38" s="6" t="s">
        <v>1091</v>
      </c>
      <c r="T38" s="9">
        <v>3103.11</v>
      </c>
      <c r="U38" s="9">
        <v>6183.03</v>
      </c>
      <c r="V38" s="9">
        <v>7191.01</v>
      </c>
      <c r="W38" s="9">
        <v>7547.92</v>
      </c>
      <c r="X38" s="9">
        <v>24025.07</v>
      </c>
      <c r="AA38" s="5" t="s">
        <v>1045</v>
      </c>
      <c r="AB38">
        <v>2022</v>
      </c>
      <c r="AC38" t="s">
        <v>1046</v>
      </c>
      <c r="AH38" s="5" t="s">
        <v>1045</v>
      </c>
      <c r="AI38">
        <v>2019</v>
      </c>
      <c r="AJ38">
        <v>2020</v>
      </c>
      <c r="AK38">
        <v>2021</v>
      </c>
      <c r="AL38">
        <v>2022</v>
      </c>
      <c r="AM38" t="s">
        <v>1046</v>
      </c>
    </row>
    <row r="39" spans="6:39" x14ac:dyDescent="0.55000000000000004">
      <c r="S39" s="6" t="s">
        <v>1092</v>
      </c>
      <c r="T39" s="9">
        <v>3277.54</v>
      </c>
      <c r="U39" s="9">
        <v>5770.13</v>
      </c>
      <c r="V39" s="9">
        <v>5531.05</v>
      </c>
      <c r="W39" s="9">
        <v>8702.44</v>
      </c>
      <c r="X39" s="9">
        <v>23281.16</v>
      </c>
      <c r="AA39" s="6" t="s">
        <v>27</v>
      </c>
      <c r="AB39" s="9">
        <v>24358.1</v>
      </c>
      <c r="AC39" s="9">
        <v>24358.1</v>
      </c>
      <c r="AH39" s="6" t="s">
        <v>27</v>
      </c>
      <c r="AI39" s="9">
        <v>6073.95</v>
      </c>
      <c r="AJ39" s="9">
        <v>11580.64</v>
      </c>
      <c r="AK39" s="9">
        <v>9737.34</v>
      </c>
      <c r="AL39" s="9">
        <v>24358.1</v>
      </c>
      <c r="AM39" s="9">
        <v>51750.03</v>
      </c>
    </row>
    <row r="40" spans="6:39" x14ac:dyDescent="0.55000000000000004">
      <c r="F40" s="5" t="s">
        <v>1045</v>
      </c>
      <c r="G40" t="s">
        <v>1047</v>
      </c>
      <c r="H40" s="6"/>
      <c r="J40" s="5" t="s">
        <v>1045</v>
      </c>
      <c r="K40" t="s">
        <v>1059</v>
      </c>
      <c r="O40" s="5" t="s">
        <v>1045</v>
      </c>
      <c r="P40" t="s">
        <v>1074</v>
      </c>
      <c r="S40" s="6" t="s">
        <v>1093</v>
      </c>
      <c r="T40" s="9">
        <v>3187.56</v>
      </c>
      <c r="U40" s="9">
        <v>5883.34</v>
      </c>
      <c r="V40" s="9">
        <v>6035.91</v>
      </c>
      <c r="W40" s="9">
        <v>9683.99</v>
      </c>
      <c r="X40" s="9">
        <v>24790.799999999999</v>
      </c>
      <c r="AA40" s="6" t="s">
        <v>45</v>
      </c>
      <c r="AB40" s="9">
        <v>18200.21</v>
      </c>
      <c r="AC40" s="9">
        <v>18200.21</v>
      </c>
      <c r="AH40" s="6" t="s">
        <v>45</v>
      </c>
      <c r="AI40" s="9">
        <v>4781.49</v>
      </c>
      <c r="AJ40" s="9">
        <v>9810.9599999999991</v>
      </c>
      <c r="AK40" s="9">
        <v>18927.240000000002</v>
      </c>
      <c r="AL40" s="9">
        <v>18200.21</v>
      </c>
      <c r="AM40" s="9">
        <v>51719.9</v>
      </c>
    </row>
    <row r="41" spans="6:39" x14ac:dyDescent="0.55000000000000004">
      <c r="F41" s="6" t="s">
        <v>19</v>
      </c>
      <c r="G41" s="12">
        <v>0.54079111018513559</v>
      </c>
      <c r="H41" s="6"/>
      <c r="J41" s="6" t="s">
        <v>27</v>
      </c>
      <c r="K41" s="11">
        <v>0.20546056574386365</v>
      </c>
      <c r="O41" s="6" t="s">
        <v>1036</v>
      </c>
      <c r="P41" s="9">
        <v>213</v>
      </c>
      <c r="S41" s="6" t="s">
        <v>1094</v>
      </c>
      <c r="T41" s="9">
        <v>3866</v>
      </c>
      <c r="U41" s="9">
        <v>10850.65</v>
      </c>
      <c r="V41" s="9">
        <v>10575.97</v>
      </c>
      <c r="W41" s="9">
        <v>12516.44</v>
      </c>
      <c r="X41" s="9">
        <v>37809.06</v>
      </c>
      <c r="AA41" s="6" t="s">
        <v>43</v>
      </c>
      <c r="AB41" s="9">
        <v>18311.5</v>
      </c>
      <c r="AC41" s="9">
        <v>18311.5</v>
      </c>
      <c r="AH41" s="6" t="s">
        <v>43</v>
      </c>
      <c r="AI41" s="9">
        <v>6874.76</v>
      </c>
      <c r="AJ41" s="9">
        <v>10049.14</v>
      </c>
      <c r="AK41" s="9">
        <v>18235.88</v>
      </c>
      <c r="AL41" s="9">
        <v>18311.5</v>
      </c>
      <c r="AM41" s="9">
        <v>53471.28</v>
      </c>
    </row>
    <row r="42" spans="6:39" x14ac:dyDescent="0.55000000000000004">
      <c r="F42" s="6" t="s">
        <v>26</v>
      </c>
      <c r="G42" s="12">
        <v>0.45920888981486441</v>
      </c>
      <c r="J42" s="6" t="s">
        <v>45</v>
      </c>
      <c r="K42" s="11">
        <v>0.15351876555466659</v>
      </c>
      <c r="O42" s="6" t="s">
        <v>1054</v>
      </c>
      <c r="P42" s="9">
        <v>1878</v>
      </c>
      <c r="S42" s="6" t="s">
        <v>1095</v>
      </c>
      <c r="T42" s="9">
        <v>2508.65</v>
      </c>
      <c r="U42" s="9">
        <v>5405.4</v>
      </c>
      <c r="V42" s="9">
        <v>6674.56</v>
      </c>
      <c r="W42" s="9">
        <v>7287.13</v>
      </c>
      <c r="X42" s="9">
        <v>21875.74</v>
      </c>
      <c r="AA42" s="6" t="s">
        <v>21</v>
      </c>
      <c r="AB42" s="9">
        <v>20511.37</v>
      </c>
      <c r="AC42" s="9">
        <v>20511.37</v>
      </c>
      <c r="AH42" s="6" t="s">
        <v>21</v>
      </c>
      <c r="AI42" s="9">
        <v>8101.69</v>
      </c>
      <c r="AJ42" s="9">
        <v>10741.07</v>
      </c>
      <c r="AK42" s="9">
        <v>7497.05</v>
      </c>
      <c r="AL42" s="9">
        <v>20511.37</v>
      </c>
      <c r="AM42" s="9">
        <v>46851.18</v>
      </c>
    </row>
    <row r="43" spans="6:39" x14ac:dyDescent="0.55000000000000004">
      <c r="F43" s="6" t="s">
        <v>1046</v>
      </c>
      <c r="G43" s="12">
        <v>1</v>
      </c>
      <c r="J43" s="6" t="s">
        <v>43</v>
      </c>
      <c r="K43" s="11">
        <v>0.1544574966692295</v>
      </c>
      <c r="O43" s="6" t="s">
        <v>1046</v>
      </c>
      <c r="P43" s="9">
        <v>2091</v>
      </c>
      <c r="S43" s="6" t="s">
        <v>1046</v>
      </c>
      <c r="T43" s="9">
        <v>37832.230000000003</v>
      </c>
      <c r="U43" s="9">
        <v>67744.899999999994</v>
      </c>
      <c r="V43" s="9">
        <v>83456.600000000006</v>
      </c>
      <c r="W43" s="9">
        <v>118553.65</v>
      </c>
      <c r="X43" s="9">
        <v>307587.38</v>
      </c>
      <c r="AA43" s="6" t="s">
        <v>31</v>
      </c>
      <c r="AB43" s="9">
        <v>20946.71</v>
      </c>
      <c r="AC43" s="9">
        <v>20946.71</v>
      </c>
      <c r="AH43" s="6" t="s">
        <v>31</v>
      </c>
      <c r="AI43" s="9">
        <v>4604.16</v>
      </c>
      <c r="AJ43" s="9">
        <v>14465.15</v>
      </c>
      <c r="AK43" s="9">
        <v>11281.04</v>
      </c>
      <c r="AL43" s="9">
        <v>20946.71</v>
      </c>
      <c r="AM43" s="9">
        <v>51297.06</v>
      </c>
    </row>
    <row r="44" spans="6:39" x14ac:dyDescent="0.55000000000000004">
      <c r="J44" s="6" t="s">
        <v>21</v>
      </c>
      <c r="K44" s="11">
        <v>0.17301339941874416</v>
      </c>
      <c r="M44" s="5" t="s">
        <v>1052</v>
      </c>
      <c r="N44" t="s" vm="1">
        <v>1107</v>
      </c>
      <c r="AA44" s="6" t="s">
        <v>35</v>
      </c>
      <c r="AB44" s="9">
        <v>16225.76</v>
      </c>
      <c r="AC44" s="9">
        <v>16225.76</v>
      </c>
      <c r="AH44" s="6" t="s">
        <v>35</v>
      </c>
      <c r="AI44" s="9">
        <v>7396.18</v>
      </c>
      <c r="AJ44" s="9">
        <v>11097.94</v>
      </c>
      <c r="AK44" s="9">
        <v>17778.05</v>
      </c>
      <c r="AL44" s="9">
        <v>16225.76</v>
      </c>
      <c r="AM44" s="9">
        <v>52497.93</v>
      </c>
    </row>
    <row r="45" spans="6:39" x14ac:dyDescent="0.55000000000000004">
      <c r="F45" s="10"/>
      <c r="G45" s="10"/>
      <c r="J45" s="6" t="s">
        <v>31</v>
      </c>
      <c r="K45" s="11">
        <v>0.17668549218012267</v>
      </c>
      <c r="AA45" s="6" t="s">
        <v>1046</v>
      </c>
      <c r="AB45" s="9">
        <v>118553.65</v>
      </c>
      <c r="AC45" s="9">
        <v>118553.65</v>
      </c>
      <c r="AH45" s="6" t="s">
        <v>1046</v>
      </c>
      <c r="AI45" s="9">
        <v>37832.230000000003</v>
      </c>
      <c r="AJ45" s="9">
        <v>67744.899999999994</v>
      </c>
      <c r="AK45" s="9">
        <v>83456.600000000006</v>
      </c>
      <c r="AL45" s="9">
        <v>118553.65</v>
      </c>
      <c r="AM45" s="9">
        <v>307587.38</v>
      </c>
    </row>
    <row r="46" spans="6:39" x14ac:dyDescent="0.55000000000000004">
      <c r="F46" s="10"/>
      <c r="G46" s="10"/>
      <c r="J46" s="6" t="s">
        <v>35</v>
      </c>
      <c r="K46" s="11">
        <v>0.13686428043337343</v>
      </c>
      <c r="M46" s="5" t="s">
        <v>1047</v>
      </c>
      <c r="N46" s="5" t="s">
        <v>1082</v>
      </c>
    </row>
    <row r="47" spans="6:39" x14ac:dyDescent="0.55000000000000004">
      <c r="J47" s="6" t="s">
        <v>1046</v>
      </c>
      <c r="K47" s="11">
        <v>1</v>
      </c>
      <c r="M47" s="5" t="s">
        <v>1045</v>
      </c>
      <c r="N47" t="s">
        <v>1106</v>
      </c>
      <c r="O47" t="s">
        <v>1080</v>
      </c>
      <c r="P47" t="s">
        <v>1046</v>
      </c>
    </row>
    <row r="48" spans="6:39" x14ac:dyDescent="0.55000000000000004">
      <c r="M48" s="6" t="s">
        <v>1071</v>
      </c>
      <c r="N48" s="9">
        <v>3680.67</v>
      </c>
      <c r="O48" s="9">
        <v>35035.5</v>
      </c>
      <c r="P48" s="9">
        <v>38716.17</v>
      </c>
      <c r="AA48" s="24" t="s">
        <v>1108</v>
      </c>
      <c r="AB48" s="25" t="str">
        <f>"PRODUCT LINE SALES "&amp;AB50&amp;" VS. "&amp;AC50</f>
        <v>PRODUCT LINE SALES 2022 VS. 2021</v>
      </c>
      <c r="AC48" s="25"/>
      <c r="AD48" s="23"/>
    </row>
    <row r="49" spans="13:39" x14ac:dyDescent="0.55000000000000004">
      <c r="M49" s="6" t="s">
        <v>1073</v>
      </c>
      <c r="N49" s="9">
        <v>3704.48</v>
      </c>
      <c r="O49" s="9">
        <v>35181.29</v>
      </c>
      <c r="P49" s="9">
        <v>38885.769999999997</v>
      </c>
    </row>
    <row r="50" spans="13:39" x14ac:dyDescent="0.55000000000000004">
      <c r="M50" s="6" t="s">
        <v>1072</v>
      </c>
      <c r="N50" s="9">
        <v>6020.39</v>
      </c>
      <c r="O50" s="9">
        <v>34931.32</v>
      </c>
      <c r="P50" s="9">
        <v>40951.71</v>
      </c>
      <c r="AA50" t="str">
        <f>AA38</f>
        <v>Row Labels</v>
      </c>
      <c r="AB50">
        <f>AB38</f>
        <v>2022</v>
      </c>
      <c r="AC50">
        <f>AB50-1</f>
        <v>2021</v>
      </c>
      <c r="AD50" t="str">
        <f xml:space="preserve"> "Increase "&amp;AB50</f>
        <v>Increase 2022</v>
      </c>
      <c r="AE50" t="str">
        <f>"Decrease "&amp;AB50</f>
        <v>Decrease 2022</v>
      </c>
    </row>
    <row r="51" spans="13:39" x14ac:dyDescent="0.55000000000000004">
      <c r="M51" s="6" t="s">
        <v>1046</v>
      </c>
      <c r="N51" s="9">
        <v>13405.54</v>
      </c>
      <c r="O51" s="9">
        <v>105148.11</v>
      </c>
      <c r="P51" s="9">
        <v>118553.65</v>
      </c>
      <c r="Q51" s="5" t="s">
        <v>1052</v>
      </c>
      <c r="R51" t="s" vm="1">
        <v>1107</v>
      </c>
      <c r="AA51" s="8" t="str">
        <f t="shared" ref="AA51:AA56" si="11">AA39</f>
        <v>Electronic accessories</v>
      </c>
      <c r="AB51" s="30">
        <f t="shared" ref="AB51:AB56" si="12">AB39</f>
        <v>24358.1</v>
      </c>
      <c r="AC51" s="30">
        <f t="shared" ref="AC51:AC56" si="13">VLOOKUP(AA51,$AH$38:$AM$45,MATCH($AC$50,$AH$38:$AM$38,0),0)</f>
        <v>9737.34</v>
      </c>
      <c r="AD51" s="28">
        <f t="shared" ref="AD51:AD56" si="14">IF(AB51&gt;AC51,AB51,"")</f>
        <v>24358.1</v>
      </c>
      <c r="AE51" s="29" t="str">
        <f t="shared" ref="AE51:AE56" si="15">IF(AB51&lt;AC51,AB51,"")</f>
        <v/>
      </c>
    </row>
    <row r="52" spans="13:39" x14ac:dyDescent="0.55000000000000004">
      <c r="AA52" s="8" t="str">
        <f t="shared" si="11"/>
        <v>Fashion accessories</v>
      </c>
      <c r="AB52" s="30">
        <f t="shared" si="12"/>
        <v>18200.21</v>
      </c>
      <c r="AC52" s="30">
        <f t="shared" si="13"/>
        <v>18927.240000000002</v>
      </c>
      <c r="AD52" s="28" t="str">
        <f t="shared" si="14"/>
        <v/>
      </c>
      <c r="AE52" s="29">
        <f t="shared" si="15"/>
        <v>18200.21</v>
      </c>
    </row>
    <row r="53" spans="13:39" x14ac:dyDescent="0.55000000000000004">
      <c r="Q53" s="5" t="s">
        <v>1045</v>
      </c>
      <c r="R53" t="s">
        <v>1047</v>
      </c>
      <c r="S53" t="s">
        <v>1059</v>
      </c>
      <c r="AA53" s="8" t="str">
        <f t="shared" si="11"/>
        <v>Food and beverages</v>
      </c>
      <c r="AB53" s="30">
        <f t="shared" si="12"/>
        <v>18311.5</v>
      </c>
      <c r="AC53" s="30">
        <f t="shared" si="13"/>
        <v>18235.88</v>
      </c>
      <c r="AD53" s="28">
        <f t="shared" si="14"/>
        <v>18311.5</v>
      </c>
      <c r="AE53" s="29" t="str">
        <f t="shared" si="15"/>
        <v/>
      </c>
    </row>
    <row r="54" spans="13:39" x14ac:dyDescent="0.55000000000000004">
      <c r="M54" s="5" t="s">
        <v>1074</v>
      </c>
      <c r="N54" s="5" t="s">
        <v>1082</v>
      </c>
      <c r="Q54" s="6" t="s">
        <v>1039</v>
      </c>
      <c r="R54" s="9">
        <v>38716.17</v>
      </c>
      <c r="S54" s="9">
        <v>9679.0424999999996</v>
      </c>
      <c r="AA54" s="8" t="str">
        <f t="shared" si="11"/>
        <v>Health and beauty</v>
      </c>
      <c r="AB54" s="30">
        <f t="shared" si="12"/>
        <v>20511.37</v>
      </c>
      <c r="AC54" s="30">
        <f t="shared" si="13"/>
        <v>7497.05</v>
      </c>
      <c r="AD54" s="28">
        <f t="shared" si="14"/>
        <v>20511.37</v>
      </c>
      <c r="AE54" s="29" t="str">
        <f t="shared" si="15"/>
        <v/>
      </c>
    </row>
    <row r="55" spans="13:39" x14ac:dyDescent="0.55000000000000004">
      <c r="M55" s="5" t="s">
        <v>1045</v>
      </c>
      <c r="N55" t="s">
        <v>1081</v>
      </c>
      <c r="O55" t="s">
        <v>1080</v>
      </c>
      <c r="P55" t="s">
        <v>1046</v>
      </c>
      <c r="Q55" s="6" t="s">
        <v>1040</v>
      </c>
      <c r="R55" s="9">
        <v>38885.769999999997</v>
      </c>
      <c r="S55" s="9">
        <v>9721.4424999999992</v>
      </c>
      <c r="AA55" s="8" t="str">
        <f t="shared" si="11"/>
        <v>Home and lifestyle</v>
      </c>
      <c r="AB55" s="30">
        <f t="shared" si="12"/>
        <v>20946.71</v>
      </c>
      <c r="AC55" s="30">
        <f t="shared" si="13"/>
        <v>11281.04</v>
      </c>
      <c r="AD55" s="28">
        <f t="shared" si="14"/>
        <v>20946.71</v>
      </c>
      <c r="AE55" s="29" t="str">
        <f t="shared" si="15"/>
        <v/>
      </c>
    </row>
    <row r="56" spans="13:39" x14ac:dyDescent="0.55000000000000004">
      <c r="M56" s="6" t="s">
        <v>35</v>
      </c>
      <c r="N56" s="9">
        <v>19</v>
      </c>
      <c r="O56" s="9">
        <v>281</v>
      </c>
      <c r="P56" s="9">
        <v>300</v>
      </c>
      <c r="Q56" s="6" t="s">
        <v>1041</v>
      </c>
      <c r="R56" s="9">
        <v>40951.71</v>
      </c>
      <c r="S56" s="9">
        <v>10237.9275</v>
      </c>
      <c r="AA56" s="8" t="str">
        <f t="shared" si="11"/>
        <v>Sports and travel</v>
      </c>
      <c r="AB56" s="30">
        <f t="shared" si="12"/>
        <v>16225.76</v>
      </c>
      <c r="AC56" s="30">
        <f t="shared" si="13"/>
        <v>17778.05</v>
      </c>
      <c r="AD56" s="28" t="str">
        <f t="shared" si="14"/>
        <v/>
      </c>
      <c r="AE56" s="29">
        <f t="shared" si="15"/>
        <v>16225.76</v>
      </c>
    </row>
    <row r="57" spans="13:39" x14ac:dyDescent="0.55000000000000004">
      <c r="M57" s="6" t="s">
        <v>45</v>
      </c>
      <c r="N57" s="9">
        <v>21</v>
      </c>
      <c r="O57" s="9">
        <v>305</v>
      </c>
      <c r="P57" s="9">
        <v>326</v>
      </c>
      <c r="Q57" s="6" t="s">
        <v>1046</v>
      </c>
      <c r="R57" s="15">
        <v>118553.65</v>
      </c>
      <c r="S57" s="15">
        <v>29638.412499999999</v>
      </c>
    </row>
    <row r="58" spans="13:39" x14ac:dyDescent="0.55000000000000004">
      <c r="M58" s="6" t="s">
        <v>21</v>
      </c>
      <c r="N58" s="9">
        <v>33</v>
      </c>
      <c r="O58" s="9">
        <v>323</v>
      </c>
      <c r="P58" s="9">
        <v>356</v>
      </c>
    </row>
    <row r="59" spans="13:39" x14ac:dyDescent="0.55000000000000004">
      <c r="M59" s="6" t="s">
        <v>31</v>
      </c>
      <c r="N59" s="9">
        <v>43</v>
      </c>
      <c r="O59" s="9">
        <v>314</v>
      </c>
      <c r="P59" s="9">
        <v>357</v>
      </c>
    </row>
    <row r="60" spans="13:39" x14ac:dyDescent="0.55000000000000004">
      <c r="M60" s="6" t="s">
        <v>27</v>
      </c>
      <c r="N60" s="9">
        <v>46</v>
      </c>
      <c r="O60" s="9">
        <v>369</v>
      </c>
      <c r="P60" s="9">
        <v>415</v>
      </c>
      <c r="AA60" s="5" t="s">
        <v>1047</v>
      </c>
      <c r="AB60" s="5" t="s">
        <v>1082</v>
      </c>
      <c r="AH60" s="5" t="s">
        <v>1047</v>
      </c>
      <c r="AI60" s="5" t="s">
        <v>1082</v>
      </c>
    </row>
    <row r="61" spans="13:39" x14ac:dyDescent="0.55000000000000004">
      <c r="M61" s="6" t="s">
        <v>43</v>
      </c>
      <c r="N61" s="9">
        <v>51</v>
      </c>
      <c r="O61" s="9">
        <v>286</v>
      </c>
      <c r="P61" s="9">
        <v>337</v>
      </c>
      <c r="AA61" s="5" t="s">
        <v>1045</v>
      </c>
      <c r="AB61">
        <v>2022</v>
      </c>
      <c r="AC61" t="s">
        <v>1046</v>
      </c>
      <c r="AH61" s="5" t="s">
        <v>1045</v>
      </c>
      <c r="AI61">
        <v>2019</v>
      </c>
      <c r="AJ61">
        <v>2020</v>
      </c>
      <c r="AK61">
        <v>2021</v>
      </c>
      <c r="AL61">
        <v>2022</v>
      </c>
      <c r="AM61" t="s">
        <v>1046</v>
      </c>
    </row>
    <row r="62" spans="13:39" x14ac:dyDescent="0.55000000000000004">
      <c r="M62" s="6" t="s">
        <v>1046</v>
      </c>
      <c r="N62" s="9">
        <v>213</v>
      </c>
      <c r="O62" s="9">
        <v>1878</v>
      </c>
      <c r="P62" s="9">
        <v>2091</v>
      </c>
      <c r="AA62" s="6" t="s">
        <v>1055</v>
      </c>
      <c r="AB62" s="9">
        <v>13405.54</v>
      </c>
      <c r="AC62" s="9">
        <v>13405.54</v>
      </c>
      <c r="AH62" s="6" t="s">
        <v>1055</v>
      </c>
      <c r="AI62" s="9">
        <v>8002.93</v>
      </c>
      <c r="AJ62" s="9">
        <v>15407.27</v>
      </c>
      <c r="AK62" s="9">
        <v>8576.52</v>
      </c>
      <c r="AL62" s="9">
        <v>13405.54</v>
      </c>
      <c r="AM62" s="9">
        <v>45392.26</v>
      </c>
    </row>
    <row r="63" spans="13:39" x14ac:dyDescent="0.55000000000000004">
      <c r="Q63" s="5" t="s">
        <v>1052</v>
      </c>
      <c r="R63" t="s" vm="1">
        <v>1107</v>
      </c>
      <c r="AA63" s="31" t="s">
        <v>1071</v>
      </c>
      <c r="AB63" s="9">
        <v>3680.67</v>
      </c>
      <c r="AC63" s="9">
        <v>3680.67</v>
      </c>
      <c r="AH63" s="31" t="s">
        <v>1071</v>
      </c>
      <c r="AI63" s="9">
        <v>4865.26</v>
      </c>
      <c r="AJ63" s="9">
        <v>5544.3</v>
      </c>
      <c r="AK63" s="9">
        <v>3019.83</v>
      </c>
      <c r="AL63" s="9">
        <v>3680.67</v>
      </c>
      <c r="AM63" s="9">
        <v>17110.060000000001</v>
      </c>
    </row>
    <row r="64" spans="13:39" x14ac:dyDescent="0.55000000000000004">
      <c r="AA64" s="31" t="s">
        <v>1072</v>
      </c>
      <c r="AB64" s="9">
        <v>6020.39</v>
      </c>
      <c r="AC64" s="9">
        <v>6020.39</v>
      </c>
      <c r="AH64" s="31" t="s">
        <v>1072</v>
      </c>
      <c r="AI64" s="9">
        <v>1297.74</v>
      </c>
      <c r="AJ64" s="9">
        <v>4358.84</v>
      </c>
      <c r="AK64" s="9">
        <v>2693.12</v>
      </c>
      <c r="AL64" s="9">
        <v>6020.39</v>
      </c>
      <c r="AM64" s="9">
        <v>14370.09</v>
      </c>
    </row>
    <row r="65" spans="15:39" x14ac:dyDescent="0.55000000000000004">
      <c r="Q65" s="5" t="s">
        <v>1045</v>
      </c>
      <c r="R65" t="s">
        <v>1096</v>
      </c>
      <c r="AA65" s="31" t="s">
        <v>1073</v>
      </c>
      <c r="AB65" s="9">
        <v>3704.48</v>
      </c>
      <c r="AC65" s="9">
        <v>3704.48</v>
      </c>
      <c r="AH65" s="31" t="s">
        <v>1073</v>
      </c>
      <c r="AI65" s="9">
        <v>1839.93</v>
      </c>
      <c r="AJ65" s="9">
        <v>5504.13</v>
      </c>
      <c r="AK65" s="9">
        <v>2863.57</v>
      </c>
      <c r="AL65" s="9">
        <v>3704.48</v>
      </c>
      <c r="AM65" s="9">
        <v>13912.11</v>
      </c>
    </row>
    <row r="66" spans="15:39" x14ac:dyDescent="0.55000000000000004">
      <c r="Q66" s="6" t="s">
        <v>1039</v>
      </c>
      <c r="R66" s="15">
        <v>6.9499999999999993</v>
      </c>
      <c r="S66" s="15" t="str">
        <f t="shared" ref="S66:T68" si="16">Q66</f>
        <v>Ahmed Elminofy</v>
      </c>
      <c r="T66" s="16">
        <f t="shared" si="16"/>
        <v>6.9499999999999993</v>
      </c>
      <c r="U66">
        <v>10</v>
      </c>
      <c r="AA66" s="6" t="s">
        <v>1053</v>
      </c>
      <c r="AB66" s="9">
        <v>105148.11</v>
      </c>
      <c r="AC66" s="9">
        <v>105148.11</v>
      </c>
      <c r="AH66" s="6" t="s">
        <v>1053</v>
      </c>
      <c r="AI66" s="9">
        <v>29829.3</v>
      </c>
      <c r="AJ66" s="9">
        <v>52337.63</v>
      </c>
      <c r="AK66" s="9">
        <v>74880.08</v>
      </c>
      <c r="AL66" s="9">
        <v>105148.11</v>
      </c>
      <c r="AM66" s="9">
        <v>262195.12</v>
      </c>
    </row>
    <row r="67" spans="15:39" x14ac:dyDescent="0.55000000000000004">
      <c r="Q67" s="6" t="s">
        <v>1040</v>
      </c>
      <c r="R67" s="15">
        <v>6.9336134453781515</v>
      </c>
      <c r="S67" s="15" t="str">
        <f t="shared" si="16"/>
        <v>Mohamed Elbanhawy</v>
      </c>
      <c r="T67" s="16">
        <f t="shared" si="16"/>
        <v>6.9336134453781515</v>
      </c>
      <c r="U67">
        <v>10</v>
      </c>
      <c r="AA67" s="6" t="s">
        <v>1046</v>
      </c>
      <c r="AB67" s="9">
        <v>118553.65</v>
      </c>
      <c r="AC67" s="9">
        <v>118553.65</v>
      </c>
      <c r="AH67" s="6" t="s">
        <v>1046</v>
      </c>
      <c r="AI67" s="9">
        <v>37832.230000000003</v>
      </c>
      <c r="AJ67" s="9">
        <v>67744.899999999994</v>
      </c>
      <c r="AK67" s="9">
        <v>83456.600000000006</v>
      </c>
      <c r="AL67" s="9">
        <v>118553.65</v>
      </c>
      <c r="AM67" s="9">
        <v>307587.38</v>
      </c>
    </row>
    <row r="68" spans="15:39" x14ac:dyDescent="0.55000000000000004">
      <c r="Q68" s="6" t="s">
        <v>1041</v>
      </c>
      <c r="R68" s="15">
        <v>6.6586466165413531</v>
      </c>
      <c r="S68" s="15" t="str">
        <f t="shared" si="16"/>
        <v>Mostafa Eltantawy</v>
      </c>
      <c r="T68" s="16">
        <f t="shared" si="16"/>
        <v>6.6586466165413531</v>
      </c>
      <c r="U68">
        <v>10</v>
      </c>
    </row>
    <row r="69" spans="15:39" x14ac:dyDescent="0.55000000000000004">
      <c r="Q69" s="6" t="s">
        <v>1046</v>
      </c>
      <c r="R69" s="15">
        <v>6.8445595854922283</v>
      </c>
    </row>
    <row r="70" spans="15:39" x14ac:dyDescent="0.55000000000000004">
      <c r="AA70" s="24" t="s">
        <v>1108</v>
      </c>
      <c r="AB70" s="25" t="str">
        <f>"RETURNS "&amp;AB72&amp;" VS. "&amp;AC72&amp;" PER BRANCH"</f>
        <v>RETURNS 2022 VS. 2021 PER BRANCH</v>
      </c>
      <c r="AC70" s="25"/>
      <c r="AD70" s="23"/>
    </row>
    <row r="71" spans="15:39" x14ac:dyDescent="0.55000000000000004">
      <c r="O71" s="6"/>
      <c r="P71" s="14"/>
    </row>
    <row r="72" spans="15:39" x14ac:dyDescent="0.55000000000000004">
      <c r="O72" s="6"/>
      <c r="P72" s="14"/>
      <c r="AA72" t="str">
        <f t="shared" ref="AA72:AB76" si="17">AA61</f>
        <v>Row Labels</v>
      </c>
      <c r="AB72">
        <f t="shared" si="17"/>
        <v>2022</v>
      </c>
      <c r="AC72">
        <f>AB72-1</f>
        <v>2021</v>
      </c>
      <c r="AD72" t="str">
        <f xml:space="preserve"> "Increase "&amp;AB72</f>
        <v>Increase 2022</v>
      </c>
      <c r="AE72" t="str">
        <f>"Decrease "&amp;AB72</f>
        <v>Decrease 2022</v>
      </c>
    </row>
    <row r="73" spans="15:39" x14ac:dyDescent="0.55000000000000004">
      <c r="O73" s="6"/>
      <c r="P73" s="14"/>
      <c r="AB73" s="33"/>
      <c r="AC73" s="33"/>
      <c r="AD73" s="28"/>
      <c r="AE73" s="29"/>
    </row>
    <row r="74" spans="15:39" x14ac:dyDescent="0.55000000000000004">
      <c r="O74" s="6"/>
      <c r="P74" s="14"/>
      <c r="AA74" t="str">
        <f t="shared" si="17"/>
        <v>Br. A (Yangon)</v>
      </c>
      <c r="AB74" s="33">
        <f t="shared" si="17"/>
        <v>3680.67</v>
      </c>
      <c r="AC74" s="33">
        <f>VLOOKUP(AA74,$AH$61:$AM$65,MATCH($AC$72,$AH$61:$AM$61,0),0)</f>
        <v>3019.83</v>
      </c>
      <c r="AD74" s="28">
        <f>IF(AB74&gt;AC74,AB74,"")</f>
        <v>3680.67</v>
      </c>
      <c r="AE74" s="29" t="str">
        <f t="shared" ref="AE74:AE76" si="18">IF(AB74&lt;AC74,AB74,"")</f>
        <v/>
      </c>
    </row>
    <row r="75" spans="15:39" x14ac:dyDescent="0.55000000000000004">
      <c r="O75" s="6"/>
      <c r="P75" s="14"/>
      <c r="AA75" t="str">
        <f t="shared" si="17"/>
        <v>Br. B (Mandalay)</v>
      </c>
      <c r="AB75" s="33">
        <f t="shared" si="17"/>
        <v>6020.39</v>
      </c>
      <c r="AC75" s="33">
        <f t="shared" ref="AC75:AC76" si="19">VLOOKUP(AA75,$AH$61:$AM$65,MATCH($AC$72,$AH$61:$AM$61,0),0)</f>
        <v>2693.12</v>
      </c>
      <c r="AD75" s="28">
        <f>IF(AB75&gt;AC75,AB75,"")</f>
        <v>6020.39</v>
      </c>
      <c r="AE75" s="29" t="str">
        <f t="shared" si="18"/>
        <v/>
      </c>
    </row>
    <row r="76" spans="15:39" x14ac:dyDescent="0.55000000000000004">
      <c r="O76" s="6"/>
      <c r="P76" s="14"/>
      <c r="AA76" t="str">
        <f t="shared" si="17"/>
        <v>Br. C (Naypyitaw)</v>
      </c>
      <c r="AB76" s="33">
        <f t="shared" si="17"/>
        <v>3704.48</v>
      </c>
      <c r="AC76" s="33">
        <f t="shared" si="19"/>
        <v>2863.57</v>
      </c>
      <c r="AD76" s="28">
        <f>IF(AB76&gt;AC76,AB76,"")</f>
        <v>3704.48</v>
      </c>
      <c r="AE76" s="29" t="str">
        <f t="shared" si="18"/>
        <v/>
      </c>
    </row>
    <row r="77" spans="15:39" x14ac:dyDescent="0.55000000000000004">
      <c r="O77" s="6"/>
      <c r="P77" s="14"/>
    </row>
    <row r="79" spans="15:39" x14ac:dyDescent="0.55000000000000004">
      <c r="Q79" s="14"/>
    </row>
    <row r="80" spans="15:39" x14ac:dyDescent="0.55000000000000004">
      <c r="AA80" s="5" t="s">
        <v>1047</v>
      </c>
      <c r="AB80" s="5" t="s">
        <v>1082</v>
      </c>
      <c r="AH80" s="5" t="s">
        <v>1047</v>
      </c>
      <c r="AI80" s="5" t="s">
        <v>1082</v>
      </c>
    </row>
    <row r="81" spans="27:39" x14ac:dyDescent="0.55000000000000004">
      <c r="AA81" s="5" t="s">
        <v>1045</v>
      </c>
      <c r="AB81">
        <v>2022</v>
      </c>
      <c r="AC81" t="s">
        <v>1046</v>
      </c>
      <c r="AH81" s="5" t="s">
        <v>1045</v>
      </c>
      <c r="AI81">
        <v>2019</v>
      </c>
      <c r="AJ81">
        <v>2020</v>
      </c>
      <c r="AK81">
        <v>2021</v>
      </c>
      <c r="AL81">
        <v>2022</v>
      </c>
      <c r="AM81" t="s">
        <v>1046</v>
      </c>
    </row>
    <row r="82" spans="27:39" x14ac:dyDescent="0.55000000000000004">
      <c r="AA82" s="6" t="s">
        <v>1055</v>
      </c>
      <c r="AB82" s="9">
        <v>13405.54</v>
      </c>
      <c r="AC82" s="9">
        <v>13405.54</v>
      </c>
      <c r="AH82" s="6" t="s">
        <v>1055</v>
      </c>
      <c r="AI82" s="9">
        <v>8002.93</v>
      </c>
      <c r="AJ82" s="9">
        <v>15407.27</v>
      </c>
      <c r="AK82" s="9">
        <v>8576.52</v>
      </c>
      <c r="AL82" s="9">
        <v>13405.54</v>
      </c>
      <c r="AM82" s="9">
        <v>45392.26</v>
      </c>
    </row>
    <row r="83" spans="27:39" x14ac:dyDescent="0.55000000000000004">
      <c r="AA83" s="31" t="s">
        <v>27</v>
      </c>
      <c r="AB83" s="9">
        <v>3167.36</v>
      </c>
      <c r="AC83" s="9">
        <v>3167.36</v>
      </c>
      <c r="AH83" s="31" t="s">
        <v>27</v>
      </c>
      <c r="AI83" s="9">
        <v>1854.16</v>
      </c>
      <c r="AJ83" s="9">
        <v>72.17</v>
      </c>
      <c r="AK83" s="9">
        <v>303.2</v>
      </c>
      <c r="AL83" s="9">
        <v>3167.36</v>
      </c>
      <c r="AM83" s="9">
        <v>5396.89</v>
      </c>
    </row>
    <row r="84" spans="27:39" x14ac:dyDescent="0.55000000000000004">
      <c r="AA84" s="31" t="s">
        <v>45</v>
      </c>
      <c r="AB84" s="9">
        <v>873.03</v>
      </c>
      <c r="AC84" s="9">
        <v>873.03</v>
      </c>
      <c r="AH84" s="31" t="s">
        <v>45</v>
      </c>
      <c r="AI84" s="9">
        <v>57.92</v>
      </c>
      <c r="AJ84" s="9">
        <v>2406.52</v>
      </c>
      <c r="AK84" s="9">
        <v>2384.79</v>
      </c>
      <c r="AL84" s="9">
        <v>873.03</v>
      </c>
      <c r="AM84" s="9">
        <v>5722.26</v>
      </c>
    </row>
    <row r="85" spans="27:39" x14ac:dyDescent="0.55000000000000004">
      <c r="AA85" s="31" t="s">
        <v>43</v>
      </c>
      <c r="AB85" s="9">
        <v>3334.32</v>
      </c>
      <c r="AC85" s="9">
        <v>3334.32</v>
      </c>
      <c r="AH85" s="31" t="s">
        <v>43</v>
      </c>
      <c r="AI85" s="9">
        <v>760.43</v>
      </c>
      <c r="AJ85" s="9">
        <v>2363.64</v>
      </c>
      <c r="AK85" s="9">
        <v>1987.75</v>
      </c>
      <c r="AL85" s="9">
        <v>3334.32</v>
      </c>
      <c r="AM85" s="9">
        <v>8446.14</v>
      </c>
    </row>
    <row r="86" spans="27:39" x14ac:dyDescent="0.55000000000000004">
      <c r="AA86" s="31" t="s">
        <v>21</v>
      </c>
      <c r="AB86" s="9">
        <v>2148.5500000000002</v>
      </c>
      <c r="AC86" s="9">
        <v>2148.5500000000002</v>
      </c>
      <c r="AH86" s="31" t="s">
        <v>21</v>
      </c>
      <c r="AI86" s="9">
        <v>2521.36</v>
      </c>
      <c r="AJ86" s="9">
        <v>3958.39</v>
      </c>
      <c r="AK86" s="9">
        <v>1775.81</v>
      </c>
      <c r="AL86" s="9">
        <v>2148.5500000000002</v>
      </c>
      <c r="AM86" s="9">
        <v>10404.11</v>
      </c>
    </row>
    <row r="87" spans="27:39" x14ac:dyDescent="0.55000000000000004">
      <c r="AA87" s="31" t="s">
        <v>31</v>
      </c>
      <c r="AB87" s="9">
        <v>2238.96</v>
      </c>
      <c r="AC87" s="9">
        <v>2238.96</v>
      </c>
      <c r="AH87" s="31" t="s">
        <v>31</v>
      </c>
      <c r="AI87" s="9">
        <v>1206.9100000000001</v>
      </c>
      <c r="AJ87" s="9">
        <v>2456.3000000000002</v>
      </c>
      <c r="AK87" s="9">
        <v>1136.25</v>
      </c>
      <c r="AL87" s="9">
        <v>2238.96</v>
      </c>
      <c r="AM87" s="9">
        <v>7038.42</v>
      </c>
    </row>
    <row r="88" spans="27:39" x14ac:dyDescent="0.55000000000000004">
      <c r="AA88" s="31" t="s">
        <v>35</v>
      </c>
      <c r="AB88" s="9">
        <v>1643.32</v>
      </c>
      <c r="AC88" s="9">
        <v>1643.32</v>
      </c>
      <c r="AH88" s="31" t="s">
        <v>35</v>
      </c>
      <c r="AI88" s="9">
        <v>1602.15</v>
      </c>
      <c r="AJ88" s="9">
        <v>4150.25</v>
      </c>
      <c r="AK88" s="9">
        <v>988.72</v>
      </c>
      <c r="AL88" s="9">
        <v>1643.32</v>
      </c>
      <c r="AM88" s="9">
        <v>8384.44</v>
      </c>
    </row>
    <row r="89" spans="27:39" x14ac:dyDescent="0.55000000000000004">
      <c r="AA89" s="6" t="s">
        <v>1053</v>
      </c>
      <c r="AB89" s="9">
        <v>105148.11</v>
      </c>
      <c r="AC89" s="9">
        <v>105148.11</v>
      </c>
      <c r="AH89" s="6" t="s">
        <v>1053</v>
      </c>
      <c r="AI89" s="9">
        <v>29829.3</v>
      </c>
      <c r="AJ89" s="9">
        <v>52337.63</v>
      </c>
      <c r="AK89" s="9">
        <v>74880.08</v>
      </c>
      <c r="AL89" s="9">
        <v>105148.11</v>
      </c>
      <c r="AM89" s="9">
        <v>262195.12</v>
      </c>
    </row>
    <row r="90" spans="27:39" x14ac:dyDescent="0.55000000000000004">
      <c r="AA90" s="6" t="s">
        <v>1046</v>
      </c>
      <c r="AB90" s="9">
        <v>118553.65</v>
      </c>
      <c r="AC90" s="9">
        <v>118553.65</v>
      </c>
      <c r="AH90" s="6" t="s">
        <v>1046</v>
      </c>
      <c r="AI90" s="9">
        <v>37832.230000000003</v>
      </c>
      <c r="AJ90" s="9">
        <v>67744.899999999994</v>
      </c>
      <c r="AK90" s="9">
        <v>83456.600000000006</v>
      </c>
      <c r="AL90" s="9">
        <v>118553.65</v>
      </c>
      <c r="AM90" s="9">
        <v>307587.38</v>
      </c>
    </row>
    <row r="94" spans="27:39" x14ac:dyDescent="0.55000000000000004">
      <c r="AA94" s="24" t="s">
        <v>1108</v>
      </c>
      <c r="AB94" s="25" t="str">
        <f>"RETURNS "&amp;AB96&amp;" VS. "&amp;AC96&amp;" PER PRODUCT LINE"</f>
        <v>RETURNS 2022 VS. 2021 PER PRODUCT LINE</v>
      </c>
      <c r="AC94" s="25"/>
      <c r="AD94" s="23"/>
    </row>
    <row r="96" spans="27:39" x14ac:dyDescent="0.55000000000000004">
      <c r="AA96" t="str">
        <f>AA81</f>
        <v>Row Labels</v>
      </c>
      <c r="AB96">
        <f>AB81</f>
        <v>2022</v>
      </c>
      <c r="AC96">
        <f>AB96-1</f>
        <v>2021</v>
      </c>
      <c r="AD96" t="str">
        <f xml:space="preserve"> "Increase "&amp;AB96</f>
        <v>Increase 2022</v>
      </c>
      <c r="AE96" t="str">
        <f>"Decrease "&amp;AB96</f>
        <v>Decrease 2022</v>
      </c>
    </row>
    <row r="97" spans="27:31" x14ac:dyDescent="0.55000000000000004">
      <c r="AB97" s="33"/>
      <c r="AC97" s="33"/>
      <c r="AD97" s="28"/>
      <c r="AE97" s="29"/>
    </row>
    <row r="98" spans="27:31" x14ac:dyDescent="0.55000000000000004">
      <c r="AA98" t="str">
        <f t="shared" ref="AA98:AA103" si="20">AA83</f>
        <v>Electronic accessories</v>
      </c>
      <c r="AB98" s="33">
        <f t="shared" ref="AB98:AB103" si="21">AB83</f>
        <v>3167.36</v>
      </c>
      <c r="AC98" s="33">
        <f t="shared" ref="AC98:AC103" si="22">VLOOKUP(AA98,$AH$81:$AM$88,MATCH($AC$96,$AH$81:$AM$81,0),0)</f>
        <v>303.2</v>
      </c>
      <c r="AD98" s="28">
        <f t="shared" ref="AD98:AD103" si="23">IF(AB98&gt;AC98,AB98,"")</f>
        <v>3167.36</v>
      </c>
      <c r="AE98" s="29" t="str">
        <f t="shared" ref="AE98:AE103" si="24">IF(AB98&lt;AC98,AB98,"")</f>
        <v/>
      </c>
    </row>
    <row r="99" spans="27:31" x14ac:dyDescent="0.55000000000000004">
      <c r="AA99" t="str">
        <f t="shared" si="20"/>
        <v>Fashion accessories</v>
      </c>
      <c r="AB99" s="33">
        <f t="shared" si="21"/>
        <v>873.03</v>
      </c>
      <c r="AC99" s="33">
        <f t="shared" si="22"/>
        <v>2384.79</v>
      </c>
      <c r="AD99" s="28" t="str">
        <f t="shared" si="23"/>
        <v/>
      </c>
      <c r="AE99" s="29">
        <f t="shared" si="24"/>
        <v>873.03</v>
      </c>
    </row>
    <row r="100" spans="27:31" x14ac:dyDescent="0.55000000000000004">
      <c r="AA100" t="str">
        <f t="shared" si="20"/>
        <v>Food and beverages</v>
      </c>
      <c r="AB100" s="33">
        <f t="shared" si="21"/>
        <v>3334.32</v>
      </c>
      <c r="AC100" s="33">
        <f t="shared" si="22"/>
        <v>1987.75</v>
      </c>
      <c r="AD100" s="28">
        <f t="shared" si="23"/>
        <v>3334.32</v>
      </c>
      <c r="AE100" s="29" t="str">
        <f t="shared" si="24"/>
        <v/>
      </c>
    </row>
    <row r="101" spans="27:31" x14ac:dyDescent="0.55000000000000004">
      <c r="AA101" t="str">
        <f t="shared" si="20"/>
        <v>Health and beauty</v>
      </c>
      <c r="AB101" s="33">
        <f>AB86</f>
        <v>2148.5500000000002</v>
      </c>
      <c r="AC101" s="33">
        <f t="shared" si="22"/>
        <v>1775.81</v>
      </c>
      <c r="AD101" s="28">
        <f>IF(AB101&gt;AC101,AB101,"")</f>
        <v>2148.5500000000002</v>
      </c>
      <c r="AE101" s="29" t="str">
        <f t="shared" si="24"/>
        <v/>
      </c>
    </row>
    <row r="102" spans="27:31" x14ac:dyDescent="0.55000000000000004">
      <c r="AA102" t="str">
        <f t="shared" si="20"/>
        <v>Home and lifestyle</v>
      </c>
      <c r="AB102" s="33">
        <f t="shared" si="21"/>
        <v>2238.96</v>
      </c>
      <c r="AC102" s="33">
        <f t="shared" si="22"/>
        <v>1136.25</v>
      </c>
      <c r="AD102" s="28">
        <f t="shared" si="23"/>
        <v>2238.96</v>
      </c>
      <c r="AE102" s="29" t="str">
        <f t="shared" si="24"/>
        <v/>
      </c>
    </row>
    <row r="103" spans="27:31" x14ac:dyDescent="0.55000000000000004">
      <c r="AA103" t="str">
        <f t="shared" si="20"/>
        <v>Sports and travel</v>
      </c>
      <c r="AB103" s="33">
        <f t="shared" si="21"/>
        <v>1643.32</v>
      </c>
      <c r="AC103" s="33">
        <f t="shared" si="22"/>
        <v>988.72</v>
      </c>
      <c r="AD103" s="28">
        <f t="shared" si="23"/>
        <v>1643.32</v>
      </c>
      <c r="AE103" s="29" t="str">
        <f t="shared" si="24"/>
        <v/>
      </c>
    </row>
  </sheetData>
  <pageMargins left="0.7" right="0.7" top="0.75" bottom="0.75" header="0.3" footer="0.3"/>
  <pageSetup orientation="portrait" r:id="rId3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J11"/>
  <sheetViews>
    <sheetView showGridLines="0" tabSelected="1" zoomScale="58" zoomScaleNormal="58" zoomScaleSheetLayoutView="58" workbookViewId="0">
      <selection activeCell="R30" sqref="R30"/>
    </sheetView>
  </sheetViews>
  <sheetFormatPr defaultRowHeight="14.4" x14ac:dyDescent="0.55000000000000004"/>
  <cols>
    <col min="1" max="9" width="8.83984375" style="3"/>
    <col min="10" max="10" width="13.578125" style="3" bestFit="1" customWidth="1"/>
    <col min="11" max="16384" width="8.83984375" style="3"/>
  </cols>
  <sheetData>
    <row r="11" spans="10:10" ht="30.6" x14ac:dyDescent="1.1000000000000001">
      <c r="J11" s="4"/>
    </row>
  </sheetData>
  <printOptions horizontalCentered="1" verticalCentered="1"/>
  <pageMargins left="0" right="0" top="0" bottom="0" header="0" footer="0"/>
  <pageSetup paperSize="3" scale="58" orientation="landscape"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J11"/>
  <sheetViews>
    <sheetView showGridLines="0" zoomScale="58" zoomScaleNormal="58" workbookViewId="0">
      <selection activeCell="R30" sqref="R30"/>
    </sheetView>
  </sheetViews>
  <sheetFormatPr defaultRowHeight="14.4" x14ac:dyDescent="0.55000000000000004"/>
  <cols>
    <col min="1" max="9" width="8.83984375" style="3"/>
    <col min="10" max="10" width="13.578125" style="3" bestFit="1" customWidth="1"/>
    <col min="11" max="16384" width="8.83984375" style="3"/>
  </cols>
  <sheetData>
    <row r="11" spans="10:10" ht="30.6" x14ac:dyDescent="1.1000000000000001">
      <c r="J11" s="4"/>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J11"/>
  <sheetViews>
    <sheetView showGridLines="0" zoomScale="58" zoomScaleNormal="58" workbookViewId="0">
      <selection activeCell="R30" sqref="R30"/>
    </sheetView>
  </sheetViews>
  <sheetFormatPr defaultRowHeight="14.4" x14ac:dyDescent="0.55000000000000004"/>
  <cols>
    <col min="1" max="9" width="8.83984375" style="3"/>
    <col min="10" max="10" width="13.578125" style="3" bestFit="1" customWidth="1"/>
    <col min="11" max="16384" width="8.83984375" style="3"/>
  </cols>
  <sheetData>
    <row r="11" spans="10:10" ht="30.6" x14ac:dyDescent="1.1000000000000001">
      <c r="J11" s="4"/>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88C5ED-AF66-4B71-9FD8-6B1B20C0F6F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Data</vt:lpstr>
      <vt:lpstr>returns</vt:lpstr>
      <vt:lpstr>Rep</vt:lpstr>
      <vt:lpstr>Pivots</vt:lpstr>
      <vt:lpstr>Dashboard</vt:lpstr>
      <vt:lpstr>Dashboard (2)</vt:lpstr>
      <vt:lpstr>Dashboard (3)</vt:lpstr>
      <vt:lpstr>Dashboard!Print_Area</vt:lpstr>
      <vt:lpstr>'Dashboard (2)'!Print_Area</vt:lpstr>
      <vt:lpstr>'Dashboard (3)'!Print_Area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Abo Elghar</dc:creator>
  <cp:lastModifiedBy>Amira</cp:lastModifiedBy>
  <cp:lastPrinted>2026-05-02T16:59:24Z</cp:lastPrinted>
  <dcterms:created xsi:type="dcterms:W3CDTF">2025-02-13T11:24:09Z</dcterms:created>
  <dcterms:modified xsi:type="dcterms:W3CDTF">2026-05-02T17:21:56Z</dcterms:modified>
</cp:coreProperties>
</file>